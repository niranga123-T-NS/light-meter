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Settings" sheetId="3" state="visible" r:id="rId5"/>
    <sheet name="Sales_Log" sheetId="4" state="visible" r:id="rId6"/>
    <sheet name="Targets" sheetId="5" state="visible" r:id="rId7"/>
  </sheets>
  <definedNames>
    <definedName function="false" hidden="true" localSheetId="3" name="_xlnm._FilterDatabase" vbProcedure="false">Sales_Log!$A$4:$W$2004</definedName>
    <definedName function="false" hidden="false" name="CategoryList" vbProcedure="false">OFFSET(Settings!$D$11,0,0,MAX(1,COUNTA(Settings!$D$11:$D$25)),1)</definedName>
    <definedName function="false" hidden="false" name="Currency" vbProcedure="false">Settings!$C$5</definedName>
    <definedName function="false" hidden="false" name="FYStart" vbProcedure="false">Settings!$C$6</definedName>
    <definedName function="false" hidden="false" name="RepList" vbProcedure="false">OFFSET(Settings!$F$11,0,0,MAX(1,COUNTA(Settings!$F$11:$F$25)),1)</definedName>
    <definedName function="false" hidden="false" name="StatusList" vbProcedure="false">Settings!$H$11:$H$15</definedName>
    <definedName function="false" hidden="false" name="VerticalList" vbProcedure="false">Settings!$B$11:$B$12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2" authorId="0">
      <text>
        <r>
          <rPr>
            <sz val="10"/>
            <rFont val="Arial"/>
            <family val="2"/>
          </rPr>
          <t xml:space="preserve">Value counted as Sale / (Sale value + Lost value)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Qty x Unit Price x (1 - Discount %). Excludes tax.</t>
        </r>
      </text>
    </comment>
    <comment ref="S4" authorId="0">
      <text>
        <r>
          <rPr>
            <sz val="10"/>
            <rFont val="Arial"/>
            <family val="2"/>
          </rPr>
          <t xml:space="preserve">Financial year - named by the calendar year it ends in. Start month is set in Settings!C6.</t>
        </r>
      </text>
    </comment>
    <comment ref="V4" authorId="0">
      <text>
        <r>
          <rPr>
            <sz val="10"/>
            <rFont val="Arial"/>
            <family val="2"/>
          </rPr>
          <t xml:space="preserve">Yes = counted as a sale (per Status rules in Settings).</t>
        </r>
      </text>
    </comment>
  </commentList>
</comments>
</file>

<file path=xl/sharedStrings.xml><?xml version="1.0" encoding="utf-8"?>
<sst xmlns="http://schemas.openxmlformats.org/spreadsheetml/2006/main" count="188" uniqueCount="136">
  <si>
    <t xml:space="preserve">Lighting Solutions - Sales Tracker</t>
  </si>
  <si>
    <t xml:space="preserve">Automated tracking for the Infrastructure and Building verticals</t>
  </si>
  <si>
    <t xml:space="preserve">HOW IT WORKS</t>
  </si>
  <si>
    <t xml:space="preserve">1. Settings</t>
  </si>
  <si>
    <t xml:space="preserve">Set your currency label, fiscal-year start month, product categories, sales reps and status rules. Edit only the yellow cells.</t>
  </si>
  <si>
    <t xml:space="preserve">2. Targets</t>
  </si>
  <si>
    <t xml:space="preserve">Enter monthly sales targets for each vertical (yellow cells) for every financial year.</t>
  </si>
  <si>
    <t xml:space="preserve">3. Sales_Log</t>
  </si>
  <si>
    <t xml:space="preserve">Add one row per invoice / order line. Fill the yellow columns only; grey columns calculate automatically. Use the drop-downs for Vertical, Category, Sales Rep and Status.</t>
  </si>
  <si>
    <t xml:space="preserve">4. Dashboard</t>
  </si>
  <si>
    <t xml:space="preserve">Pick the Financial Year in cell C4. All KPIs, tables and charts update automatically.</t>
  </si>
  <si>
    <t xml:space="preserve">COLOUR LEGEND</t>
  </si>
  <si>
    <t xml:space="preserve">Yellow cell / blue text</t>
  </si>
  <si>
    <t xml:space="preserve">Input - type here</t>
  </si>
  <si>
    <t xml:space="preserve">Grey cell / black text</t>
  </si>
  <si>
    <t xml:space="preserve">Formula - do not overwrite</t>
  </si>
  <si>
    <t xml:space="preserve">Green text</t>
  </si>
  <si>
    <t xml:space="preserve">Value pulled from another sheet</t>
  </si>
  <si>
    <t xml:space="preserve">RULES</t>
  </si>
  <si>
    <t xml:space="preserve">Sales counted</t>
  </si>
  <si>
    <t xml:space="preserve">Only rows whose Status is flagged 'Yes' under 'Counts as Sale?' in Settings (default: Invoiced, Paid) are counted as sales.</t>
  </si>
  <si>
    <t xml:space="preserve">Pipeline</t>
  </si>
  <si>
    <t xml:space="preserve">Rows flagged 'Yes' under 'Counts as Pipeline?' (default: Quotation, Order Confirmed) show as open pipeline.</t>
  </si>
  <si>
    <t xml:space="preserve">Net Sales</t>
  </si>
  <si>
    <t xml:space="preserve">Qty x Unit Price x (1 - Discount %). Amounts exclude tax - enter prices without VAT/tax.</t>
  </si>
  <si>
    <t xml:space="preserve">Gross margin</t>
  </si>
  <si>
    <t xml:space="preserve">Enter Unit Cost on every row. Rows without a cost add to sales but not to gross profit, which understates the margin %.</t>
  </si>
  <si>
    <t xml:space="preserve">Financial Year</t>
  </si>
  <si>
    <t xml:space="preserve">Named by the calendar year in which it ends. With a start month of 1 (January), FY2026 = Jan-Dec 2026. With 4 (April), FY2027 = Apr 2026 - Mar 2027.</t>
  </si>
  <si>
    <t xml:space="preserve">Capacity</t>
  </si>
  <si>
    <t xml:space="preserve">Sales_Log holds 2,000 rows with formulas ready. Row 5 is an EXAMPLE - overwrite or delete its contents before real use.</t>
  </si>
  <si>
    <t xml:space="preserve">&lt;- choose the year; everything below updates</t>
  </si>
  <si>
    <t xml:space="preserve">Total Sales</t>
  </si>
  <si>
    <t xml:space="preserve">Infrastructure</t>
  </si>
  <si>
    <t xml:space="preserve">Building</t>
  </si>
  <si>
    <t xml:space="preserve">Annual Target</t>
  </si>
  <si>
    <t xml:space="preserve">Achievement</t>
  </si>
  <si>
    <t xml:space="preserve">Gross Profit</t>
  </si>
  <si>
    <t xml:space="preserve">Gross Margin</t>
  </si>
  <si>
    <t xml:space="preserve">Open Pipeline</t>
  </si>
  <si>
    <t xml:space="preserve">Monthly Performance</t>
  </si>
  <si>
    <t xml:space="preserve">#</t>
  </si>
  <si>
    <t xml:space="preserve">Month</t>
  </si>
  <si>
    <t xml:space="preserve">Infra Sales</t>
  </si>
  <si>
    <t xml:space="preserve">Infra Target</t>
  </si>
  <si>
    <t xml:space="preserve">Infra Ach %</t>
  </si>
  <si>
    <t xml:space="preserve">Building Sales</t>
  </si>
  <si>
    <t xml:space="preserve">Building Target</t>
  </si>
  <si>
    <t xml:space="preserve">Building Ach %</t>
  </si>
  <si>
    <t xml:space="preserve">Total Target</t>
  </si>
  <si>
    <t xml:space="preserve">Ach %</t>
  </si>
  <si>
    <t xml:space="preserve">Cumulative Sales</t>
  </si>
  <si>
    <t xml:space="preserve">Cumulative Target</t>
  </si>
  <si>
    <t xml:space="preserve">Total</t>
  </si>
  <si>
    <t xml:space="preserve">Sales by Product Category</t>
  </si>
  <si>
    <t xml:space="preserve">Deals by Status</t>
  </si>
  <si>
    <t xml:space="preserve">Product Category</t>
  </si>
  <si>
    <t xml:space="preserve">Share %</t>
  </si>
  <si>
    <t xml:space="preserve">GM %</t>
  </si>
  <si>
    <t xml:space="preserve">Status</t>
  </si>
  <si>
    <t xml:space="preserve">No. of Lines</t>
  </si>
  <si>
    <t xml:space="preserve">Win rate (value)</t>
  </si>
  <si>
    <t xml:space="preserve">Vertical Share</t>
  </si>
  <si>
    <t xml:space="preserve">Vertical</t>
  </si>
  <si>
    <t xml:space="preserve">Sales</t>
  </si>
  <si>
    <t xml:space="preserve">Sales Rep Performance</t>
  </si>
  <si>
    <t xml:space="preserve">Sales Rep</t>
  </si>
  <si>
    <t xml:space="preserve">Lines Won</t>
  </si>
  <si>
    <t xml:space="preserve">Settings &amp; Lists</t>
  </si>
  <si>
    <t xml:space="preserve">Edit the yellow cells. Lists feed the drop-downs in Sales_Log and the Dashboard tables.</t>
  </si>
  <si>
    <t xml:space="preserve">Currency label</t>
  </si>
  <si>
    <t xml:space="preserve">USD</t>
  </si>
  <si>
    <t xml:space="preserve">Shown on the Dashboard. Change to your currency (e.g. LKR, AED, INR).</t>
  </si>
  <si>
    <t xml:space="preserve">Fiscal year start month (1-12)</t>
  </si>
  <si>
    <t xml:space="preserve">1 = January. Use 4 for an April-March financial year.</t>
  </si>
  <si>
    <t xml:space="preserve">Department</t>
  </si>
  <si>
    <t xml:space="preserve">Lighting Solutions</t>
  </si>
  <si>
    <t xml:space="preserve">Shown in the Dashboard title.</t>
  </si>
  <si>
    <t xml:space="preserve">Business Verticals</t>
  </si>
  <si>
    <t xml:space="preserve">Product Categories</t>
  </si>
  <si>
    <t xml:space="preserve">Sales Reps</t>
  </si>
  <si>
    <t xml:space="preserve">Counts as Sale?</t>
  </si>
  <si>
    <t xml:space="preserve">Counts as Pipeline?</t>
  </si>
  <si>
    <t xml:space="preserve">Street Lighting</t>
  </si>
  <si>
    <t xml:space="preserve">Sales Rep 1</t>
  </si>
  <si>
    <t xml:space="preserve">Quotation</t>
  </si>
  <si>
    <t xml:space="preserve">No</t>
  </si>
  <si>
    <t xml:space="preserve">Yes</t>
  </si>
  <si>
    <t xml:space="preserve">Floodlighting</t>
  </si>
  <si>
    <t xml:space="preserve">Sales Rep 2</t>
  </si>
  <si>
    <t xml:space="preserve">Order Confirmed</t>
  </si>
  <si>
    <t xml:space="preserve">Verticals are fixed - the Dashboard is built around these two.</t>
  </si>
  <si>
    <t xml:space="preserve">High Mast</t>
  </si>
  <si>
    <t xml:space="preserve">Sales Rep 3</t>
  </si>
  <si>
    <t xml:space="preserve">Invoiced</t>
  </si>
  <si>
    <t xml:space="preserve">Tunnel Lighting</t>
  </si>
  <si>
    <t xml:space="preserve">Sales Rep 4</t>
  </si>
  <si>
    <t xml:space="preserve">Paid</t>
  </si>
  <si>
    <t xml:space="preserve">Solar Lighting</t>
  </si>
  <si>
    <t xml:space="preserve">Sales Rep 5</t>
  </si>
  <si>
    <t xml:space="preserve">Lost</t>
  </si>
  <si>
    <t xml:space="preserve">Indoor Commercial</t>
  </si>
  <si>
    <t xml:space="preserve">Industrial / High Bay</t>
  </si>
  <si>
    <t xml:space="preserve">Architectural / Facade</t>
  </si>
  <si>
    <t xml:space="preserve">Emergency &amp; Exit</t>
  </si>
  <si>
    <t xml:space="preserve">Lighting Controls</t>
  </si>
  <si>
    <t xml:space="preserve">Installation &amp; Services</t>
  </si>
  <si>
    <t xml:space="preserve">Up to 15 categories / reps. Add new ones in the next empty yellow cell.</t>
  </si>
  <si>
    <t xml:space="preserve">Sales Log</t>
  </si>
  <si>
    <t xml:space="preserve">Enter one row per invoice / order line. Yellow = input, grey = automatic. Row 5 is an EXAMPLE - overwrite it with your first real entry.</t>
  </si>
  <si>
    <t xml:space="preserve">Filtered total:</t>
  </si>
  <si>
    <t xml:space="preserve">Date</t>
  </si>
  <si>
    <t xml:space="preserve">Invoice / Ref No</t>
  </si>
  <si>
    <t xml:space="preserve">Customer</t>
  </si>
  <si>
    <t xml:space="preserve">Project / Site</t>
  </si>
  <si>
    <t xml:space="preserve">Description</t>
  </si>
  <si>
    <t xml:space="preserve">Qty</t>
  </si>
  <si>
    <t xml:space="preserve">Unit Price</t>
  </si>
  <si>
    <t xml:space="preserve">Discount %</t>
  </si>
  <si>
    <t xml:space="preserve">Unit Cost</t>
  </si>
  <si>
    <t xml:space="preserve">Total Cost</t>
  </si>
  <si>
    <t xml:space="preserve">Notes</t>
  </si>
  <si>
    <t xml:space="preserve">FY</t>
  </si>
  <si>
    <t xml:space="preserve">FY Period</t>
  </si>
  <si>
    <t xml:space="preserve">Sale?</t>
  </si>
  <si>
    <t xml:space="preserve">Pipeline?</t>
  </si>
  <si>
    <t xml:space="preserve">INV-0001</t>
  </si>
  <si>
    <t xml:space="preserve">Example Contractors Ltd</t>
  </si>
  <si>
    <t xml:space="preserve">Highway Stretch A</t>
  </si>
  <si>
    <t xml:space="preserve">150W LED street light</t>
  </si>
  <si>
    <t xml:space="preserve">EXAMPLE - replace with real data</t>
  </si>
  <si>
    <t xml:space="preserve">Monthly Sales Targets</t>
  </si>
  <si>
    <t xml:space="preserve">Enter targets per vertical in the yellow cells (amounts in your Settings currency, excluding tax).</t>
  </si>
  <si>
    <t xml:space="preserve">Period</t>
  </si>
  <si>
    <t xml:space="preserve">Infrastructure Target</t>
  </si>
  <si>
    <t xml:space="preserve">To add another year: copy a 13-row block, paste below, and change the FY number.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</si>
</sst>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"/>
    <numFmt numFmtId="168" formatCode="#,##0"/>
    <numFmt numFmtId="169" formatCode="dd\-mmm\-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AF1FB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C55A11"/>
        <bgColor rgb="FF9C5700"/>
      </patternFill>
    </fill>
    <fill>
      <patternFill patternType="solid">
        <fgColor rgb="FFEAF1FB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AF1FB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EB9C"/>
      <rgbColor rgb="FFA9D08E"/>
      <rgbColor rgb="FFFFC7CE"/>
      <rgbColor rgb="FFD9E1F2"/>
      <rgbColor rgb="FFF8CBAD"/>
      <rgbColor rgb="FF2E75B6"/>
      <rgbColor rgb="FF33CCCC"/>
      <rgbColor rgb="FF99CC00"/>
      <rgbColor rgb="FFFFC000"/>
      <rgbColor rgb="FFFF9900"/>
      <rgbColor rgb="FFC55A11"/>
      <rgbColor rgb="FF595959"/>
      <rgbColor rgb="FF878787"/>
      <rgbColor rgb="FF1F3864"/>
      <rgbColor rgb="FF4F81BD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by Vertical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Infra 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21090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Dashboard!F10</c:f>
              <c:strCache>
                <c:ptCount val="1"/>
                <c:pt idx="0">
                  <c:v>Building Sales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Dashboard!$F$11:$F$22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-10"/>
        <c:axId val="28976952"/>
        <c:axId val="77317734"/>
      </c:barChart>
      <c:catAx>
        <c:axId val="2897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17734"/>
        <c:crosses val="autoZero"/>
        <c:auto val="1"/>
        <c:lblAlgn val="ctr"/>
        <c:lblOffset val="100"/>
        <c:noMultiLvlLbl val="0"/>
      </c:catAx>
      <c:valAx>
        <c:axId val="77317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76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Sales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Dashboard!L10</c:f>
              <c:strCache>
                <c:ptCount val="1"/>
                <c:pt idx="0">
                  <c:v>Cumulative Sales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Dashboard!$L$11:$L$22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21090</c:v>
                </c:pt>
                <c:pt idx="9">
                  <c:v>21090</c:v>
                </c:pt>
                <c:pt idx="10">
                  <c:v>21090</c:v>
                </c:pt>
                <c:pt idx="11">
                  <c:v>21090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Dashboard!M10</c:f>
              <c:strCache>
                <c:ptCount val="1"/>
                <c:pt idx="0">
                  <c:v>Cumulative Target</c:v>
                </c:pt>
              </c:strCache>
            </c:strRef>
          </c:tx>
          <c:spPr>
            <a:solidFill>
              <a:srgbClr val="a6a6a6"/>
            </a:solidFill>
            <a:ln w="2844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Dashboard!$M$11:$M$22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91599"/>
        <c:axId val="33731883"/>
      </c:lineChart>
      <c:catAx>
        <c:axId val="869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31883"/>
        <c:crosses val="autoZero"/>
        <c:auto val="1"/>
        <c:lblAlgn val="ctr"/>
        <c:lblOffset val="100"/>
        <c:noMultiLvlLbl val="0"/>
      </c:catAx>
      <c:valAx>
        <c:axId val="33731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1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Vertical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Dashboard!K35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55a1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Dashboard!$J$36:$J$37</c:f>
              <c:strCache>
                <c:ptCount val="2"/>
                <c:pt idx="0">
                  <c:v>Infrastructure</c:v>
                </c:pt>
                <c:pt idx="1">
                  <c:v>Building</c:v>
                </c:pt>
              </c:strCache>
            </c:strRef>
          </c:cat>
          <c:val>
            <c:numRef>
              <c:f>Dashboard!$K$36:$K$37</c:f>
              <c:numCache>
                <c:formatCode>#,##0;\(#,##0\);\-</c:formatCode>
                <c:ptCount val="2"/>
                <c:pt idx="0">
                  <c:v>21090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Dashboard!C26</c:f>
              <c:strCache>
                <c:ptCount val="1"/>
                <c:pt idx="0">
                  <c:v>Infrastructure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Dashboard!$B$27:$B$37</c:f>
              <c:strCache>
                <c:ptCount val="11"/>
                <c:pt idx="0">
                  <c:v>Street Lighting</c:v>
                </c:pt>
                <c:pt idx="1">
                  <c:v>Floodlighting</c:v>
                </c:pt>
                <c:pt idx="2">
                  <c:v>High Mast</c:v>
                </c:pt>
                <c:pt idx="3">
                  <c:v>Tunnel Lighting</c:v>
                </c:pt>
                <c:pt idx="4">
                  <c:v>Solar Lighting</c:v>
                </c:pt>
                <c:pt idx="5">
                  <c:v>Indoor Commercial</c:v>
                </c:pt>
                <c:pt idx="6">
                  <c:v>Industrial / High Bay</c:v>
                </c:pt>
                <c:pt idx="7">
                  <c:v>Architectural / Facade</c:v>
                </c:pt>
                <c:pt idx="8">
                  <c:v>Emergency &amp; Exit</c:v>
                </c:pt>
                <c:pt idx="9">
                  <c:v>Lighting Controls</c:v>
                </c:pt>
                <c:pt idx="10">
                  <c:v>Installation &amp; Services</c:v>
                </c:pt>
              </c:strCache>
            </c:strRef>
          </c:cat>
          <c:val>
            <c:numRef>
              <c:f>Dashboard!$C$27:$C$37</c:f>
              <c:numCache>
                <c:formatCode>#,##0;\(#,##0\);\-</c:formatCode>
                <c:ptCount val="11"/>
                <c:pt idx="0">
                  <c:v>21090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Dashboard!D26</c:f>
              <c:strCache>
                <c:ptCount val="1"/>
                <c:pt idx="0">
                  <c:v>Building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Dashboard!$B$27:$B$37</c:f>
              <c:strCache>
                <c:ptCount val="11"/>
                <c:pt idx="0">
                  <c:v>Street Lighting</c:v>
                </c:pt>
                <c:pt idx="1">
                  <c:v>Floodlighting</c:v>
                </c:pt>
                <c:pt idx="2">
                  <c:v>High Mast</c:v>
                </c:pt>
                <c:pt idx="3">
                  <c:v>Tunnel Lighting</c:v>
                </c:pt>
                <c:pt idx="4">
                  <c:v>Solar Lighting</c:v>
                </c:pt>
                <c:pt idx="5">
                  <c:v>Indoor Commercial</c:v>
                </c:pt>
                <c:pt idx="6">
                  <c:v>Industrial / High Bay</c:v>
                </c:pt>
                <c:pt idx="7">
                  <c:v>Architectural / Facade</c:v>
                </c:pt>
                <c:pt idx="8">
                  <c:v>Emergency &amp; Exit</c:v>
                </c:pt>
                <c:pt idx="9">
                  <c:v>Lighting Controls</c:v>
                </c:pt>
                <c:pt idx="10">
                  <c:v>Installation &amp; Services</c:v>
                </c:pt>
              </c:strCache>
            </c:strRef>
          </c:cat>
          <c:val>
            <c:numRef>
              <c:f>Dashboard!$D$27:$D$37</c:f>
              <c:numCache>
                <c:formatCode>#,##0;\(#,##0\);\-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100"/>
        <c:axId val="72270569"/>
        <c:axId val="76845457"/>
      </c:barChart>
      <c:catAx>
        <c:axId val="72270569"/>
        <c:scaling>
          <c:orientation val="maxMin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45457"/>
        <c:crosses val="autoZero"/>
        <c:auto val="1"/>
        <c:lblAlgn val="ctr"/>
        <c:lblOffset val="100"/>
        <c:noMultiLvlLbl val="0"/>
      </c:catAx>
      <c:valAx>
        <c:axId val="76845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70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131040</xdr:rowOff>
    </xdr:from>
    <xdr:to>
      <xdr:col>22</xdr:col>
      <xdr:colOff>448200</xdr:colOff>
      <xdr:row>14</xdr:row>
      <xdr:rowOff>144720</xdr:rowOff>
    </xdr:to>
    <xdr:graphicFrame>
      <xdr:nvGraphicFramePr>
        <xdr:cNvPr id="0" name="Chart 1"/>
        <xdr:cNvGraphicFramePr/>
      </xdr:nvGraphicFramePr>
      <xdr:xfrm>
        <a:off x="188946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19</xdr:row>
      <xdr:rowOff>131040</xdr:rowOff>
    </xdr:from>
    <xdr:to>
      <xdr:col>22</xdr:col>
      <xdr:colOff>448200</xdr:colOff>
      <xdr:row>33</xdr:row>
      <xdr:rowOff>163440</xdr:rowOff>
    </xdr:to>
    <xdr:graphicFrame>
      <xdr:nvGraphicFramePr>
        <xdr:cNvPr id="1" name="Chart 2"/>
        <xdr:cNvGraphicFramePr/>
      </xdr:nvGraphicFramePr>
      <xdr:xfrm>
        <a:off x="18894600" y="42102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36</xdr:row>
      <xdr:rowOff>130680</xdr:rowOff>
    </xdr:from>
    <xdr:to>
      <xdr:col>22</xdr:col>
      <xdr:colOff>448200</xdr:colOff>
      <xdr:row>50</xdr:row>
      <xdr:rowOff>163440</xdr:rowOff>
    </xdr:to>
    <xdr:graphicFrame>
      <xdr:nvGraphicFramePr>
        <xdr:cNvPr id="2" name="Chart 3"/>
        <xdr:cNvGraphicFramePr/>
      </xdr:nvGraphicFramePr>
      <xdr:xfrm>
        <a:off x="18894600" y="74484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53</xdr:row>
      <xdr:rowOff>130680</xdr:rowOff>
    </xdr:from>
    <xdr:to>
      <xdr:col>22</xdr:col>
      <xdr:colOff>448200</xdr:colOff>
      <xdr:row>76</xdr:row>
      <xdr:rowOff>68760</xdr:rowOff>
    </xdr:to>
    <xdr:graphicFrame>
      <xdr:nvGraphicFramePr>
        <xdr:cNvPr id="3" name="Chart 4"/>
        <xdr:cNvGraphicFramePr/>
      </xdr:nvGraphicFramePr>
      <xdr:xfrm>
        <a:off x="18894600" y="106869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23.8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6"/>
    </row>
    <row r="11" customFormat="false" ht="15" hidden="false" customHeight="false" outlineLevel="0" collapsed="false">
      <c r="B11" s="3" t="s">
        <v>11</v>
      </c>
    </row>
    <row r="12" customFormat="false" ht="15" hidden="false" customHeight="false" outlineLevel="0" collapsed="false">
      <c r="B12" s="7" t="s">
        <v>12</v>
      </c>
      <c r="C12" s="5" t="s">
        <v>13</v>
      </c>
    </row>
    <row r="13" customFormat="false" ht="15" hidden="false" customHeight="false" outlineLevel="0" collapsed="false">
      <c r="B13" s="8" t="s">
        <v>14</v>
      </c>
      <c r="C13" s="5" t="s">
        <v>15</v>
      </c>
    </row>
    <row r="14" customFormat="false" ht="15" hidden="false" customHeight="false" outlineLevel="0" collapsed="false">
      <c r="B14" s="9" t="s">
        <v>16</v>
      </c>
      <c r="C14" s="5" t="s">
        <v>17</v>
      </c>
    </row>
    <row r="15" customFormat="false" ht="15" hidden="false" customHeight="false" outlineLevel="0" collapsed="false">
      <c r="B15" s="6"/>
    </row>
    <row r="16" customFormat="false" ht="15" hidden="false" customHeight="false" outlineLevel="0" collapsed="false">
      <c r="B16" s="3" t="s">
        <v>18</v>
      </c>
    </row>
    <row r="17" customFormat="false" ht="15" hidden="false" customHeight="false" outlineLevel="0" collapsed="false">
      <c r="B17" s="4" t="s">
        <v>19</v>
      </c>
      <c r="C17" s="5" t="s">
        <v>20</v>
      </c>
    </row>
    <row r="18" customFormat="false" ht="15" hidden="false" customHeight="false" outlineLevel="0" collapsed="false">
      <c r="B18" s="4" t="s">
        <v>21</v>
      </c>
      <c r="C18" s="5" t="s">
        <v>22</v>
      </c>
    </row>
    <row r="19" customFormat="false" ht="15" hidden="false" customHeight="false" outlineLevel="0" collapsed="false">
      <c r="B19" s="4" t="s">
        <v>23</v>
      </c>
      <c r="C19" s="5" t="s">
        <v>24</v>
      </c>
    </row>
    <row r="20" customFormat="false" ht="15" hidden="false" customHeight="false" outlineLevel="0" collapsed="false">
      <c r="B20" s="4" t="s">
        <v>25</v>
      </c>
      <c r="C20" s="5" t="s">
        <v>26</v>
      </c>
    </row>
    <row r="21" customFormat="false" ht="15" hidden="false" customHeight="false" outlineLevel="0" collapsed="false">
      <c r="B21" s="4" t="s">
        <v>27</v>
      </c>
      <c r="C21" s="5" t="s">
        <v>28</v>
      </c>
    </row>
    <row r="22" customFormat="false" ht="15" hidden="false" customHeight="false" outlineLevel="0" collapsed="false">
      <c r="B22" s="4" t="s">
        <v>29</v>
      </c>
      <c r="C22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2:N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3" min="11" style="0" width="15"/>
    <col collapsed="false" customWidth="true" hidden="false" outlineLevel="0" max="14" min="14" style="0" width="14"/>
  </cols>
  <sheetData>
    <row r="2" customFormat="false" ht="19.7" hidden="false" customHeight="false" outlineLevel="0" collapsed="false">
      <c r="B2" s="1" t="str">
        <f aca="false">Settings!$C$7&amp;" - Sales Dashboard (FY"&amp;$C$4&amp;", amounts in "&amp;Currency&amp;")"</f>
        <v>Lighting Solutions - Sales Dashboard (FY2026, amounts in USD)</v>
      </c>
    </row>
    <row r="4" customFormat="false" ht="15" hidden="false" customHeight="false" outlineLevel="0" collapsed="false">
      <c r="B4" s="6" t="s">
        <v>27</v>
      </c>
      <c r="C4" s="10" t="n">
        <v>2026</v>
      </c>
      <c r="D4" s="2" t="s">
        <v>31</v>
      </c>
    </row>
    <row r="6" customFormat="false" ht="15" hidden="false" customHeight="false" outlineLevel="0" collapsed="false">
      <c r="B6" s="11" t="s">
        <v>32</v>
      </c>
      <c r="C6" s="12" t="s">
        <v>33</v>
      </c>
      <c r="D6" s="13" t="s">
        <v>34</v>
      </c>
      <c r="E6" s="11" t="s">
        <v>35</v>
      </c>
      <c r="F6" s="11" t="s">
        <v>36</v>
      </c>
      <c r="G6" s="11" t="s">
        <v>37</v>
      </c>
      <c r="H6" s="11" t="s">
        <v>38</v>
      </c>
      <c r="I6" s="11" t="s">
        <v>39</v>
      </c>
    </row>
    <row r="7" customFormat="false" ht="31.5" hidden="false" customHeight="true" outlineLevel="0" collapsed="false">
      <c r="B7" s="14" t="n">
        <f aca="false">SUMIFS(Sales_Log!$K$5:$K$2004,Sales_Log!$S$5:$S$2004,$C$4,Sales_Log!$V$5:$V$2004,"Yes")</f>
        <v>21090</v>
      </c>
      <c r="C7" s="14" t="n">
        <f aca="false">SUMIFS(Sales_Log!$K$5:$K$2004,Sales_Log!$S$5:$S$2004,$C$4,Sales_Log!$V$5:$V$2004,"Yes",Sales_Log!$E$5:$E$2004,"Infrastructure")</f>
        <v>21090</v>
      </c>
      <c r="D7" s="14" t="n">
        <f aca="false">SUMIFS(Sales_Log!$K$5:$K$2004,Sales_Log!$S$5:$S$2004,$C$4,Sales_Log!$V$5:$V$2004,"Yes",Sales_Log!$E$5:$E$2004,"Building")</f>
        <v>0</v>
      </c>
      <c r="E7" s="14" t="n">
        <f aca="false">SUMIFS(Targets!$G$6:$G$47,Targets!$B$6:$B$47,$C$4,Targets!$C$6:$C$47,"&gt;0")</f>
        <v>0</v>
      </c>
      <c r="F7" s="15" t="str">
        <f aca="false">IF(E7=0,"",B7/E7)</f>
        <v/>
      </c>
      <c r="G7" s="14" t="n">
        <f aca="false">SUMIFS(Sales_Log!$N$5:$N$2004,Sales_Log!$S$5:$S$2004,$C$4,Sales_Log!$V$5:$V$2004,"Yes")</f>
        <v>6690</v>
      </c>
      <c r="H7" s="15" t="n">
        <f aca="false">IF(B7=0,"",G7/B7)</f>
        <v>0.317211948790896</v>
      </c>
      <c r="I7" s="14" t="n">
        <f aca="false">SUMIFS(Sales_Log!$K$5:$K$2004,Sales_Log!$S$5:$S$2004,$C$4,Sales_Log!$W$5:$W$2004,"Yes")</f>
        <v>0</v>
      </c>
    </row>
    <row r="9" customFormat="false" ht="15" hidden="false" customHeight="false" outlineLevel="0" collapsed="false">
      <c r="B9" s="16" t="s">
        <v>40</v>
      </c>
    </row>
    <row r="10" customFormat="false" ht="30" hidden="false" customHeight="true" outlineLevel="0" collapsed="false">
      <c r="A10" s="11" t="s">
        <v>41</v>
      </c>
      <c r="B10" s="11" t="s">
        <v>42</v>
      </c>
      <c r="C10" s="12" t="s">
        <v>43</v>
      </c>
      <c r="D10" s="12" t="s">
        <v>44</v>
      </c>
      <c r="E10" s="12" t="s">
        <v>45</v>
      </c>
      <c r="F10" s="13" t="s">
        <v>46</v>
      </c>
      <c r="G10" s="13" t="s">
        <v>47</v>
      </c>
      <c r="H10" s="13" t="s">
        <v>48</v>
      </c>
      <c r="I10" s="11" t="s">
        <v>32</v>
      </c>
      <c r="J10" s="11" t="s">
        <v>49</v>
      </c>
      <c r="K10" s="11" t="s">
        <v>50</v>
      </c>
      <c r="L10" s="11" t="s">
        <v>51</v>
      </c>
      <c r="M10" s="11" t="s">
        <v>52</v>
      </c>
    </row>
    <row r="11" customFormat="false" ht="15" hidden="false" customHeight="false" outlineLevel="0" collapsed="false">
      <c r="A11" s="17" t="n">
        <v>1</v>
      </c>
      <c r="B11" s="18" t="str">
        <f aca="false">TEXT(DATE(2000,FYStart+A11-1,1),"mmm")</f>
        <v>Jan</v>
      </c>
      <c r="C11" s="19" t="n">
        <f aca="false">SUMIFS(Sales_Log!$K$5:$K$2004,Sales_Log!$S$5:$S$2004,$C$4,Sales_Log!$V$5:$V$2004,"Yes",Sales_Log!$T$5:$T$2004,$A11,Sales_Log!$E$5:$E$2004,"Infrastructure")</f>
        <v>0</v>
      </c>
      <c r="D11" s="19" t="n">
        <f aca="false">SUMIFS(Targets!$E$6:$E$47,Targets!$B$6:$B$47,$C$4,Targets!$C$6:$C$47,$A11)</f>
        <v>0</v>
      </c>
      <c r="E11" s="20" t="str">
        <f aca="false">IF(D11=0,"",C11/D11)</f>
        <v/>
      </c>
      <c r="F11" s="19" t="n">
        <f aca="false">SUMIFS(Sales_Log!$K$5:$K$2004,Sales_Log!$S$5:$S$2004,$C$4,Sales_Log!$V$5:$V$2004,"Yes",Sales_Log!$T$5:$T$2004,$A11,Sales_Log!$E$5:$E$2004,"Building")</f>
        <v>0</v>
      </c>
      <c r="G11" s="19" t="n">
        <f aca="false">SUMIFS(Targets!$F$6:$F$47,Targets!$B$6:$B$47,$C$4,Targets!$C$6:$C$47,$A11)</f>
        <v>0</v>
      </c>
      <c r="H11" s="20" t="str">
        <f aca="false">IF(G11=0,"",F11/G11)</f>
        <v/>
      </c>
      <c r="I11" s="19" t="n">
        <f aca="false">C11+F11</f>
        <v>0</v>
      </c>
      <c r="J11" s="19" t="n">
        <f aca="false">D11+G11</f>
        <v>0</v>
      </c>
      <c r="K11" s="20" t="str">
        <f aca="false">IF(J11=0,"",I11/J11)</f>
        <v/>
      </c>
      <c r="L11" s="19" t="n">
        <f aca="false">SUM($I$11:I11)</f>
        <v>0</v>
      </c>
      <c r="M11" s="19" t="n">
        <f aca="false">SUM($J$11:J11)</f>
        <v>0</v>
      </c>
    </row>
    <row r="12" customFormat="false" ht="15" hidden="false" customHeight="false" outlineLevel="0" collapsed="false">
      <c r="A12" s="17" t="n">
        <v>2</v>
      </c>
      <c r="B12" s="18" t="str">
        <f aca="false">TEXT(DATE(2000,FYStart+A12-1,1),"mmm")</f>
        <v>Feb</v>
      </c>
      <c r="C12" s="19" t="n">
        <f aca="false">SUMIFS(Sales_Log!$K$5:$K$2004,Sales_Log!$S$5:$S$2004,$C$4,Sales_Log!$V$5:$V$2004,"Yes",Sales_Log!$T$5:$T$2004,$A12,Sales_Log!$E$5:$E$2004,"Infrastructure")</f>
        <v>0</v>
      </c>
      <c r="D12" s="19" t="n">
        <f aca="false">SUMIFS(Targets!$E$6:$E$47,Targets!$B$6:$B$47,$C$4,Targets!$C$6:$C$47,$A12)</f>
        <v>0</v>
      </c>
      <c r="E12" s="20" t="str">
        <f aca="false">IF(D12=0,"",C12/D12)</f>
        <v/>
      </c>
      <c r="F12" s="19" t="n">
        <f aca="false">SUMIFS(Sales_Log!$K$5:$K$2004,Sales_Log!$S$5:$S$2004,$C$4,Sales_Log!$V$5:$V$2004,"Yes",Sales_Log!$T$5:$T$2004,$A12,Sales_Log!$E$5:$E$2004,"Building")</f>
        <v>0</v>
      </c>
      <c r="G12" s="19" t="n">
        <f aca="false">SUMIFS(Targets!$F$6:$F$47,Targets!$B$6:$B$47,$C$4,Targets!$C$6:$C$47,$A12)</f>
        <v>0</v>
      </c>
      <c r="H12" s="20" t="str">
        <f aca="false">IF(G12=0,"",F12/G12)</f>
        <v/>
      </c>
      <c r="I12" s="19" t="n">
        <f aca="false">C12+F12</f>
        <v>0</v>
      </c>
      <c r="J12" s="19" t="n">
        <f aca="false">D12+G12</f>
        <v>0</v>
      </c>
      <c r="K12" s="20" t="str">
        <f aca="false">IF(J12=0,"",I12/J12)</f>
        <v/>
      </c>
      <c r="L12" s="19" t="n">
        <f aca="false">SUM($I$11:I12)</f>
        <v>0</v>
      </c>
      <c r="M12" s="19" t="n">
        <f aca="false">SUM($J$11:J12)</f>
        <v>0</v>
      </c>
    </row>
    <row r="13" customFormat="false" ht="15" hidden="false" customHeight="false" outlineLevel="0" collapsed="false">
      <c r="A13" s="17" t="n">
        <v>3</v>
      </c>
      <c r="B13" s="18" t="str">
        <f aca="false">TEXT(DATE(2000,FYStart+A13-1,1),"mmm")</f>
        <v>Mar</v>
      </c>
      <c r="C13" s="19" t="n">
        <f aca="false">SUMIFS(Sales_Log!$K$5:$K$2004,Sales_Log!$S$5:$S$2004,$C$4,Sales_Log!$V$5:$V$2004,"Yes",Sales_Log!$T$5:$T$2004,$A13,Sales_Log!$E$5:$E$2004,"Infrastructure")</f>
        <v>0</v>
      </c>
      <c r="D13" s="19" t="n">
        <f aca="false">SUMIFS(Targets!$E$6:$E$47,Targets!$B$6:$B$47,$C$4,Targets!$C$6:$C$47,$A13)</f>
        <v>0</v>
      </c>
      <c r="E13" s="20" t="str">
        <f aca="false">IF(D13=0,"",C13/D13)</f>
        <v/>
      </c>
      <c r="F13" s="19" t="n">
        <f aca="false">SUMIFS(Sales_Log!$K$5:$K$2004,Sales_Log!$S$5:$S$2004,$C$4,Sales_Log!$V$5:$V$2004,"Yes",Sales_Log!$T$5:$T$2004,$A13,Sales_Log!$E$5:$E$2004,"Building")</f>
        <v>0</v>
      </c>
      <c r="G13" s="19" t="n">
        <f aca="false">SUMIFS(Targets!$F$6:$F$47,Targets!$B$6:$B$47,$C$4,Targets!$C$6:$C$47,$A13)</f>
        <v>0</v>
      </c>
      <c r="H13" s="20" t="str">
        <f aca="false">IF(G13=0,"",F13/G13)</f>
        <v/>
      </c>
      <c r="I13" s="19" t="n">
        <f aca="false">C13+F13</f>
        <v>0</v>
      </c>
      <c r="J13" s="19" t="n">
        <f aca="false">D13+G13</f>
        <v>0</v>
      </c>
      <c r="K13" s="20" t="str">
        <f aca="false">IF(J13=0,"",I13/J13)</f>
        <v/>
      </c>
      <c r="L13" s="19" t="n">
        <f aca="false">SUM($I$11:I13)</f>
        <v>0</v>
      </c>
      <c r="M13" s="19" t="n">
        <f aca="false">SUM($J$11:J13)</f>
        <v>0</v>
      </c>
    </row>
    <row r="14" customFormat="false" ht="15" hidden="false" customHeight="false" outlineLevel="0" collapsed="false">
      <c r="A14" s="17" t="n">
        <v>4</v>
      </c>
      <c r="B14" s="18" t="str">
        <f aca="false">TEXT(DATE(2000,FYStart+A14-1,1),"mmm")</f>
        <v>Apr</v>
      </c>
      <c r="C14" s="19" t="n">
        <f aca="false">SUMIFS(Sales_Log!$K$5:$K$2004,Sales_Log!$S$5:$S$2004,$C$4,Sales_Log!$V$5:$V$2004,"Yes",Sales_Log!$T$5:$T$2004,$A14,Sales_Log!$E$5:$E$2004,"Infrastructure")</f>
        <v>0</v>
      </c>
      <c r="D14" s="19" t="n">
        <f aca="false">SUMIFS(Targets!$E$6:$E$47,Targets!$B$6:$B$47,$C$4,Targets!$C$6:$C$47,$A14)</f>
        <v>0</v>
      </c>
      <c r="E14" s="20" t="str">
        <f aca="false">IF(D14=0,"",C14/D14)</f>
        <v/>
      </c>
      <c r="F14" s="19" t="n">
        <f aca="false">SUMIFS(Sales_Log!$K$5:$K$2004,Sales_Log!$S$5:$S$2004,$C$4,Sales_Log!$V$5:$V$2004,"Yes",Sales_Log!$T$5:$T$2004,$A14,Sales_Log!$E$5:$E$2004,"Building")</f>
        <v>0</v>
      </c>
      <c r="G14" s="19" t="n">
        <f aca="false">SUMIFS(Targets!$F$6:$F$47,Targets!$B$6:$B$47,$C$4,Targets!$C$6:$C$47,$A14)</f>
        <v>0</v>
      </c>
      <c r="H14" s="20" t="str">
        <f aca="false">IF(G14=0,"",F14/G14)</f>
        <v/>
      </c>
      <c r="I14" s="19" t="n">
        <f aca="false">C14+F14</f>
        <v>0</v>
      </c>
      <c r="J14" s="19" t="n">
        <f aca="false">D14+G14</f>
        <v>0</v>
      </c>
      <c r="K14" s="20" t="str">
        <f aca="false">IF(J14=0,"",I14/J14)</f>
        <v/>
      </c>
      <c r="L14" s="19" t="n">
        <f aca="false">SUM($I$11:I14)</f>
        <v>0</v>
      </c>
      <c r="M14" s="19" t="n">
        <f aca="false">SUM($J$11:J14)</f>
        <v>0</v>
      </c>
    </row>
    <row r="15" customFormat="false" ht="15" hidden="false" customHeight="false" outlineLevel="0" collapsed="false">
      <c r="A15" s="17" t="n">
        <v>5</v>
      </c>
      <c r="B15" s="18" t="str">
        <f aca="false">TEXT(DATE(2000,FYStart+A15-1,1),"mmm")</f>
        <v>May</v>
      </c>
      <c r="C15" s="19" t="n">
        <f aca="false">SUMIFS(Sales_Log!$K$5:$K$2004,Sales_Log!$S$5:$S$2004,$C$4,Sales_Log!$V$5:$V$2004,"Yes",Sales_Log!$T$5:$T$2004,$A15,Sales_Log!$E$5:$E$2004,"Infrastructure")</f>
        <v>0</v>
      </c>
      <c r="D15" s="19" t="n">
        <f aca="false">SUMIFS(Targets!$E$6:$E$47,Targets!$B$6:$B$47,$C$4,Targets!$C$6:$C$47,$A15)</f>
        <v>0</v>
      </c>
      <c r="E15" s="20" t="str">
        <f aca="false">IF(D15=0,"",C15/D15)</f>
        <v/>
      </c>
      <c r="F15" s="19" t="n">
        <f aca="false">SUMIFS(Sales_Log!$K$5:$K$2004,Sales_Log!$S$5:$S$2004,$C$4,Sales_Log!$V$5:$V$2004,"Yes",Sales_Log!$T$5:$T$2004,$A15,Sales_Log!$E$5:$E$2004,"Building")</f>
        <v>0</v>
      </c>
      <c r="G15" s="19" t="n">
        <f aca="false">SUMIFS(Targets!$F$6:$F$47,Targets!$B$6:$B$47,$C$4,Targets!$C$6:$C$47,$A15)</f>
        <v>0</v>
      </c>
      <c r="H15" s="20" t="str">
        <f aca="false">IF(G15=0,"",F15/G15)</f>
        <v/>
      </c>
      <c r="I15" s="19" t="n">
        <f aca="false">C15+F15</f>
        <v>0</v>
      </c>
      <c r="J15" s="19" t="n">
        <f aca="false">D15+G15</f>
        <v>0</v>
      </c>
      <c r="K15" s="20" t="str">
        <f aca="false">IF(J15=0,"",I15/J15)</f>
        <v/>
      </c>
      <c r="L15" s="19" t="n">
        <f aca="false">SUM($I$11:I15)</f>
        <v>0</v>
      </c>
      <c r="M15" s="19" t="n">
        <f aca="false">SUM($J$11:J15)</f>
        <v>0</v>
      </c>
    </row>
    <row r="16" customFormat="false" ht="15" hidden="false" customHeight="false" outlineLevel="0" collapsed="false">
      <c r="A16" s="17" t="n">
        <v>6</v>
      </c>
      <c r="B16" s="18" t="str">
        <f aca="false">TEXT(DATE(2000,FYStart+A16-1,1),"mmm")</f>
        <v>Jun</v>
      </c>
      <c r="C16" s="19" t="n">
        <f aca="false">SUMIFS(Sales_Log!$K$5:$K$2004,Sales_Log!$S$5:$S$2004,$C$4,Sales_Log!$V$5:$V$2004,"Yes",Sales_Log!$T$5:$T$2004,$A16,Sales_Log!$E$5:$E$2004,"Infrastructure")</f>
        <v>0</v>
      </c>
      <c r="D16" s="19" t="n">
        <f aca="false">SUMIFS(Targets!$E$6:$E$47,Targets!$B$6:$B$47,$C$4,Targets!$C$6:$C$47,$A16)</f>
        <v>0</v>
      </c>
      <c r="E16" s="20" t="str">
        <f aca="false">IF(D16=0,"",C16/D16)</f>
        <v/>
      </c>
      <c r="F16" s="19" t="n">
        <f aca="false">SUMIFS(Sales_Log!$K$5:$K$2004,Sales_Log!$S$5:$S$2004,$C$4,Sales_Log!$V$5:$V$2004,"Yes",Sales_Log!$T$5:$T$2004,$A16,Sales_Log!$E$5:$E$2004,"Building")</f>
        <v>0</v>
      </c>
      <c r="G16" s="19" t="n">
        <f aca="false">SUMIFS(Targets!$F$6:$F$47,Targets!$B$6:$B$47,$C$4,Targets!$C$6:$C$47,$A16)</f>
        <v>0</v>
      </c>
      <c r="H16" s="20" t="str">
        <f aca="false">IF(G16=0,"",F16/G16)</f>
        <v/>
      </c>
      <c r="I16" s="19" t="n">
        <f aca="false">C16+F16</f>
        <v>0</v>
      </c>
      <c r="J16" s="19" t="n">
        <f aca="false">D16+G16</f>
        <v>0</v>
      </c>
      <c r="K16" s="20" t="str">
        <f aca="false">IF(J16=0,"",I16/J16)</f>
        <v/>
      </c>
      <c r="L16" s="19" t="n">
        <f aca="false">SUM($I$11:I16)</f>
        <v>0</v>
      </c>
      <c r="M16" s="19" t="n">
        <f aca="false">SUM($J$11:J16)</f>
        <v>0</v>
      </c>
    </row>
    <row r="17" customFormat="false" ht="15" hidden="false" customHeight="false" outlineLevel="0" collapsed="false">
      <c r="A17" s="17" t="n">
        <v>7</v>
      </c>
      <c r="B17" s="18" t="str">
        <f aca="false">TEXT(DATE(2000,FYStart+A17-1,1),"mmm")</f>
        <v>Jul</v>
      </c>
      <c r="C17" s="19" t="n">
        <f aca="false">SUMIFS(Sales_Log!$K$5:$K$2004,Sales_Log!$S$5:$S$2004,$C$4,Sales_Log!$V$5:$V$2004,"Yes",Sales_Log!$T$5:$T$2004,$A17,Sales_Log!$E$5:$E$2004,"Infrastructure")</f>
        <v>0</v>
      </c>
      <c r="D17" s="19" t="n">
        <f aca="false">SUMIFS(Targets!$E$6:$E$47,Targets!$B$6:$B$47,$C$4,Targets!$C$6:$C$47,$A17)</f>
        <v>0</v>
      </c>
      <c r="E17" s="20" t="str">
        <f aca="false">IF(D17=0,"",C17/D17)</f>
        <v/>
      </c>
      <c r="F17" s="19" t="n">
        <f aca="false">SUMIFS(Sales_Log!$K$5:$K$2004,Sales_Log!$S$5:$S$2004,$C$4,Sales_Log!$V$5:$V$2004,"Yes",Sales_Log!$T$5:$T$2004,$A17,Sales_Log!$E$5:$E$2004,"Building")</f>
        <v>0</v>
      </c>
      <c r="G17" s="19" t="n">
        <f aca="false">SUMIFS(Targets!$F$6:$F$47,Targets!$B$6:$B$47,$C$4,Targets!$C$6:$C$47,$A17)</f>
        <v>0</v>
      </c>
      <c r="H17" s="20" t="str">
        <f aca="false">IF(G17=0,"",F17/G17)</f>
        <v/>
      </c>
      <c r="I17" s="19" t="n">
        <f aca="false">C17+F17</f>
        <v>0</v>
      </c>
      <c r="J17" s="19" t="n">
        <f aca="false">D17+G17</f>
        <v>0</v>
      </c>
      <c r="K17" s="20" t="str">
        <f aca="false">IF(J17=0,"",I17/J17)</f>
        <v/>
      </c>
      <c r="L17" s="19" t="n">
        <f aca="false">SUM($I$11:I17)</f>
        <v>0</v>
      </c>
      <c r="M17" s="19" t="n">
        <f aca="false">SUM($J$11:J17)</f>
        <v>0</v>
      </c>
    </row>
    <row r="18" customFormat="false" ht="15" hidden="false" customHeight="false" outlineLevel="0" collapsed="false">
      <c r="A18" s="17" t="n">
        <v>8</v>
      </c>
      <c r="B18" s="18" t="str">
        <f aca="false">TEXT(DATE(2000,FYStart+A18-1,1),"mmm")</f>
        <v>Aug</v>
      </c>
      <c r="C18" s="19" t="n">
        <f aca="false">SUMIFS(Sales_Log!$K$5:$K$2004,Sales_Log!$S$5:$S$2004,$C$4,Sales_Log!$V$5:$V$2004,"Yes",Sales_Log!$T$5:$T$2004,$A18,Sales_Log!$E$5:$E$2004,"Infrastructure")</f>
        <v>0</v>
      </c>
      <c r="D18" s="19" t="n">
        <f aca="false">SUMIFS(Targets!$E$6:$E$47,Targets!$B$6:$B$47,$C$4,Targets!$C$6:$C$47,$A18)</f>
        <v>0</v>
      </c>
      <c r="E18" s="20" t="str">
        <f aca="false">IF(D18=0,"",C18/D18)</f>
        <v/>
      </c>
      <c r="F18" s="19" t="n">
        <f aca="false">SUMIFS(Sales_Log!$K$5:$K$2004,Sales_Log!$S$5:$S$2004,$C$4,Sales_Log!$V$5:$V$2004,"Yes",Sales_Log!$T$5:$T$2004,$A18,Sales_Log!$E$5:$E$2004,"Building")</f>
        <v>0</v>
      </c>
      <c r="G18" s="19" t="n">
        <f aca="false">SUMIFS(Targets!$F$6:$F$47,Targets!$B$6:$B$47,$C$4,Targets!$C$6:$C$47,$A18)</f>
        <v>0</v>
      </c>
      <c r="H18" s="20" t="str">
        <f aca="false">IF(G18=0,"",F18/G18)</f>
        <v/>
      </c>
      <c r="I18" s="19" t="n">
        <f aca="false">C18+F18</f>
        <v>0</v>
      </c>
      <c r="J18" s="19" t="n">
        <f aca="false">D18+G18</f>
        <v>0</v>
      </c>
      <c r="K18" s="20" t="str">
        <f aca="false">IF(J18=0,"",I18/J18)</f>
        <v/>
      </c>
      <c r="L18" s="19" t="n">
        <f aca="false">SUM($I$11:I18)</f>
        <v>0</v>
      </c>
      <c r="M18" s="19" t="n">
        <f aca="false">SUM($J$11:J18)</f>
        <v>0</v>
      </c>
    </row>
    <row r="19" customFormat="false" ht="15" hidden="false" customHeight="false" outlineLevel="0" collapsed="false">
      <c r="A19" s="17" t="n">
        <v>9</v>
      </c>
      <c r="B19" s="18" t="str">
        <f aca="false">TEXT(DATE(2000,FYStart+A19-1,1),"mmm")</f>
        <v>Sep</v>
      </c>
      <c r="C19" s="19" t="n">
        <f aca="false">SUMIFS(Sales_Log!$K$5:$K$2004,Sales_Log!$S$5:$S$2004,$C$4,Sales_Log!$V$5:$V$2004,"Yes",Sales_Log!$T$5:$T$2004,$A19,Sales_Log!$E$5:$E$2004,"Infrastructure")</f>
        <v>21090</v>
      </c>
      <c r="D19" s="19" t="n">
        <f aca="false">SUMIFS(Targets!$E$6:$E$47,Targets!$B$6:$B$47,$C$4,Targets!$C$6:$C$47,$A19)</f>
        <v>0</v>
      </c>
      <c r="E19" s="20" t="str">
        <f aca="false">IF(D19=0,"",C19/D19)</f>
        <v/>
      </c>
      <c r="F19" s="19" t="n">
        <f aca="false">SUMIFS(Sales_Log!$K$5:$K$2004,Sales_Log!$S$5:$S$2004,$C$4,Sales_Log!$V$5:$V$2004,"Yes",Sales_Log!$T$5:$T$2004,$A19,Sales_Log!$E$5:$E$2004,"Building")</f>
        <v>0</v>
      </c>
      <c r="G19" s="19" t="n">
        <f aca="false">SUMIFS(Targets!$F$6:$F$47,Targets!$B$6:$B$47,$C$4,Targets!$C$6:$C$47,$A19)</f>
        <v>0</v>
      </c>
      <c r="H19" s="20" t="str">
        <f aca="false">IF(G19=0,"",F19/G19)</f>
        <v/>
      </c>
      <c r="I19" s="19" t="n">
        <f aca="false">C19+F19</f>
        <v>21090</v>
      </c>
      <c r="J19" s="19" t="n">
        <f aca="false">D19+G19</f>
        <v>0</v>
      </c>
      <c r="K19" s="20" t="str">
        <f aca="false">IF(J19=0,"",I19/J19)</f>
        <v/>
      </c>
      <c r="L19" s="19" t="n">
        <f aca="false">SUM($I$11:I19)</f>
        <v>21090</v>
      </c>
      <c r="M19" s="19" t="n">
        <f aca="false">SUM($J$11:J19)</f>
        <v>0</v>
      </c>
    </row>
    <row r="20" customFormat="false" ht="15" hidden="false" customHeight="false" outlineLevel="0" collapsed="false">
      <c r="A20" s="17" t="n">
        <v>10</v>
      </c>
      <c r="B20" s="18" t="str">
        <f aca="false">TEXT(DATE(2000,FYStart+A20-1,1),"mmm")</f>
        <v>Oct</v>
      </c>
      <c r="C20" s="19" t="n">
        <f aca="false">SUMIFS(Sales_Log!$K$5:$K$2004,Sales_Log!$S$5:$S$2004,$C$4,Sales_Log!$V$5:$V$2004,"Yes",Sales_Log!$T$5:$T$2004,$A20,Sales_Log!$E$5:$E$2004,"Infrastructure")</f>
        <v>0</v>
      </c>
      <c r="D20" s="19" t="n">
        <f aca="false">SUMIFS(Targets!$E$6:$E$47,Targets!$B$6:$B$47,$C$4,Targets!$C$6:$C$47,$A20)</f>
        <v>0</v>
      </c>
      <c r="E20" s="20" t="str">
        <f aca="false">IF(D20=0,"",C20/D20)</f>
        <v/>
      </c>
      <c r="F20" s="19" t="n">
        <f aca="false">SUMIFS(Sales_Log!$K$5:$K$2004,Sales_Log!$S$5:$S$2004,$C$4,Sales_Log!$V$5:$V$2004,"Yes",Sales_Log!$T$5:$T$2004,$A20,Sales_Log!$E$5:$E$2004,"Building")</f>
        <v>0</v>
      </c>
      <c r="G20" s="19" t="n">
        <f aca="false">SUMIFS(Targets!$F$6:$F$47,Targets!$B$6:$B$47,$C$4,Targets!$C$6:$C$47,$A20)</f>
        <v>0</v>
      </c>
      <c r="H20" s="20" t="str">
        <f aca="false">IF(G20=0,"",F20/G20)</f>
        <v/>
      </c>
      <c r="I20" s="19" t="n">
        <f aca="false">C20+F20</f>
        <v>0</v>
      </c>
      <c r="J20" s="19" t="n">
        <f aca="false">D20+G20</f>
        <v>0</v>
      </c>
      <c r="K20" s="20" t="str">
        <f aca="false">IF(J20=0,"",I20/J20)</f>
        <v/>
      </c>
      <c r="L20" s="19" t="n">
        <f aca="false">SUM($I$11:I20)</f>
        <v>21090</v>
      </c>
      <c r="M20" s="19" t="n">
        <f aca="false">SUM($J$11:J20)</f>
        <v>0</v>
      </c>
    </row>
    <row r="21" customFormat="false" ht="15" hidden="false" customHeight="false" outlineLevel="0" collapsed="false">
      <c r="A21" s="17" t="n">
        <v>11</v>
      </c>
      <c r="B21" s="18" t="str">
        <f aca="false">TEXT(DATE(2000,FYStart+A21-1,1),"mmm")</f>
        <v>Nov</v>
      </c>
      <c r="C21" s="19" t="n">
        <f aca="false">SUMIFS(Sales_Log!$K$5:$K$2004,Sales_Log!$S$5:$S$2004,$C$4,Sales_Log!$V$5:$V$2004,"Yes",Sales_Log!$T$5:$T$2004,$A21,Sales_Log!$E$5:$E$2004,"Infrastructure")</f>
        <v>0</v>
      </c>
      <c r="D21" s="19" t="n">
        <f aca="false">SUMIFS(Targets!$E$6:$E$47,Targets!$B$6:$B$47,$C$4,Targets!$C$6:$C$47,$A21)</f>
        <v>0</v>
      </c>
      <c r="E21" s="20" t="str">
        <f aca="false">IF(D21=0,"",C21/D21)</f>
        <v/>
      </c>
      <c r="F21" s="19" t="n">
        <f aca="false">SUMIFS(Sales_Log!$K$5:$K$2004,Sales_Log!$S$5:$S$2004,$C$4,Sales_Log!$V$5:$V$2004,"Yes",Sales_Log!$T$5:$T$2004,$A21,Sales_Log!$E$5:$E$2004,"Building")</f>
        <v>0</v>
      </c>
      <c r="G21" s="19" t="n">
        <f aca="false">SUMIFS(Targets!$F$6:$F$47,Targets!$B$6:$B$47,$C$4,Targets!$C$6:$C$47,$A21)</f>
        <v>0</v>
      </c>
      <c r="H21" s="20" t="str">
        <f aca="false">IF(G21=0,"",F21/G21)</f>
        <v/>
      </c>
      <c r="I21" s="19" t="n">
        <f aca="false">C21+F21</f>
        <v>0</v>
      </c>
      <c r="J21" s="19" t="n">
        <f aca="false">D21+G21</f>
        <v>0</v>
      </c>
      <c r="K21" s="20" t="str">
        <f aca="false">IF(J21=0,"",I21/J21)</f>
        <v/>
      </c>
      <c r="L21" s="19" t="n">
        <f aca="false">SUM($I$11:I21)</f>
        <v>21090</v>
      </c>
      <c r="M21" s="19" t="n">
        <f aca="false">SUM($J$11:J21)</f>
        <v>0</v>
      </c>
    </row>
    <row r="22" customFormat="false" ht="15" hidden="false" customHeight="false" outlineLevel="0" collapsed="false">
      <c r="A22" s="17" t="n">
        <v>12</v>
      </c>
      <c r="B22" s="18" t="str">
        <f aca="false">TEXT(DATE(2000,FYStart+A22-1,1),"mmm")</f>
        <v>Dec</v>
      </c>
      <c r="C22" s="19" t="n">
        <f aca="false">SUMIFS(Sales_Log!$K$5:$K$2004,Sales_Log!$S$5:$S$2004,$C$4,Sales_Log!$V$5:$V$2004,"Yes",Sales_Log!$T$5:$T$2004,$A22,Sales_Log!$E$5:$E$2004,"Infrastructure")</f>
        <v>0</v>
      </c>
      <c r="D22" s="19" t="n">
        <f aca="false">SUMIFS(Targets!$E$6:$E$47,Targets!$B$6:$B$47,$C$4,Targets!$C$6:$C$47,$A22)</f>
        <v>0</v>
      </c>
      <c r="E22" s="20" t="str">
        <f aca="false">IF(D22=0,"",C22/D22)</f>
        <v/>
      </c>
      <c r="F22" s="19" t="n">
        <f aca="false">SUMIFS(Sales_Log!$K$5:$K$2004,Sales_Log!$S$5:$S$2004,$C$4,Sales_Log!$V$5:$V$2004,"Yes",Sales_Log!$T$5:$T$2004,$A22,Sales_Log!$E$5:$E$2004,"Building")</f>
        <v>0</v>
      </c>
      <c r="G22" s="19" t="n">
        <f aca="false">SUMIFS(Targets!$F$6:$F$47,Targets!$B$6:$B$47,$C$4,Targets!$C$6:$C$47,$A22)</f>
        <v>0</v>
      </c>
      <c r="H22" s="20" t="str">
        <f aca="false">IF(G22=0,"",F22/G22)</f>
        <v/>
      </c>
      <c r="I22" s="19" t="n">
        <f aca="false">C22+F22</f>
        <v>0</v>
      </c>
      <c r="J22" s="19" t="n">
        <f aca="false">D22+G22</f>
        <v>0</v>
      </c>
      <c r="K22" s="20" t="str">
        <f aca="false">IF(J22=0,"",I22/J22)</f>
        <v/>
      </c>
      <c r="L22" s="19" t="n">
        <f aca="false">SUM($I$11:I22)</f>
        <v>21090</v>
      </c>
      <c r="M22" s="19" t="n">
        <f aca="false">SUM($J$11:J22)</f>
        <v>0</v>
      </c>
    </row>
    <row r="23" customFormat="false" ht="15" hidden="false" customHeight="false" outlineLevel="0" collapsed="false">
      <c r="A23" s="21"/>
      <c r="B23" s="21" t="s">
        <v>53</v>
      </c>
      <c r="C23" s="21" t="n">
        <f aca="false">SUM(C11:C22)</f>
        <v>21090</v>
      </c>
      <c r="D23" s="21" t="n">
        <f aca="false">SUM(D11:D22)</f>
        <v>0</v>
      </c>
      <c r="E23" s="22" t="str">
        <f aca="false">IF(D23=0,"",C23/D23)</f>
        <v/>
      </c>
      <c r="F23" s="21" t="n">
        <f aca="false">SUM(F11:F22)</f>
        <v>0</v>
      </c>
      <c r="G23" s="21" t="n">
        <f aca="false">SUM(G11:G22)</f>
        <v>0</v>
      </c>
      <c r="H23" s="22" t="str">
        <f aca="false">IF(G23=0,"",F23/G23)</f>
        <v/>
      </c>
      <c r="I23" s="21" t="n">
        <f aca="false">SUM(I11:I22)</f>
        <v>21090</v>
      </c>
      <c r="J23" s="21" t="n">
        <f aca="false">SUM(J11:J22)</f>
        <v>0</v>
      </c>
      <c r="K23" s="22" t="str">
        <f aca="false">IF(J23=0,"",I23/J23)</f>
        <v/>
      </c>
      <c r="L23" s="21"/>
      <c r="M23" s="21"/>
    </row>
    <row r="25" customFormat="false" ht="15" hidden="false" customHeight="false" outlineLevel="0" collapsed="false">
      <c r="B25" s="16" t="s">
        <v>54</v>
      </c>
      <c r="J25" s="16" t="s">
        <v>55</v>
      </c>
    </row>
    <row r="26" customFormat="false" ht="15" hidden="false" customHeight="false" outlineLevel="0" collapsed="false">
      <c r="B26" s="11" t="s">
        <v>56</v>
      </c>
      <c r="C26" s="12" t="s">
        <v>33</v>
      </c>
      <c r="D26" s="13" t="s">
        <v>34</v>
      </c>
      <c r="E26" s="11" t="s">
        <v>53</v>
      </c>
      <c r="F26" s="11" t="s">
        <v>57</v>
      </c>
      <c r="G26" s="11" t="s">
        <v>37</v>
      </c>
      <c r="H26" s="11" t="s">
        <v>58</v>
      </c>
      <c r="J26" s="11" t="s">
        <v>59</v>
      </c>
      <c r="K26" s="11" t="s">
        <v>60</v>
      </c>
      <c r="L26" s="12" t="s">
        <v>33</v>
      </c>
      <c r="M26" s="13" t="s">
        <v>34</v>
      </c>
      <c r="N26" s="11" t="s">
        <v>53</v>
      </c>
    </row>
    <row r="27" customFormat="false" ht="15" hidden="false" customHeight="false" outlineLevel="0" collapsed="false">
      <c r="B27" s="23" t="str">
        <f aca="false">IF(Settings!$D$11="","",Settings!$D$11)</f>
        <v>Street Lighting</v>
      </c>
      <c r="C27" s="19" t="n">
        <f aca="false">IF($B27="","",SUMIFS(Sales_Log!$K$5:$K$2004,Sales_Log!$S$5:$S$2004,$C$4,Sales_Log!$V$5:$V$2004,"Yes",Sales_Log!$F$5:$F$2004,$B27,Sales_Log!$E$5:$E$2004,"Infrastructure"))</f>
        <v>21090</v>
      </c>
      <c r="D27" s="19" t="n">
        <f aca="false">IF($B27="","",SUMIFS(Sales_Log!$K$5:$K$2004,Sales_Log!$S$5:$S$2004,$C$4,Sales_Log!$V$5:$V$2004,"Yes",Sales_Log!$F$5:$F$2004,$B27,Sales_Log!$E$5:$E$2004,"Building"))</f>
        <v>0</v>
      </c>
      <c r="E27" s="19" t="n">
        <f aca="false">IF($B27="","",N(C27)+N(D27))</f>
        <v>21090</v>
      </c>
      <c r="F27" s="20" t="n">
        <f aca="false">IF(OR($B27="",$E$42=0),"",E27/$E$42)</f>
        <v>1</v>
      </c>
      <c r="G27" s="19" t="n">
        <f aca="false">IF($B27="","",SUMIFS(Sales_Log!$N$5:$N$2004,Sales_Log!$S$5:$S$2004,$C$4,Sales_Log!$V$5:$V$2004,"Yes",Sales_Log!$F$5:$F$2004,$B27))</f>
        <v>6690</v>
      </c>
      <c r="H27" s="20" t="n">
        <f aca="false">IF(OR($B27="",N(E27)=0),"",G27/E27)</f>
        <v>0.317211948790896</v>
      </c>
      <c r="J27" s="23" t="str">
        <f aca="false">Settings!$H$11</f>
        <v>Quotation</v>
      </c>
      <c r="K27" s="19" t="n">
        <f aca="false">COUNTIFS(Sales_Log!$S$5:$S$2004,$C$4,Sales_Log!$Q$5:$Q$2004,$J27)</f>
        <v>0</v>
      </c>
      <c r="L27" s="19" t="n">
        <f aca="false">SUMIFS(Sales_Log!$K$5:$K$2004,Sales_Log!$S$5:$S$2004,$C$4,Sales_Log!$Q$5:$Q$2004,$J27,Sales_Log!$E$5:$E$2004,"Infrastructure")</f>
        <v>0</v>
      </c>
      <c r="M27" s="19" t="n">
        <f aca="false">SUMIFS(Sales_Log!$K$5:$K$2004,Sales_Log!$S$5:$S$2004,$C$4,Sales_Log!$Q$5:$Q$2004,$J27,Sales_Log!$E$5:$E$2004,"Building")</f>
        <v>0</v>
      </c>
      <c r="N27" s="19" t="n">
        <f aca="false">L27+M27</f>
        <v>0</v>
      </c>
    </row>
    <row r="28" customFormat="false" ht="15" hidden="false" customHeight="false" outlineLevel="0" collapsed="false">
      <c r="B28" s="23" t="str">
        <f aca="false">IF(Settings!$D$12="","",Settings!$D$12)</f>
        <v>Floodlighting</v>
      </c>
      <c r="C28" s="19" t="n">
        <f aca="false">IF($B28="","",SUMIFS(Sales_Log!$K$5:$K$2004,Sales_Log!$S$5:$S$2004,$C$4,Sales_Log!$V$5:$V$2004,"Yes",Sales_Log!$F$5:$F$2004,$B28,Sales_Log!$E$5:$E$2004,"Infrastructure"))</f>
        <v>0</v>
      </c>
      <c r="D28" s="19" t="n">
        <f aca="false">IF($B28="","",SUMIFS(Sales_Log!$K$5:$K$2004,Sales_Log!$S$5:$S$2004,$C$4,Sales_Log!$V$5:$V$2004,"Yes",Sales_Log!$F$5:$F$2004,$B28,Sales_Log!$E$5:$E$2004,"Building"))</f>
        <v>0</v>
      </c>
      <c r="E28" s="19" t="n">
        <f aca="false">IF($B28="","",N(C28)+N(D28))</f>
        <v>0</v>
      </c>
      <c r="F28" s="20" t="n">
        <f aca="false">IF(OR($B28="",$E$42=0),"",E28/$E$42)</f>
        <v>0</v>
      </c>
      <c r="G28" s="19" t="n">
        <f aca="false">IF($B28="","",SUMIFS(Sales_Log!$N$5:$N$2004,Sales_Log!$S$5:$S$2004,$C$4,Sales_Log!$V$5:$V$2004,"Yes",Sales_Log!$F$5:$F$2004,$B28))</f>
        <v>0</v>
      </c>
      <c r="H28" s="20" t="str">
        <f aca="false">IF(OR($B28="",N(E28)=0),"",G28/E28)</f>
        <v/>
      </c>
      <c r="J28" s="23" t="str">
        <f aca="false">Settings!$H$12</f>
        <v>Order Confirmed</v>
      </c>
      <c r="K28" s="19" t="n">
        <f aca="false">COUNTIFS(Sales_Log!$S$5:$S$2004,$C$4,Sales_Log!$Q$5:$Q$2004,$J28)</f>
        <v>0</v>
      </c>
      <c r="L28" s="19" t="n">
        <f aca="false">SUMIFS(Sales_Log!$K$5:$K$2004,Sales_Log!$S$5:$S$2004,$C$4,Sales_Log!$Q$5:$Q$2004,$J28,Sales_Log!$E$5:$E$2004,"Infrastructure")</f>
        <v>0</v>
      </c>
      <c r="M28" s="19" t="n">
        <f aca="false">SUMIFS(Sales_Log!$K$5:$K$2004,Sales_Log!$S$5:$S$2004,$C$4,Sales_Log!$Q$5:$Q$2004,$J28,Sales_Log!$E$5:$E$2004,"Building")</f>
        <v>0</v>
      </c>
      <c r="N28" s="19" t="n">
        <f aca="false">L28+M28</f>
        <v>0</v>
      </c>
    </row>
    <row r="29" customFormat="false" ht="15" hidden="false" customHeight="false" outlineLevel="0" collapsed="false">
      <c r="B29" s="23" t="str">
        <f aca="false">IF(Settings!$D$13="","",Settings!$D$13)</f>
        <v>High Mast</v>
      </c>
      <c r="C29" s="19" t="n">
        <f aca="false">IF($B29="","",SUMIFS(Sales_Log!$K$5:$K$2004,Sales_Log!$S$5:$S$2004,$C$4,Sales_Log!$V$5:$V$2004,"Yes",Sales_Log!$F$5:$F$2004,$B29,Sales_Log!$E$5:$E$2004,"Infrastructure"))</f>
        <v>0</v>
      </c>
      <c r="D29" s="19" t="n">
        <f aca="false">IF($B29="","",SUMIFS(Sales_Log!$K$5:$K$2004,Sales_Log!$S$5:$S$2004,$C$4,Sales_Log!$V$5:$V$2004,"Yes",Sales_Log!$F$5:$F$2004,$B29,Sales_Log!$E$5:$E$2004,"Building"))</f>
        <v>0</v>
      </c>
      <c r="E29" s="19" t="n">
        <f aca="false">IF($B29="","",N(C29)+N(D29))</f>
        <v>0</v>
      </c>
      <c r="F29" s="20" t="n">
        <f aca="false">IF(OR($B29="",$E$42=0),"",E29/$E$42)</f>
        <v>0</v>
      </c>
      <c r="G29" s="19" t="n">
        <f aca="false">IF($B29="","",SUMIFS(Sales_Log!$N$5:$N$2004,Sales_Log!$S$5:$S$2004,$C$4,Sales_Log!$V$5:$V$2004,"Yes",Sales_Log!$F$5:$F$2004,$B29))</f>
        <v>0</v>
      </c>
      <c r="H29" s="20" t="str">
        <f aca="false">IF(OR($B29="",N(E29)=0),"",G29/E29)</f>
        <v/>
      </c>
      <c r="J29" s="23" t="str">
        <f aca="false">Settings!$H$13</f>
        <v>Invoiced</v>
      </c>
      <c r="K29" s="19" t="n">
        <f aca="false">COUNTIFS(Sales_Log!$S$5:$S$2004,$C$4,Sales_Log!$Q$5:$Q$2004,$J29)</f>
        <v>1</v>
      </c>
      <c r="L29" s="19" t="n">
        <f aca="false">SUMIFS(Sales_Log!$K$5:$K$2004,Sales_Log!$S$5:$S$2004,$C$4,Sales_Log!$Q$5:$Q$2004,$J29,Sales_Log!$E$5:$E$2004,"Infrastructure")</f>
        <v>21090</v>
      </c>
      <c r="M29" s="19" t="n">
        <f aca="false">SUMIFS(Sales_Log!$K$5:$K$2004,Sales_Log!$S$5:$S$2004,$C$4,Sales_Log!$Q$5:$Q$2004,$J29,Sales_Log!$E$5:$E$2004,"Building")</f>
        <v>0</v>
      </c>
      <c r="N29" s="19" t="n">
        <f aca="false">L29+M29</f>
        <v>21090</v>
      </c>
    </row>
    <row r="30" customFormat="false" ht="15" hidden="false" customHeight="false" outlineLevel="0" collapsed="false">
      <c r="B30" s="23" t="str">
        <f aca="false">IF(Settings!$D$14="","",Settings!$D$14)</f>
        <v>Tunnel Lighting</v>
      </c>
      <c r="C30" s="19" t="n">
        <f aca="false">IF($B30="","",SUMIFS(Sales_Log!$K$5:$K$2004,Sales_Log!$S$5:$S$2004,$C$4,Sales_Log!$V$5:$V$2004,"Yes",Sales_Log!$F$5:$F$2004,$B30,Sales_Log!$E$5:$E$2004,"Infrastructure"))</f>
        <v>0</v>
      </c>
      <c r="D30" s="19" t="n">
        <f aca="false">IF($B30="","",SUMIFS(Sales_Log!$K$5:$K$2004,Sales_Log!$S$5:$S$2004,$C$4,Sales_Log!$V$5:$V$2004,"Yes",Sales_Log!$F$5:$F$2004,$B30,Sales_Log!$E$5:$E$2004,"Building"))</f>
        <v>0</v>
      </c>
      <c r="E30" s="19" t="n">
        <f aca="false">IF($B30="","",N(C30)+N(D30))</f>
        <v>0</v>
      </c>
      <c r="F30" s="20" t="n">
        <f aca="false">IF(OR($B30="",$E$42=0),"",E30/$E$42)</f>
        <v>0</v>
      </c>
      <c r="G30" s="19" t="n">
        <f aca="false">IF($B30="","",SUMIFS(Sales_Log!$N$5:$N$2004,Sales_Log!$S$5:$S$2004,$C$4,Sales_Log!$V$5:$V$2004,"Yes",Sales_Log!$F$5:$F$2004,$B30))</f>
        <v>0</v>
      </c>
      <c r="H30" s="20" t="str">
        <f aca="false">IF(OR($B30="",N(E30)=0),"",G30/E30)</f>
        <v/>
      </c>
      <c r="J30" s="23" t="str">
        <f aca="false">Settings!$H$14</f>
        <v>Paid</v>
      </c>
      <c r="K30" s="19" t="n">
        <f aca="false">COUNTIFS(Sales_Log!$S$5:$S$2004,$C$4,Sales_Log!$Q$5:$Q$2004,$J30)</f>
        <v>0</v>
      </c>
      <c r="L30" s="19" t="n">
        <f aca="false">SUMIFS(Sales_Log!$K$5:$K$2004,Sales_Log!$S$5:$S$2004,$C$4,Sales_Log!$Q$5:$Q$2004,$J30,Sales_Log!$E$5:$E$2004,"Infrastructure")</f>
        <v>0</v>
      </c>
      <c r="M30" s="19" t="n">
        <f aca="false">SUMIFS(Sales_Log!$K$5:$K$2004,Sales_Log!$S$5:$S$2004,$C$4,Sales_Log!$Q$5:$Q$2004,$J30,Sales_Log!$E$5:$E$2004,"Building")</f>
        <v>0</v>
      </c>
      <c r="N30" s="19" t="n">
        <f aca="false">L30+M30</f>
        <v>0</v>
      </c>
    </row>
    <row r="31" customFormat="false" ht="15" hidden="false" customHeight="false" outlineLevel="0" collapsed="false">
      <c r="B31" s="23" t="str">
        <f aca="false">IF(Settings!$D$15="","",Settings!$D$15)</f>
        <v>Solar Lighting</v>
      </c>
      <c r="C31" s="19" t="n">
        <f aca="false">IF($B31="","",SUMIFS(Sales_Log!$K$5:$K$2004,Sales_Log!$S$5:$S$2004,$C$4,Sales_Log!$V$5:$V$2004,"Yes",Sales_Log!$F$5:$F$2004,$B31,Sales_Log!$E$5:$E$2004,"Infrastructure"))</f>
        <v>0</v>
      </c>
      <c r="D31" s="19" t="n">
        <f aca="false">IF($B31="","",SUMIFS(Sales_Log!$K$5:$K$2004,Sales_Log!$S$5:$S$2004,$C$4,Sales_Log!$V$5:$V$2004,"Yes",Sales_Log!$F$5:$F$2004,$B31,Sales_Log!$E$5:$E$2004,"Building"))</f>
        <v>0</v>
      </c>
      <c r="E31" s="19" t="n">
        <f aca="false">IF($B31="","",N(C31)+N(D31))</f>
        <v>0</v>
      </c>
      <c r="F31" s="20" t="n">
        <f aca="false">IF(OR($B31="",$E$42=0),"",E31/$E$42)</f>
        <v>0</v>
      </c>
      <c r="G31" s="19" t="n">
        <f aca="false">IF($B31="","",SUMIFS(Sales_Log!$N$5:$N$2004,Sales_Log!$S$5:$S$2004,$C$4,Sales_Log!$V$5:$V$2004,"Yes",Sales_Log!$F$5:$F$2004,$B31))</f>
        <v>0</v>
      </c>
      <c r="H31" s="20" t="str">
        <f aca="false">IF(OR($B31="",N(E31)=0),"",G31/E31)</f>
        <v/>
      </c>
      <c r="J31" s="23" t="str">
        <f aca="false">Settings!$H$15</f>
        <v>Lost</v>
      </c>
      <c r="K31" s="19" t="n">
        <f aca="false">COUNTIFS(Sales_Log!$S$5:$S$2004,$C$4,Sales_Log!$Q$5:$Q$2004,$J31)</f>
        <v>0</v>
      </c>
      <c r="L31" s="19" t="n">
        <f aca="false">SUMIFS(Sales_Log!$K$5:$K$2004,Sales_Log!$S$5:$S$2004,$C$4,Sales_Log!$Q$5:$Q$2004,$J31,Sales_Log!$E$5:$E$2004,"Infrastructure")</f>
        <v>0</v>
      </c>
      <c r="M31" s="19" t="n">
        <f aca="false">SUMIFS(Sales_Log!$K$5:$K$2004,Sales_Log!$S$5:$S$2004,$C$4,Sales_Log!$Q$5:$Q$2004,$J31,Sales_Log!$E$5:$E$2004,"Building")</f>
        <v>0</v>
      </c>
      <c r="N31" s="19" t="n">
        <f aca="false">L31+M31</f>
        <v>0</v>
      </c>
    </row>
    <row r="32" customFormat="false" ht="15" hidden="false" customHeight="false" outlineLevel="0" collapsed="false">
      <c r="B32" s="23" t="str">
        <f aca="false">IF(Settings!$D$16="","",Settings!$D$16)</f>
        <v>Indoor Commercial</v>
      </c>
      <c r="C32" s="19" t="n">
        <f aca="false">IF($B32="","",SUMIFS(Sales_Log!$K$5:$K$2004,Sales_Log!$S$5:$S$2004,$C$4,Sales_Log!$V$5:$V$2004,"Yes",Sales_Log!$F$5:$F$2004,$B32,Sales_Log!$E$5:$E$2004,"Infrastructure"))</f>
        <v>0</v>
      </c>
      <c r="D32" s="19" t="n">
        <f aca="false">IF($B32="","",SUMIFS(Sales_Log!$K$5:$K$2004,Sales_Log!$S$5:$S$2004,$C$4,Sales_Log!$V$5:$V$2004,"Yes",Sales_Log!$F$5:$F$2004,$B32,Sales_Log!$E$5:$E$2004,"Building"))</f>
        <v>0</v>
      </c>
      <c r="E32" s="19" t="n">
        <f aca="false">IF($B32="","",N(C32)+N(D32))</f>
        <v>0</v>
      </c>
      <c r="F32" s="20" t="n">
        <f aca="false">IF(OR($B32="",$E$42=0),"",E32/$E$42)</f>
        <v>0</v>
      </c>
      <c r="G32" s="19" t="n">
        <f aca="false">IF($B32="","",SUMIFS(Sales_Log!$N$5:$N$2004,Sales_Log!$S$5:$S$2004,$C$4,Sales_Log!$V$5:$V$2004,"Yes",Sales_Log!$F$5:$F$2004,$B32))</f>
        <v>0</v>
      </c>
      <c r="H32" s="20" t="str">
        <f aca="false">IF(OR($B32="",N(E32)=0),"",G32/E32)</f>
        <v/>
      </c>
      <c r="J32" s="22" t="s">
        <v>61</v>
      </c>
      <c r="K32" s="22"/>
      <c r="L32" s="22"/>
      <c r="M32" s="22"/>
      <c r="N32" s="22" t="n">
        <f aca="false">IF(($B$7+SUMIFS(Sales_Log!$K$5:$K$2004,Sales_Log!$S$5:$S$2004,$C$4,Sales_Log!$Q$5:$Q$2004,"Lost"))=0,"",$B$7/($B$7+SUMIFS(Sales_Log!$K$5:$K$2004,Sales_Log!$S$5:$S$2004,$C$4,Sales_Log!$Q$5:$Q$2004,"Lost")))</f>
        <v>1</v>
      </c>
    </row>
    <row r="33" customFormat="false" ht="15" hidden="false" customHeight="false" outlineLevel="0" collapsed="false">
      <c r="B33" s="23" t="str">
        <f aca="false">IF(Settings!$D$17="","",Settings!$D$17)</f>
        <v>Industrial / High Bay</v>
      </c>
      <c r="C33" s="19" t="n">
        <f aca="false">IF($B33="","",SUMIFS(Sales_Log!$K$5:$K$2004,Sales_Log!$S$5:$S$2004,$C$4,Sales_Log!$V$5:$V$2004,"Yes",Sales_Log!$F$5:$F$2004,$B33,Sales_Log!$E$5:$E$2004,"Infrastructure"))</f>
        <v>0</v>
      </c>
      <c r="D33" s="19" t="n">
        <f aca="false">IF($B33="","",SUMIFS(Sales_Log!$K$5:$K$2004,Sales_Log!$S$5:$S$2004,$C$4,Sales_Log!$V$5:$V$2004,"Yes",Sales_Log!$F$5:$F$2004,$B33,Sales_Log!$E$5:$E$2004,"Building"))</f>
        <v>0</v>
      </c>
      <c r="E33" s="19" t="n">
        <f aca="false">IF($B33="","",N(C33)+N(D33))</f>
        <v>0</v>
      </c>
      <c r="F33" s="20" t="n">
        <f aca="false">IF(OR($B33="",$E$42=0),"",E33/$E$42)</f>
        <v>0</v>
      </c>
      <c r="G33" s="19" t="n">
        <f aca="false">IF($B33="","",SUMIFS(Sales_Log!$N$5:$N$2004,Sales_Log!$S$5:$S$2004,$C$4,Sales_Log!$V$5:$V$2004,"Yes",Sales_Log!$F$5:$F$2004,$B33))</f>
        <v>0</v>
      </c>
      <c r="H33" s="20" t="str">
        <f aca="false">IF(OR($B33="",N(E33)=0),"",G33/E33)</f>
        <v/>
      </c>
    </row>
    <row r="34" customFormat="false" ht="15" hidden="false" customHeight="false" outlineLevel="0" collapsed="false">
      <c r="B34" s="23" t="str">
        <f aca="false">IF(Settings!$D$18="","",Settings!$D$18)</f>
        <v>Architectural / Facade</v>
      </c>
      <c r="C34" s="19" t="n">
        <f aca="false">IF($B34="","",SUMIFS(Sales_Log!$K$5:$K$2004,Sales_Log!$S$5:$S$2004,$C$4,Sales_Log!$V$5:$V$2004,"Yes",Sales_Log!$F$5:$F$2004,$B34,Sales_Log!$E$5:$E$2004,"Infrastructure"))</f>
        <v>0</v>
      </c>
      <c r="D34" s="19" t="n">
        <f aca="false">IF($B34="","",SUMIFS(Sales_Log!$K$5:$K$2004,Sales_Log!$S$5:$S$2004,$C$4,Sales_Log!$V$5:$V$2004,"Yes",Sales_Log!$F$5:$F$2004,$B34,Sales_Log!$E$5:$E$2004,"Building"))</f>
        <v>0</v>
      </c>
      <c r="E34" s="19" t="n">
        <f aca="false">IF($B34="","",N(C34)+N(D34))</f>
        <v>0</v>
      </c>
      <c r="F34" s="20" t="n">
        <f aca="false">IF(OR($B34="",$E$42=0),"",E34/$E$42)</f>
        <v>0</v>
      </c>
      <c r="G34" s="19" t="n">
        <f aca="false">IF($B34="","",SUMIFS(Sales_Log!$N$5:$N$2004,Sales_Log!$S$5:$S$2004,$C$4,Sales_Log!$V$5:$V$2004,"Yes",Sales_Log!$F$5:$F$2004,$B34))</f>
        <v>0</v>
      </c>
      <c r="H34" s="20" t="str">
        <f aca="false">IF(OR($B34="",N(E34)=0),"",G34/E34)</f>
        <v/>
      </c>
      <c r="J34" s="16" t="s">
        <v>62</v>
      </c>
    </row>
    <row r="35" customFormat="false" ht="15" hidden="false" customHeight="false" outlineLevel="0" collapsed="false">
      <c r="B35" s="23" t="str">
        <f aca="false">IF(Settings!$D$19="","",Settings!$D$19)</f>
        <v>Emergency &amp; Exit</v>
      </c>
      <c r="C35" s="19" t="n">
        <f aca="false">IF($B35="","",SUMIFS(Sales_Log!$K$5:$K$2004,Sales_Log!$S$5:$S$2004,$C$4,Sales_Log!$V$5:$V$2004,"Yes",Sales_Log!$F$5:$F$2004,$B35,Sales_Log!$E$5:$E$2004,"Infrastructure"))</f>
        <v>0</v>
      </c>
      <c r="D35" s="19" t="n">
        <f aca="false">IF($B35="","",SUMIFS(Sales_Log!$K$5:$K$2004,Sales_Log!$S$5:$S$2004,$C$4,Sales_Log!$V$5:$V$2004,"Yes",Sales_Log!$F$5:$F$2004,$B35,Sales_Log!$E$5:$E$2004,"Building"))</f>
        <v>0</v>
      </c>
      <c r="E35" s="19" t="n">
        <f aca="false">IF($B35="","",N(C35)+N(D35))</f>
        <v>0</v>
      </c>
      <c r="F35" s="20" t="n">
        <f aca="false">IF(OR($B35="",$E$42=0),"",E35/$E$42)</f>
        <v>0</v>
      </c>
      <c r="G35" s="19" t="n">
        <f aca="false">IF($B35="","",SUMIFS(Sales_Log!$N$5:$N$2004,Sales_Log!$S$5:$S$2004,$C$4,Sales_Log!$V$5:$V$2004,"Yes",Sales_Log!$F$5:$F$2004,$B35))</f>
        <v>0</v>
      </c>
      <c r="H35" s="20" t="str">
        <f aca="false">IF(OR($B35="",N(E35)=0),"",G35/E35)</f>
        <v/>
      </c>
      <c r="J35" s="11" t="s">
        <v>63</v>
      </c>
      <c r="K35" s="11" t="s">
        <v>64</v>
      </c>
      <c r="L35" s="11" t="s">
        <v>57</v>
      </c>
      <c r="M35" s="11" t="s">
        <v>37</v>
      </c>
      <c r="N35" s="11" t="s">
        <v>58</v>
      </c>
    </row>
    <row r="36" customFormat="false" ht="15" hidden="false" customHeight="false" outlineLevel="0" collapsed="false">
      <c r="B36" s="23" t="str">
        <f aca="false">IF(Settings!$D$20="","",Settings!$D$20)</f>
        <v>Lighting Controls</v>
      </c>
      <c r="C36" s="19" t="n">
        <f aca="false">IF($B36="","",SUMIFS(Sales_Log!$K$5:$K$2004,Sales_Log!$S$5:$S$2004,$C$4,Sales_Log!$V$5:$V$2004,"Yes",Sales_Log!$F$5:$F$2004,$B36,Sales_Log!$E$5:$E$2004,"Infrastructure"))</f>
        <v>0</v>
      </c>
      <c r="D36" s="19" t="n">
        <f aca="false">IF($B36="","",SUMIFS(Sales_Log!$K$5:$K$2004,Sales_Log!$S$5:$S$2004,$C$4,Sales_Log!$V$5:$V$2004,"Yes",Sales_Log!$F$5:$F$2004,$B36,Sales_Log!$E$5:$E$2004,"Building"))</f>
        <v>0</v>
      </c>
      <c r="E36" s="19" t="n">
        <f aca="false">IF($B36="","",N(C36)+N(D36))</f>
        <v>0</v>
      </c>
      <c r="F36" s="20" t="n">
        <f aca="false">IF(OR($B36="",$E$42=0),"",E36/$E$42)</f>
        <v>0</v>
      </c>
      <c r="G36" s="19" t="n">
        <f aca="false">IF($B36="","",SUMIFS(Sales_Log!$N$5:$N$2004,Sales_Log!$S$5:$S$2004,$C$4,Sales_Log!$V$5:$V$2004,"Yes",Sales_Log!$F$5:$F$2004,$B36))</f>
        <v>0</v>
      </c>
      <c r="H36" s="20" t="str">
        <f aca="false">IF(OR($B36="",N(E36)=0),"",G36/E36)</f>
        <v/>
      </c>
      <c r="J36" s="24" t="s">
        <v>33</v>
      </c>
      <c r="K36" s="19" t="n">
        <f aca="false">C7</f>
        <v>21090</v>
      </c>
      <c r="L36" s="20" t="n">
        <f aca="false">IF($B$7=0,"",K36/$B$7)</f>
        <v>1</v>
      </c>
      <c r="M36" s="19" t="n">
        <f aca="false">SUMIFS(Sales_Log!$N$5:$N$2004,Sales_Log!$S$5:$S$2004,$C$4,Sales_Log!$V$5:$V$2004,"Yes",Sales_Log!$E$5:$E$2004,J36)</f>
        <v>6690</v>
      </c>
      <c r="N36" s="20" t="n">
        <f aca="false">IF(K36=0,"",M36/K36)</f>
        <v>0.317211948790896</v>
      </c>
    </row>
    <row r="37" customFormat="false" ht="15" hidden="false" customHeight="false" outlineLevel="0" collapsed="false">
      <c r="B37" s="23" t="str">
        <f aca="false">IF(Settings!$D$21="","",Settings!$D$21)</f>
        <v>Installation &amp; Services</v>
      </c>
      <c r="C37" s="19" t="n">
        <f aca="false">IF($B37="","",SUMIFS(Sales_Log!$K$5:$K$2004,Sales_Log!$S$5:$S$2004,$C$4,Sales_Log!$V$5:$V$2004,"Yes",Sales_Log!$F$5:$F$2004,$B37,Sales_Log!$E$5:$E$2004,"Infrastructure"))</f>
        <v>0</v>
      </c>
      <c r="D37" s="19" t="n">
        <f aca="false">IF($B37="","",SUMIFS(Sales_Log!$K$5:$K$2004,Sales_Log!$S$5:$S$2004,$C$4,Sales_Log!$V$5:$V$2004,"Yes",Sales_Log!$F$5:$F$2004,$B37,Sales_Log!$E$5:$E$2004,"Building"))</f>
        <v>0</v>
      </c>
      <c r="E37" s="19" t="n">
        <f aca="false">IF($B37="","",N(C37)+N(D37))</f>
        <v>0</v>
      </c>
      <c r="F37" s="20" t="n">
        <f aca="false">IF(OR($B37="",$E$42=0),"",E37/$E$42)</f>
        <v>0</v>
      </c>
      <c r="G37" s="19" t="n">
        <f aca="false">IF($B37="","",SUMIFS(Sales_Log!$N$5:$N$2004,Sales_Log!$S$5:$S$2004,$C$4,Sales_Log!$V$5:$V$2004,"Yes",Sales_Log!$F$5:$F$2004,$B37))</f>
        <v>0</v>
      </c>
      <c r="H37" s="20" t="str">
        <f aca="false">IF(OR($B37="",N(E37)=0),"",G37/E37)</f>
        <v/>
      </c>
      <c r="J37" s="24" t="s">
        <v>34</v>
      </c>
      <c r="K37" s="19" t="n">
        <f aca="false">D7</f>
        <v>0</v>
      </c>
      <c r="L37" s="20" t="n">
        <f aca="false">IF($B$7=0,"",K37/$B$7)</f>
        <v>0</v>
      </c>
      <c r="M37" s="19" t="n">
        <f aca="false">SUMIFS(Sales_Log!$N$5:$N$2004,Sales_Log!$S$5:$S$2004,$C$4,Sales_Log!$V$5:$V$2004,"Yes",Sales_Log!$E$5:$E$2004,J37)</f>
        <v>0</v>
      </c>
      <c r="N37" s="20" t="str">
        <f aca="false">IF(K37=0,"",M37/K37)</f>
        <v/>
      </c>
    </row>
    <row r="38" customFormat="false" ht="15" hidden="false" customHeight="false" outlineLevel="0" collapsed="false">
      <c r="B38" s="23" t="str">
        <f aca="false">IF(Settings!$D$22="","",Settings!$D$22)</f>
        <v/>
      </c>
      <c r="C38" s="19" t="str">
        <f aca="false">IF($B38="","",SUMIFS(Sales_Log!$K$5:$K$2004,Sales_Log!$S$5:$S$2004,$C$4,Sales_Log!$V$5:$V$2004,"Yes",Sales_Log!$F$5:$F$2004,$B38,Sales_Log!$E$5:$E$2004,"Infrastructure"))</f>
        <v/>
      </c>
      <c r="D38" s="19" t="str">
        <f aca="false">IF($B38="","",SUMIFS(Sales_Log!$K$5:$K$2004,Sales_Log!$S$5:$S$2004,$C$4,Sales_Log!$V$5:$V$2004,"Yes",Sales_Log!$F$5:$F$2004,$B38,Sales_Log!$E$5:$E$2004,"Building"))</f>
        <v/>
      </c>
      <c r="E38" s="19" t="str">
        <f aca="false">IF($B38="","",N(C38)+N(D38))</f>
        <v/>
      </c>
      <c r="F38" s="20" t="str">
        <f aca="false">IF(OR($B38="",$E$42=0),"",E38/$E$42)</f>
        <v/>
      </c>
      <c r="G38" s="19" t="str">
        <f aca="false">IF($B38="","",SUMIFS(Sales_Log!$N$5:$N$2004,Sales_Log!$S$5:$S$2004,$C$4,Sales_Log!$V$5:$V$2004,"Yes",Sales_Log!$F$5:$F$2004,$B38))</f>
        <v/>
      </c>
      <c r="H38" s="20" t="str">
        <f aca="false">IF(OR($B38="",N(E38)=0),"",G38/E38)</f>
        <v/>
      </c>
    </row>
    <row r="39" customFormat="false" ht="15" hidden="false" customHeight="false" outlineLevel="0" collapsed="false">
      <c r="B39" s="23" t="str">
        <f aca="false">IF(Settings!$D$23="","",Settings!$D$23)</f>
        <v/>
      </c>
      <c r="C39" s="19" t="str">
        <f aca="false">IF($B39="","",SUMIFS(Sales_Log!$K$5:$K$2004,Sales_Log!$S$5:$S$2004,$C$4,Sales_Log!$V$5:$V$2004,"Yes",Sales_Log!$F$5:$F$2004,$B39,Sales_Log!$E$5:$E$2004,"Infrastructure"))</f>
        <v/>
      </c>
      <c r="D39" s="19" t="str">
        <f aca="false">IF($B39="","",SUMIFS(Sales_Log!$K$5:$K$2004,Sales_Log!$S$5:$S$2004,$C$4,Sales_Log!$V$5:$V$2004,"Yes",Sales_Log!$F$5:$F$2004,$B39,Sales_Log!$E$5:$E$2004,"Building"))</f>
        <v/>
      </c>
      <c r="E39" s="19" t="str">
        <f aca="false">IF($B39="","",N(C39)+N(D39))</f>
        <v/>
      </c>
      <c r="F39" s="20" t="str">
        <f aca="false">IF(OR($B39="",$E$42=0),"",E39/$E$42)</f>
        <v/>
      </c>
      <c r="G39" s="19" t="str">
        <f aca="false">IF($B39="","",SUMIFS(Sales_Log!$N$5:$N$2004,Sales_Log!$S$5:$S$2004,$C$4,Sales_Log!$V$5:$V$2004,"Yes",Sales_Log!$F$5:$F$2004,$B39))</f>
        <v/>
      </c>
      <c r="H39" s="20" t="str">
        <f aca="false">IF(OR($B39="",N(E39)=0),"",G39/E39)</f>
        <v/>
      </c>
    </row>
    <row r="40" customFormat="false" ht="15" hidden="false" customHeight="false" outlineLevel="0" collapsed="false">
      <c r="B40" s="23" t="str">
        <f aca="false">IF(Settings!$D$24="","",Settings!$D$24)</f>
        <v/>
      </c>
      <c r="C40" s="19" t="str">
        <f aca="false">IF($B40="","",SUMIFS(Sales_Log!$K$5:$K$2004,Sales_Log!$S$5:$S$2004,$C$4,Sales_Log!$V$5:$V$2004,"Yes",Sales_Log!$F$5:$F$2004,$B40,Sales_Log!$E$5:$E$2004,"Infrastructure"))</f>
        <v/>
      </c>
      <c r="D40" s="19" t="str">
        <f aca="false">IF($B40="","",SUMIFS(Sales_Log!$K$5:$K$2004,Sales_Log!$S$5:$S$2004,$C$4,Sales_Log!$V$5:$V$2004,"Yes",Sales_Log!$F$5:$F$2004,$B40,Sales_Log!$E$5:$E$2004,"Building"))</f>
        <v/>
      </c>
      <c r="E40" s="19" t="str">
        <f aca="false">IF($B40="","",N(C40)+N(D40))</f>
        <v/>
      </c>
      <c r="F40" s="20" t="str">
        <f aca="false">IF(OR($B40="",$E$42=0),"",E40/$E$42)</f>
        <v/>
      </c>
      <c r="G40" s="19" t="str">
        <f aca="false">IF($B40="","",SUMIFS(Sales_Log!$N$5:$N$2004,Sales_Log!$S$5:$S$2004,$C$4,Sales_Log!$V$5:$V$2004,"Yes",Sales_Log!$F$5:$F$2004,$B40))</f>
        <v/>
      </c>
      <c r="H40" s="20" t="str">
        <f aca="false">IF(OR($B40="",N(E40)=0),"",G40/E40)</f>
        <v/>
      </c>
    </row>
    <row r="41" customFormat="false" ht="15" hidden="false" customHeight="false" outlineLevel="0" collapsed="false">
      <c r="B41" s="23" t="str">
        <f aca="false">IF(Settings!$D$25="","",Settings!$D$25)</f>
        <v/>
      </c>
      <c r="C41" s="19" t="str">
        <f aca="false">IF($B41="","",SUMIFS(Sales_Log!$K$5:$K$2004,Sales_Log!$S$5:$S$2004,$C$4,Sales_Log!$V$5:$V$2004,"Yes",Sales_Log!$F$5:$F$2004,$B41,Sales_Log!$E$5:$E$2004,"Infrastructure"))</f>
        <v/>
      </c>
      <c r="D41" s="19" t="str">
        <f aca="false">IF($B41="","",SUMIFS(Sales_Log!$K$5:$K$2004,Sales_Log!$S$5:$S$2004,$C$4,Sales_Log!$V$5:$V$2004,"Yes",Sales_Log!$F$5:$F$2004,$B41,Sales_Log!$E$5:$E$2004,"Building"))</f>
        <v/>
      </c>
      <c r="E41" s="19" t="str">
        <f aca="false">IF($B41="","",N(C41)+N(D41))</f>
        <v/>
      </c>
      <c r="F41" s="20" t="str">
        <f aca="false">IF(OR($B41="",$E$42=0),"",E41/$E$42)</f>
        <v/>
      </c>
      <c r="G41" s="19" t="str">
        <f aca="false">IF($B41="","",SUMIFS(Sales_Log!$N$5:$N$2004,Sales_Log!$S$5:$S$2004,$C$4,Sales_Log!$V$5:$V$2004,"Yes",Sales_Log!$F$5:$F$2004,$B41))</f>
        <v/>
      </c>
      <c r="H41" s="20" t="str">
        <f aca="false">IF(OR($B41="",N(E41)=0),"",G41/E41)</f>
        <v/>
      </c>
    </row>
    <row r="42" customFormat="false" ht="15" hidden="false" customHeight="false" outlineLevel="0" collapsed="false">
      <c r="B42" s="21" t="s">
        <v>53</v>
      </c>
      <c r="C42" s="21" t="n">
        <f aca="false">SUM(C27:C41)</f>
        <v>21090</v>
      </c>
      <c r="D42" s="21" t="n">
        <f aca="false">SUM(D27:D41)</f>
        <v>0</v>
      </c>
      <c r="E42" s="21" t="n">
        <f aca="false">SUM(E27:E41)</f>
        <v>21090</v>
      </c>
      <c r="F42" s="22" t="n">
        <f aca="false">IF(E42=0,"",1)</f>
        <v>1</v>
      </c>
      <c r="G42" s="21" t="n">
        <f aca="false">SUM(G27:G41)</f>
        <v>6690</v>
      </c>
      <c r="H42" s="22" t="n">
        <f aca="false">IF(E42=0,"",G42/E42)</f>
        <v>0.317211948790896</v>
      </c>
    </row>
    <row r="44" customFormat="false" ht="15" hidden="false" customHeight="false" outlineLevel="0" collapsed="false">
      <c r="B44" s="16" t="s">
        <v>65</v>
      </c>
    </row>
    <row r="45" customFormat="false" ht="15" hidden="false" customHeight="false" outlineLevel="0" collapsed="false">
      <c r="B45" s="11" t="s">
        <v>66</v>
      </c>
      <c r="C45" s="12" t="s">
        <v>33</v>
      </c>
      <c r="D45" s="13" t="s">
        <v>34</v>
      </c>
      <c r="E45" s="11" t="s">
        <v>32</v>
      </c>
      <c r="F45" s="11" t="s">
        <v>37</v>
      </c>
      <c r="G45" s="11" t="s">
        <v>58</v>
      </c>
      <c r="H45" s="11" t="s">
        <v>67</v>
      </c>
      <c r="I45" s="11" t="s">
        <v>39</v>
      </c>
    </row>
    <row r="46" customFormat="false" ht="15" hidden="false" customHeight="false" outlineLevel="0" collapsed="false">
      <c r="B46" s="23" t="str">
        <f aca="false">IF(Settings!$F$11="","",Settings!$F$11)</f>
        <v>Sales Rep 1</v>
      </c>
      <c r="C46" s="19" t="n">
        <f aca="false">IF($B46="","",SUMIFS(Sales_Log!$K$5:$K$2004,Sales_Log!$S$5:$S$2004,$C$4,Sales_Log!$V$5:$V$2004,"Yes",Sales_Log!$P$5:$P$2004,$B46,Sales_Log!$E$5:$E$2004,"Infrastructure"))</f>
        <v>21090</v>
      </c>
      <c r="D46" s="19" t="n">
        <f aca="false">IF($B46="","",SUMIFS(Sales_Log!$K$5:$K$2004,Sales_Log!$S$5:$S$2004,$C$4,Sales_Log!$V$5:$V$2004,"Yes",Sales_Log!$P$5:$P$2004,$B46,Sales_Log!$E$5:$E$2004,"Building"))</f>
        <v>0</v>
      </c>
      <c r="E46" s="19" t="n">
        <f aca="false">IF($B46="","",N(C46)+N(D46))</f>
        <v>21090</v>
      </c>
      <c r="F46" s="19" t="n">
        <f aca="false">IF($B46="","",SUMIFS(Sales_Log!$N$5:$N$2004,Sales_Log!$S$5:$S$2004,$C$4,Sales_Log!$V$5:$V$2004,"Yes",Sales_Log!$P$5:$P$2004,$B46))</f>
        <v>6690</v>
      </c>
      <c r="G46" s="20" t="n">
        <f aca="false">IF(OR($B46="",N(E46)=0),"",F46/E46)</f>
        <v>0.317211948790896</v>
      </c>
      <c r="H46" s="19" t="n">
        <f aca="false">IF($B46="","",COUNTIFS(Sales_Log!$S$5:$S$2004,$C$4,Sales_Log!$V$5:$V$2004,"Yes",Sales_Log!$P$5:$P$2004,$B46))</f>
        <v>1</v>
      </c>
      <c r="I46" s="19" t="n">
        <f aca="false">IF($B46="","",SUMIFS(Sales_Log!$K$5:$K$2004,Sales_Log!$S$5:$S$2004,$C$4,Sales_Log!$W$5:$W$2004,"Yes",Sales_Log!$P$5:$P$2004,$B46))</f>
        <v>0</v>
      </c>
    </row>
    <row r="47" customFormat="false" ht="15" hidden="false" customHeight="false" outlineLevel="0" collapsed="false">
      <c r="B47" s="23" t="str">
        <f aca="false">IF(Settings!$F$12="","",Settings!$F$12)</f>
        <v>Sales Rep 2</v>
      </c>
      <c r="C47" s="19" t="n">
        <f aca="false">IF($B47="","",SUMIFS(Sales_Log!$K$5:$K$2004,Sales_Log!$S$5:$S$2004,$C$4,Sales_Log!$V$5:$V$2004,"Yes",Sales_Log!$P$5:$P$2004,$B47,Sales_Log!$E$5:$E$2004,"Infrastructure"))</f>
        <v>0</v>
      </c>
      <c r="D47" s="19" t="n">
        <f aca="false">IF($B47="","",SUMIFS(Sales_Log!$K$5:$K$2004,Sales_Log!$S$5:$S$2004,$C$4,Sales_Log!$V$5:$V$2004,"Yes",Sales_Log!$P$5:$P$2004,$B47,Sales_Log!$E$5:$E$2004,"Building"))</f>
        <v>0</v>
      </c>
      <c r="E47" s="19" t="n">
        <f aca="false">IF($B47="","",N(C47)+N(D47))</f>
        <v>0</v>
      </c>
      <c r="F47" s="19" t="n">
        <f aca="false">IF($B47="","",SUMIFS(Sales_Log!$N$5:$N$2004,Sales_Log!$S$5:$S$2004,$C$4,Sales_Log!$V$5:$V$2004,"Yes",Sales_Log!$P$5:$P$2004,$B47))</f>
        <v>0</v>
      </c>
      <c r="G47" s="20" t="str">
        <f aca="false">IF(OR($B47="",N(E47)=0),"",F47/E47)</f>
        <v/>
      </c>
      <c r="H47" s="19" t="n">
        <f aca="false">IF($B47="","",COUNTIFS(Sales_Log!$S$5:$S$2004,$C$4,Sales_Log!$V$5:$V$2004,"Yes",Sales_Log!$P$5:$P$2004,$B47))</f>
        <v>0</v>
      </c>
      <c r="I47" s="19" t="n">
        <f aca="false">IF($B47="","",SUMIFS(Sales_Log!$K$5:$K$2004,Sales_Log!$S$5:$S$2004,$C$4,Sales_Log!$W$5:$W$2004,"Yes",Sales_Log!$P$5:$P$2004,$B47))</f>
        <v>0</v>
      </c>
    </row>
    <row r="48" customFormat="false" ht="15" hidden="false" customHeight="false" outlineLevel="0" collapsed="false">
      <c r="B48" s="23" t="str">
        <f aca="false">IF(Settings!$F$13="","",Settings!$F$13)</f>
        <v>Sales Rep 3</v>
      </c>
      <c r="C48" s="19" t="n">
        <f aca="false">IF($B48="","",SUMIFS(Sales_Log!$K$5:$K$2004,Sales_Log!$S$5:$S$2004,$C$4,Sales_Log!$V$5:$V$2004,"Yes",Sales_Log!$P$5:$P$2004,$B48,Sales_Log!$E$5:$E$2004,"Infrastructure"))</f>
        <v>0</v>
      </c>
      <c r="D48" s="19" t="n">
        <f aca="false">IF($B48="","",SUMIFS(Sales_Log!$K$5:$K$2004,Sales_Log!$S$5:$S$2004,$C$4,Sales_Log!$V$5:$V$2004,"Yes",Sales_Log!$P$5:$P$2004,$B48,Sales_Log!$E$5:$E$2004,"Building"))</f>
        <v>0</v>
      </c>
      <c r="E48" s="19" t="n">
        <f aca="false">IF($B48="","",N(C48)+N(D48))</f>
        <v>0</v>
      </c>
      <c r="F48" s="19" t="n">
        <f aca="false">IF($B48="","",SUMIFS(Sales_Log!$N$5:$N$2004,Sales_Log!$S$5:$S$2004,$C$4,Sales_Log!$V$5:$V$2004,"Yes",Sales_Log!$P$5:$P$2004,$B48))</f>
        <v>0</v>
      </c>
      <c r="G48" s="20" t="str">
        <f aca="false">IF(OR($B48="",N(E48)=0),"",F48/E48)</f>
        <v/>
      </c>
      <c r="H48" s="19" t="n">
        <f aca="false">IF($B48="","",COUNTIFS(Sales_Log!$S$5:$S$2004,$C$4,Sales_Log!$V$5:$V$2004,"Yes",Sales_Log!$P$5:$P$2004,$B48))</f>
        <v>0</v>
      </c>
      <c r="I48" s="19" t="n">
        <f aca="false">IF($B48="","",SUMIFS(Sales_Log!$K$5:$K$2004,Sales_Log!$S$5:$S$2004,$C$4,Sales_Log!$W$5:$W$2004,"Yes",Sales_Log!$P$5:$P$2004,$B48))</f>
        <v>0</v>
      </c>
    </row>
    <row r="49" customFormat="false" ht="15" hidden="false" customHeight="false" outlineLevel="0" collapsed="false">
      <c r="B49" s="23" t="str">
        <f aca="false">IF(Settings!$F$14="","",Settings!$F$14)</f>
        <v>Sales Rep 4</v>
      </c>
      <c r="C49" s="19" t="n">
        <f aca="false">IF($B49="","",SUMIFS(Sales_Log!$K$5:$K$2004,Sales_Log!$S$5:$S$2004,$C$4,Sales_Log!$V$5:$V$2004,"Yes",Sales_Log!$P$5:$P$2004,$B49,Sales_Log!$E$5:$E$2004,"Infrastructure"))</f>
        <v>0</v>
      </c>
      <c r="D49" s="19" t="n">
        <f aca="false">IF($B49="","",SUMIFS(Sales_Log!$K$5:$K$2004,Sales_Log!$S$5:$S$2004,$C$4,Sales_Log!$V$5:$V$2004,"Yes",Sales_Log!$P$5:$P$2004,$B49,Sales_Log!$E$5:$E$2004,"Building"))</f>
        <v>0</v>
      </c>
      <c r="E49" s="19" t="n">
        <f aca="false">IF($B49="","",N(C49)+N(D49))</f>
        <v>0</v>
      </c>
      <c r="F49" s="19" t="n">
        <f aca="false">IF($B49="","",SUMIFS(Sales_Log!$N$5:$N$2004,Sales_Log!$S$5:$S$2004,$C$4,Sales_Log!$V$5:$V$2004,"Yes",Sales_Log!$P$5:$P$2004,$B49))</f>
        <v>0</v>
      </c>
      <c r="G49" s="20" t="str">
        <f aca="false">IF(OR($B49="",N(E49)=0),"",F49/E49)</f>
        <v/>
      </c>
      <c r="H49" s="19" t="n">
        <f aca="false">IF($B49="","",COUNTIFS(Sales_Log!$S$5:$S$2004,$C$4,Sales_Log!$V$5:$V$2004,"Yes",Sales_Log!$P$5:$P$2004,$B49))</f>
        <v>0</v>
      </c>
      <c r="I49" s="19" t="n">
        <f aca="false">IF($B49="","",SUMIFS(Sales_Log!$K$5:$K$2004,Sales_Log!$S$5:$S$2004,$C$4,Sales_Log!$W$5:$W$2004,"Yes",Sales_Log!$P$5:$P$2004,$B49))</f>
        <v>0</v>
      </c>
    </row>
    <row r="50" customFormat="false" ht="15" hidden="false" customHeight="false" outlineLevel="0" collapsed="false">
      <c r="B50" s="23" t="str">
        <f aca="false">IF(Settings!$F$15="","",Settings!$F$15)</f>
        <v>Sales Rep 5</v>
      </c>
      <c r="C50" s="19" t="n">
        <f aca="false">IF($B50="","",SUMIFS(Sales_Log!$K$5:$K$2004,Sales_Log!$S$5:$S$2004,$C$4,Sales_Log!$V$5:$V$2004,"Yes",Sales_Log!$P$5:$P$2004,$B50,Sales_Log!$E$5:$E$2004,"Infrastructure"))</f>
        <v>0</v>
      </c>
      <c r="D50" s="19" t="n">
        <f aca="false">IF($B50="","",SUMIFS(Sales_Log!$K$5:$K$2004,Sales_Log!$S$5:$S$2004,$C$4,Sales_Log!$V$5:$V$2004,"Yes",Sales_Log!$P$5:$P$2004,$B50,Sales_Log!$E$5:$E$2004,"Building"))</f>
        <v>0</v>
      </c>
      <c r="E50" s="19" t="n">
        <f aca="false">IF($B50="","",N(C50)+N(D50))</f>
        <v>0</v>
      </c>
      <c r="F50" s="19" t="n">
        <f aca="false">IF($B50="","",SUMIFS(Sales_Log!$N$5:$N$2004,Sales_Log!$S$5:$S$2004,$C$4,Sales_Log!$V$5:$V$2004,"Yes",Sales_Log!$P$5:$P$2004,$B50))</f>
        <v>0</v>
      </c>
      <c r="G50" s="20" t="str">
        <f aca="false">IF(OR($B50="",N(E50)=0),"",F50/E50)</f>
        <v/>
      </c>
      <c r="H50" s="19" t="n">
        <f aca="false">IF($B50="","",COUNTIFS(Sales_Log!$S$5:$S$2004,$C$4,Sales_Log!$V$5:$V$2004,"Yes",Sales_Log!$P$5:$P$2004,$B50))</f>
        <v>0</v>
      </c>
      <c r="I50" s="19" t="n">
        <f aca="false">IF($B50="","",SUMIFS(Sales_Log!$K$5:$K$2004,Sales_Log!$S$5:$S$2004,$C$4,Sales_Log!$W$5:$W$2004,"Yes",Sales_Log!$P$5:$P$2004,$B50))</f>
        <v>0</v>
      </c>
    </row>
    <row r="51" customFormat="false" ht="15" hidden="false" customHeight="false" outlineLevel="0" collapsed="false">
      <c r="B51" s="23" t="str">
        <f aca="false">IF(Settings!$F$16="","",Settings!$F$16)</f>
        <v/>
      </c>
      <c r="C51" s="19" t="str">
        <f aca="false">IF($B51="","",SUMIFS(Sales_Log!$K$5:$K$2004,Sales_Log!$S$5:$S$2004,$C$4,Sales_Log!$V$5:$V$2004,"Yes",Sales_Log!$P$5:$P$2004,$B51,Sales_Log!$E$5:$E$2004,"Infrastructure"))</f>
        <v/>
      </c>
      <c r="D51" s="19" t="str">
        <f aca="false">IF($B51="","",SUMIFS(Sales_Log!$K$5:$K$2004,Sales_Log!$S$5:$S$2004,$C$4,Sales_Log!$V$5:$V$2004,"Yes",Sales_Log!$P$5:$P$2004,$B51,Sales_Log!$E$5:$E$2004,"Building"))</f>
        <v/>
      </c>
      <c r="E51" s="19" t="str">
        <f aca="false">IF($B51="","",N(C51)+N(D51))</f>
        <v/>
      </c>
      <c r="F51" s="19" t="str">
        <f aca="false">IF($B51="","",SUMIFS(Sales_Log!$N$5:$N$2004,Sales_Log!$S$5:$S$2004,$C$4,Sales_Log!$V$5:$V$2004,"Yes",Sales_Log!$P$5:$P$2004,$B51))</f>
        <v/>
      </c>
      <c r="G51" s="20" t="str">
        <f aca="false">IF(OR($B51="",N(E51)=0),"",F51/E51)</f>
        <v/>
      </c>
      <c r="H51" s="19" t="str">
        <f aca="false">IF($B51="","",COUNTIFS(Sales_Log!$S$5:$S$2004,$C$4,Sales_Log!$V$5:$V$2004,"Yes",Sales_Log!$P$5:$P$2004,$B51))</f>
        <v/>
      </c>
      <c r="I51" s="19" t="str">
        <f aca="false">IF($B51="","",SUMIFS(Sales_Log!$K$5:$K$2004,Sales_Log!$S$5:$S$2004,$C$4,Sales_Log!$W$5:$W$2004,"Yes",Sales_Log!$P$5:$P$2004,$B51))</f>
        <v/>
      </c>
    </row>
    <row r="52" customFormat="false" ht="15" hidden="false" customHeight="false" outlineLevel="0" collapsed="false">
      <c r="B52" s="23" t="str">
        <f aca="false">IF(Settings!$F$17="","",Settings!$F$17)</f>
        <v/>
      </c>
      <c r="C52" s="19" t="str">
        <f aca="false">IF($B52="","",SUMIFS(Sales_Log!$K$5:$K$2004,Sales_Log!$S$5:$S$2004,$C$4,Sales_Log!$V$5:$V$2004,"Yes",Sales_Log!$P$5:$P$2004,$B52,Sales_Log!$E$5:$E$2004,"Infrastructure"))</f>
        <v/>
      </c>
      <c r="D52" s="19" t="str">
        <f aca="false">IF($B52="","",SUMIFS(Sales_Log!$K$5:$K$2004,Sales_Log!$S$5:$S$2004,$C$4,Sales_Log!$V$5:$V$2004,"Yes",Sales_Log!$P$5:$P$2004,$B52,Sales_Log!$E$5:$E$2004,"Building"))</f>
        <v/>
      </c>
      <c r="E52" s="19" t="str">
        <f aca="false">IF($B52="","",N(C52)+N(D52))</f>
        <v/>
      </c>
      <c r="F52" s="19" t="str">
        <f aca="false">IF($B52="","",SUMIFS(Sales_Log!$N$5:$N$2004,Sales_Log!$S$5:$S$2004,$C$4,Sales_Log!$V$5:$V$2004,"Yes",Sales_Log!$P$5:$P$2004,$B52))</f>
        <v/>
      </c>
      <c r="G52" s="20" t="str">
        <f aca="false">IF(OR($B52="",N(E52)=0),"",F52/E52)</f>
        <v/>
      </c>
      <c r="H52" s="19" t="str">
        <f aca="false">IF($B52="","",COUNTIFS(Sales_Log!$S$5:$S$2004,$C$4,Sales_Log!$V$5:$V$2004,"Yes",Sales_Log!$P$5:$P$2004,$B52))</f>
        <v/>
      </c>
      <c r="I52" s="19" t="str">
        <f aca="false">IF($B52="","",SUMIFS(Sales_Log!$K$5:$K$2004,Sales_Log!$S$5:$S$2004,$C$4,Sales_Log!$W$5:$W$2004,"Yes",Sales_Log!$P$5:$P$2004,$B52))</f>
        <v/>
      </c>
    </row>
    <row r="53" customFormat="false" ht="15" hidden="false" customHeight="false" outlineLevel="0" collapsed="false">
      <c r="B53" s="23" t="str">
        <f aca="false">IF(Settings!$F$18="","",Settings!$F$18)</f>
        <v/>
      </c>
      <c r="C53" s="19" t="str">
        <f aca="false">IF($B53="","",SUMIFS(Sales_Log!$K$5:$K$2004,Sales_Log!$S$5:$S$2004,$C$4,Sales_Log!$V$5:$V$2004,"Yes",Sales_Log!$P$5:$P$2004,$B53,Sales_Log!$E$5:$E$2004,"Infrastructure"))</f>
        <v/>
      </c>
      <c r="D53" s="19" t="str">
        <f aca="false">IF($B53="","",SUMIFS(Sales_Log!$K$5:$K$2004,Sales_Log!$S$5:$S$2004,$C$4,Sales_Log!$V$5:$V$2004,"Yes",Sales_Log!$P$5:$P$2004,$B53,Sales_Log!$E$5:$E$2004,"Building"))</f>
        <v/>
      </c>
      <c r="E53" s="19" t="str">
        <f aca="false">IF($B53="","",N(C53)+N(D53))</f>
        <v/>
      </c>
      <c r="F53" s="19" t="str">
        <f aca="false">IF($B53="","",SUMIFS(Sales_Log!$N$5:$N$2004,Sales_Log!$S$5:$S$2004,$C$4,Sales_Log!$V$5:$V$2004,"Yes",Sales_Log!$P$5:$P$2004,$B53))</f>
        <v/>
      </c>
      <c r="G53" s="20" t="str">
        <f aca="false">IF(OR($B53="",N(E53)=0),"",F53/E53)</f>
        <v/>
      </c>
      <c r="H53" s="19" t="str">
        <f aca="false">IF($B53="","",COUNTIFS(Sales_Log!$S$5:$S$2004,$C$4,Sales_Log!$V$5:$V$2004,"Yes",Sales_Log!$P$5:$P$2004,$B53))</f>
        <v/>
      </c>
      <c r="I53" s="19" t="str">
        <f aca="false">IF($B53="","",SUMIFS(Sales_Log!$K$5:$K$2004,Sales_Log!$S$5:$S$2004,$C$4,Sales_Log!$W$5:$W$2004,"Yes",Sales_Log!$P$5:$P$2004,$B53))</f>
        <v/>
      </c>
    </row>
    <row r="54" customFormat="false" ht="15" hidden="false" customHeight="false" outlineLevel="0" collapsed="false">
      <c r="B54" s="23" t="str">
        <f aca="false">IF(Settings!$F$19="","",Settings!$F$19)</f>
        <v/>
      </c>
      <c r="C54" s="19" t="str">
        <f aca="false">IF($B54="","",SUMIFS(Sales_Log!$K$5:$K$2004,Sales_Log!$S$5:$S$2004,$C$4,Sales_Log!$V$5:$V$2004,"Yes",Sales_Log!$P$5:$P$2004,$B54,Sales_Log!$E$5:$E$2004,"Infrastructure"))</f>
        <v/>
      </c>
      <c r="D54" s="19" t="str">
        <f aca="false">IF($B54="","",SUMIFS(Sales_Log!$K$5:$K$2004,Sales_Log!$S$5:$S$2004,$C$4,Sales_Log!$V$5:$V$2004,"Yes",Sales_Log!$P$5:$P$2004,$B54,Sales_Log!$E$5:$E$2004,"Building"))</f>
        <v/>
      </c>
      <c r="E54" s="19" t="str">
        <f aca="false">IF($B54="","",N(C54)+N(D54))</f>
        <v/>
      </c>
      <c r="F54" s="19" t="str">
        <f aca="false">IF($B54="","",SUMIFS(Sales_Log!$N$5:$N$2004,Sales_Log!$S$5:$S$2004,$C$4,Sales_Log!$V$5:$V$2004,"Yes",Sales_Log!$P$5:$P$2004,$B54))</f>
        <v/>
      </c>
      <c r="G54" s="20" t="str">
        <f aca="false">IF(OR($B54="",N(E54)=0),"",F54/E54)</f>
        <v/>
      </c>
      <c r="H54" s="19" t="str">
        <f aca="false">IF($B54="","",COUNTIFS(Sales_Log!$S$5:$S$2004,$C$4,Sales_Log!$V$5:$V$2004,"Yes",Sales_Log!$P$5:$P$2004,$B54))</f>
        <v/>
      </c>
      <c r="I54" s="19" t="str">
        <f aca="false">IF($B54="","",SUMIFS(Sales_Log!$K$5:$K$2004,Sales_Log!$S$5:$S$2004,$C$4,Sales_Log!$W$5:$W$2004,"Yes",Sales_Log!$P$5:$P$2004,$B54))</f>
        <v/>
      </c>
    </row>
    <row r="55" customFormat="false" ht="15" hidden="false" customHeight="false" outlineLevel="0" collapsed="false">
      <c r="B55" s="23" t="str">
        <f aca="false">IF(Settings!$F$20="","",Settings!$F$20)</f>
        <v/>
      </c>
      <c r="C55" s="19" t="str">
        <f aca="false">IF($B55="","",SUMIFS(Sales_Log!$K$5:$K$2004,Sales_Log!$S$5:$S$2004,$C$4,Sales_Log!$V$5:$V$2004,"Yes",Sales_Log!$P$5:$P$2004,$B55,Sales_Log!$E$5:$E$2004,"Infrastructure"))</f>
        <v/>
      </c>
      <c r="D55" s="19" t="str">
        <f aca="false">IF($B55="","",SUMIFS(Sales_Log!$K$5:$K$2004,Sales_Log!$S$5:$S$2004,$C$4,Sales_Log!$V$5:$V$2004,"Yes",Sales_Log!$P$5:$P$2004,$B55,Sales_Log!$E$5:$E$2004,"Building"))</f>
        <v/>
      </c>
      <c r="E55" s="19" t="str">
        <f aca="false">IF($B55="","",N(C55)+N(D55))</f>
        <v/>
      </c>
      <c r="F55" s="19" t="str">
        <f aca="false">IF($B55="","",SUMIFS(Sales_Log!$N$5:$N$2004,Sales_Log!$S$5:$S$2004,$C$4,Sales_Log!$V$5:$V$2004,"Yes",Sales_Log!$P$5:$P$2004,$B55))</f>
        <v/>
      </c>
      <c r="G55" s="20" t="str">
        <f aca="false">IF(OR($B55="",N(E55)=0),"",F55/E55)</f>
        <v/>
      </c>
      <c r="H55" s="19" t="str">
        <f aca="false">IF($B55="","",COUNTIFS(Sales_Log!$S$5:$S$2004,$C$4,Sales_Log!$V$5:$V$2004,"Yes",Sales_Log!$P$5:$P$2004,$B55))</f>
        <v/>
      </c>
      <c r="I55" s="19" t="str">
        <f aca="false">IF($B55="","",SUMIFS(Sales_Log!$K$5:$K$2004,Sales_Log!$S$5:$S$2004,$C$4,Sales_Log!$W$5:$W$2004,"Yes",Sales_Log!$P$5:$P$2004,$B55))</f>
        <v/>
      </c>
    </row>
    <row r="56" customFormat="false" ht="15" hidden="false" customHeight="false" outlineLevel="0" collapsed="false">
      <c r="B56" s="23" t="str">
        <f aca="false">IF(Settings!$F$21="","",Settings!$F$21)</f>
        <v/>
      </c>
      <c r="C56" s="19" t="str">
        <f aca="false">IF($B56="","",SUMIFS(Sales_Log!$K$5:$K$2004,Sales_Log!$S$5:$S$2004,$C$4,Sales_Log!$V$5:$V$2004,"Yes",Sales_Log!$P$5:$P$2004,$B56,Sales_Log!$E$5:$E$2004,"Infrastructure"))</f>
        <v/>
      </c>
      <c r="D56" s="19" t="str">
        <f aca="false">IF($B56="","",SUMIFS(Sales_Log!$K$5:$K$2004,Sales_Log!$S$5:$S$2004,$C$4,Sales_Log!$V$5:$V$2004,"Yes",Sales_Log!$P$5:$P$2004,$B56,Sales_Log!$E$5:$E$2004,"Building"))</f>
        <v/>
      </c>
      <c r="E56" s="19" t="str">
        <f aca="false">IF($B56="","",N(C56)+N(D56))</f>
        <v/>
      </c>
      <c r="F56" s="19" t="str">
        <f aca="false">IF($B56="","",SUMIFS(Sales_Log!$N$5:$N$2004,Sales_Log!$S$5:$S$2004,$C$4,Sales_Log!$V$5:$V$2004,"Yes",Sales_Log!$P$5:$P$2004,$B56))</f>
        <v/>
      </c>
      <c r="G56" s="20" t="str">
        <f aca="false">IF(OR($B56="",N(E56)=0),"",F56/E56)</f>
        <v/>
      </c>
      <c r="H56" s="19" t="str">
        <f aca="false">IF($B56="","",COUNTIFS(Sales_Log!$S$5:$S$2004,$C$4,Sales_Log!$V$5:$V$2004,"Yes",Sales_Log!$P$5:$P$2004,$B56))</f>
        <v/>
      </c>
      <c r="I56" s="19" t="str">
        <f aca="false">IF($B56="","",SUMIFS(Sales_Log!$K$5:$K$2004,Sales_Log!$S$5:$S$2004,$C$4,Sales_Log!$W$5:$W$2004,"Yes",Sales_Log!$P$5:$P$2004,$B56))</f>
        <v/>
      </c>
    </row>
    <row r="57" customFormat="false" ht="15" hidden="false" customHeight="false" outlineLevel="0" collapsed="false">
      <c r="B57" s="23" t="str">
        <f aca="false">IF(Settings!$F$22="","",Settings!$F$22)</f>
        <v/>
      </c>
      <c r="C57" s="19" t="str">
        <f aca="false">IF($B57="","",SUMIFS(Sales_Log!$K$5:$K$2004,Sales_Log!$S$5:$S$2004,$C$4,Sales_Log!$V$5:$V$2004,"Yes",Sales_Log!$P$5:$P$2004,$B57,Sales_Log!$E$5:$E$2004,"Infrastructure"))</f>
        <v/>
      </c>
      <c r="D57" s="19" t="str">
        <f aca="false">IF($B57="","",SUMIFS(Sales_Log!$K$5:$K$2004,Sales_Log!$S$5:$S$2004,$C$4,Sales_Log!$V$5:$V$2004,"Yes",Sales_Log!$P$5:$P$2004,$B57,Sales_Log!$E$5:$E$2004,"Building"))</f>
        <v/>
      </c>
      <c r="E57" s="19" t="str">
        <f aca="false">IF($B57="","",N(C57)+N(D57))</f>
        <v/>
      </c>
      <c r="F57" s="19" t="str">
        <f aca="false">IF($B57="","",SUMIFS(Sales_Log!$N$5:$N$2004,Sales_Log!$S$5:$S$2004,$C$4,Sales_Log!$V$5:$V$2004,"Yes",Sales_Log!$P$5:$P$2004,$B57))</f>
        <v/>
      </c>
      <c r="G57" s="20" t="str">
        <f aca="false">IF(OR($B57="",N(E57)=0),"",F57/E57)</f>
        <v/>
      </c>
      <c r="H57" s="19" t="str">
        <f aca="false">IF($B57="","",COUNTIFS(Sales_Log!$S$5:$S$2004,$C$4,Sales_Log!$V$5:$V$2004,"Yes",Sales_Log!$P$5:$P$2004,$B57))</f>
        <v/>
      </c>
      <c r="I57" s="19" t="str">
        <f aca="false">IF($B57="","",SUMIFS(Sales_Log!$K$5:$K$2004,Sales_Log!$S$5:$S$2004,$C$4,Sales_Log!$W$5:$W$2004,"Yes",Sales_Log!$P$5:$P$2004,$B57))</f>
        <v/>
      </c>
    </row>
    <row r="58" customFormat="false" ht="15" hidden="false" customHeight="false" outlineLevel="0" collapsed="false">
      <c r="B58" s="23" t="str">
        <f aca="false">IF(Settings!$F$23="","",Settings!$F$23)</f>
        <v/>
      </c>
      <c r="C58" s="19" t="str">
        <f aca="false">IF($B58="","",SUMIFS(Sales_Log!$K$5:$K$2004,Sales_Log!$S$5:$S$2004,$C$4,Sales_Log!$V$5:$V$2004,"Yes",Sales_Log!$P$5:$P$2004,$B58,Sales_Log!$E$5:$E$2004,"Infrastructure"))</f>
        <v/>
      </c>
      <c r="D58" s="19" t="str">
        <f aca="false">IF($B58="","",SUMIFS(Sales_Log!$K$5:$K$2004,Sales_Log!$S$5:$S$2004,$C$4,Sales_Log!$V$5:$V$2004,"Yes",Sales_Log!$P$5:$P$2004,$B58,Sales_Log!$E$5:$E$2004,"Building"))</f>
        <v/>
      </c>
      <c r="E58" s="19" t="str">
        <f aca="false">IF($B58="","",N(C58)+N(D58))</f>
        <v/>
      </c>
      <c r="F58" s="19" t="str">
        <f aca="false">IF($B58="","",SUMIFS(Sales_Log!$N$5:$N$2004,Sales_Log!$S$5:$S$2004,$C$4,Sales_Log!$V$5:$V$2004,"Yes",Sales_Log!$P$5:$P$2004,$B58))</f>
        <v/>
      </c>
      <c r="G58" s="20" t="str">
        <f aca="false">IF(OR($B58="",N(E58)=0),"",F58/E58)</f>
        <v/>
      </c>
      <c r="H58" s="19" t="str">
        <f aca="false">IF($B58="","",COUNTIFS(Sales_Log!$S$5:$S$2004,$C$4,Sales_Log!$V$5:$V$2004,"Yes",Sales_Log!$P$5:$P$2004,$B58))</f>
        <v/>
      </c>
      <c r="I58" s="19" t="str">
        <f aca="false">IF($B58="","",SUMIFS(Sales_Log!$K$5:$K$2004,Sales_Log!$S$5:$S$2004,$C$4,Sales_Log!$W$5:$W$2004,"Yes",Sales_Log!$P$5:$P$2004,$B58))</f>
        <v/>
      </c>
    </row>
    <row r="59" customFormat="false" ht="15" hidden="false" customHeight="false" outlineLevel="0" collapsed="false">
      <c r="B59" s="23" t="str">
        <f aca="false">IF(Settings!$F$24="","",Settings!$F$24)</f>
        <v/>
      </c>
      <c r="C59" s="19" t="str">
        <f aca="false">IF($B59="","",SUMIFS(Sales_Log!$K$5:$K$2004,Sales_Log!$S$5:$S$2004,$C$4,Sales_Log!$V$5:$V$2004,"Yes",Sales_Log!$P$5:$P$2004,$B59,Sales_Log!$E$5:$E$2004,"Infrastructure"))</f>
        <v/>
      </c>
      <c r="D59" s="19" t="str">
        <f aca="false">IF($B59="","",SUMIFS(Sales_Log!$K$5:$K$2004,Sales_Log!$S$5:$S$2004,$C$4,Sales_Log!$V$5:$V$2004,"Yes",Sales_Log!$P$5:$P$2004,$B59,Sales_Log!$E$5:$E$2004,"Building"))</f>
        <v/>
      </c>
      <c r="E59" s="19" t="str">
        <f aca="false">IF($B59="","",N(C59)+N(D59))</f>
        <v/>
      </c>
      <c r="F59" s="19" t="str">
        <f aca="false">IF($B59="","",SUMIFS(Sales_Log!$N$5:$N$2004,Sales_Log!$S$5:$S$2004,$C$4,Sales_Log!$V$5:$V$2004,"Yes",Sales_Log!$P$5:$P$2004,$B59))</f>
        <v/>
      </c>
      <c r="G59" s="20" t="str">
        <f aca="false">IF(OR($B59="",N(E59)=0),"",F59/E59)</f>
        <v/>
      </c>
      <c r="H59" s="19" t="str">
        <f aca="false">IF($B59="","",COUNTIFS(Sales_Log!$S$5:$S$2004,$C$4,Sales_Log!$V$5:$V$2004,"Yes",Sales_Log!$P$5:$P$2004,$B59))</f>
        <v/>
      </c>
      <c r="I59" s="19" t="str">
        <f aca="false">IF($B59="","",SUMIFS(Sales_Log!$K$5:$K$2004,Sales_Log!$S$5:$S$2004,$C$4,Sales_Log!$W$5:$W$2004,"Yes",Sales_Log!$P$5:$P$2004,$B59))</f>
        <v/>
      </c>
    </row>
    <row r="60" customFormat="false" ht="15" hidden="false" customHeight="false" outlineLevel="0" collapsed="false">
      <c r="B60" s="23" t="str">
        <f aca="false">IF(Settings!$F$25="","",Settings!$F$25)</f>
        <v/>
      </c>
      <c r="C60" s="19" t="str">
        <f aca="false">IF($B60="","",SUMIFS(Sales_Log!$K$5:$K$2004,Sales_Log!$S$5:$S$2004,$C$4,Sales_Log!$V$5:$V$2004,"Yes",Sales_Log!$P$5:$P$2004,$B60,Sales_Log!$E$5:$E$2004,"Infrastructure"))</f>
        <v/>
      </c>
      <c r="D60" s="19" t="str">
        <f aca="false">IF($B60="","",SUMIFS(Sales_Log!$K$5:$K$2004,Sales_Log!$S$5:$S$2004,$C$4,Sales_Log!$V$5:$V$2004,"Yes",Sales_Log!$P$5:$P$2004,$B60,Sales_Log!$E$5:$E$2004,"Building"))</f>
        <v/>
      </c>
      <c r="E60" s="19" t="str">
        <f aca="false">IF($B60="","",N(C60)+N(D60))</f>
        <v/>
      </c>
      <c r="F60" s="19" t="str">
        <f aca="false">IF($B60="","",SUMIFS(Sales_Log!$N$5:$N$2004,Sales_Log!$S$5:$S$2004,$C$4,Sales_Log!$V$5:$V$2004,"Yes",Sales_Log!$P$5:$P$2004,$B60))</f>
        <v/>
      </c>
      <c r="G60" s="20" t="str">
        <f aca="false">IF(OR($B60="",N(E60)=0),"",F60/E60)</f>
        <v/>
      </c>
      <c r="H60" s="19" t="str">
        <f aca="false">IF($B60="","",COUNTIFS(Sales_Log!$S$5:$S$2004,$C$4,Sales_Log!$V$5:$V$2004,"Yes",Sales_Log!$P$5:$P$2004,$B60))</f>
        <v/>
      </c>
      <c r="I60" s="19" t="str">
        <f aca="false">IF($B60="","",SUMIFS(Sales_Log!$K$5:$K$2004,Sales_Log!$S$5:$S$2004,$C$4,Sales_Log!$W$5:$W$2004,"Yes",Sales_Log!$P$5:$P$2004,$B60))</f>
        <v/>
      </c>
    </row>
    <row r="61" customFormat="false" ht="15" hidden="false" customHeight="false" outlineLevel="0" collapsed="false">
      <c r="B61" s="21" t="s">
        <v>53</v>
      </c>
      <c r="C61" s="21" t="n">
        <f aca="false">SUM(C46:C60)</f>
        <v>21090</v>
      </c>
      <c r="D61" s="21" t="n">
        <f aca="false">SUM(D46:D60)</f>
        <v>0</v>
      </c>
      <c r="E61" s="21" t="n">
        <f aca="false">SUM(E46:E60)</f>
        <v>21090</v>
      </c>
      <c r="F61" s="21" t="n">
        <f aca="false">SUM(F46:F60)</f>
        <v>6690</v>
      </c>
      <c r="G61" s="22" t="n">
        <f aca="false">IF(E61=0,"",F61/E61)</f>
        <v>0.317211948790896</v>
      </c>
      <c r="H61" s="21" t="n">
        <f aca="false">SUM(H46:H60)</f>
        <v>1</v>
      </c>
      <c r="I61" s="21" t="n">
        <f aca="false">SUM(I46:I60)</f>
        <v>0</v>
      </c>
    </row>
  </sheetData>
  <conditionalFormatting sqref="E11:E23">
    <cfRule type="expression" priority="2" aboveAverage="0" equalAverage="0" bottom="0" percent="0" rank="0" text="" dxfId="0">
      <formula>AND(ISNUMBER(E11),E11&gt;=1)</formula>
    </cfRule>
    <cfRule type="expression" priority="3" aboveAverage="0" equalAverage="0" bottom="0" percent="0" rank="0" text="" dxfId="1">
      <formula>AND(ISNUMBER(E11),E11&gt;=0.8,E11&lt;1)</formula>
    </cfRule>
    <cfRule type="expression" priority="4" aboveAverage="0" equalAverage="0" bottom="0" percent="0" rank="0" text="" dxfId="2">
      <formula>AND(ISNUMBER(E11),E11&lt;0.8)</formula>
    </cfRule>
  </conditionalFormatting>
  <conditionalFormatting sqref="H11:H23">
    <cfRule type="expression" priority="5" aboveAverage="0" equalAverage="0" bottom="0" percent="0" rank="0" text="" dxfId="0">
      <formula>AND(ISNUMBER(H11),H11&gt;=1)</formula>
    </cfRule>
    <cfRule type="expression" priority="6" aboveAverage="0" equalAverage="0" bottom="0" percent="0" rank="0" text="" dxfId="1">
      <formula>AND(ISNUMBER(H11),H11&gt;=0.8,H11&lt;1)</formula>
    </cfRule>
    <cfRule type="expression" priority="7" aboveAverage="0" equalAverage="0" bottom="0" percent="0" rank="0" text="" dxfId="2">
      <formula>AND(ISNUMBER(H11),H11&lt;0.8)</formula>
    </cfRule>
  </conditionalFormatting>
  <conditionalFormatting sqref="K11:K23">
    <cfRule type="expression" priority="8" aboveAverage="0" equalAverage="0" bottom="0" percent="0" rank="0" text="" dxfId="0">
      <formula>AND(ISNUMBER(K11),K11&gt;=1)</formula>
    </cfRule>
    <cfRule type="expression" priority="9" aboveAverage="0" equalAverage="0" bottom="0" percent="0" rank="0" text="" dxfId="1">
      <formula>AND(ISNUMBER(K11),K11&gt;=0.8,K11&lt;1)</formula>
    </cfRule>
    <cfRule type="expression" priority="10" aboveAverage="0" equalAverage="0" bottom="0" percent="0" rank="0" text="" dxfId="2">
      <formula>AND(ISNUMBER(K11),K11&lt;0.8)</formula>
    </cfRule>
  </conditionalFormatting>
  <conditionalFormatting sqref="F7">
    <cfRule type="expression" priority="11" aboveAverage="0" equalAverage="0" bottom="0" percent="0" rank="0" text="" dxfId="0">
      <formula>AND(ISNUMBER(F7),F7&gt;=1)</formula>
    </cfRule>
    <cfRule type="expression" priority="12" aboveAverage="0" equalAverage="0" bottom="0" percent="0" rank="0" text="" dxfId="1">
      <formula>AND(ISNUMBER(F7),F7&gt;=0.8,F7&lt;1)</formula>
    </cfRule>
    <cfRule type="expression" priority="13" aboveAverage="0" equalAverage="0" bottom="0" percent="0" rank="0" text="" dxfId="2">
      <formula>AND(ISNUMBER(F7),F7&lt;0.8)</formula>
    </cfRule>
  </conditionalFormatting>
  <conditionalFormatting sqref="F27:F41">
    <cfRule type="expression" priority="14" aboveAverage="0" equalAverage="0" bottom="0" percent="0" rank="0" text="" dxfId="3">
      <formula>ISNUMBER(F27)</formula>
    </cfRule>
  </conditionalFormatting>
  <dataValidations count="1">
    <dataValidation allowBlank="false" errorStyle="stop" operator="between" showDropDown="false" showErrorMessage="false" showInputMessage="false" sqref="C4" type="list">
      <formula1>"2024,2025,2026,2027,2028,2029,2030"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8"/>
  </cols>
  <sheetData>
    <row r="2" customFormat="false" ht="19.7" hidden="false" customHeight="false" outlineLevel="0" collapsed="false">
      <c r="B2" s="1" t="s">
        <v>68</v>
      </c>
    </row>
    <row r="3" customFormat="false" ht="15" hidden="false" customHeight="false" outlineLevel="0" collapsed="false">
      <c r="B3" s="2" t="s">
        <v>69</v>
      </c>
    </row>
    <row r="5" customFormat="false" ht="15" hidden="false" customHeight="false" outlineLevel="0" collapsed="false">
      <c r="B5" s="6" t="s">
        <v>70</v>
      </c>
      <c r="C5" s="25" t="s">
        <v>71</v>
      </c>
      <c r="D5" s="2" t="s">
        <v>72</v>
      </c>
    </row>
    <row r="6" customFormat="false" ht="15" hidden="false" customHeight="false" outlineLevel="0" collapsed="false">
      <c r="B6" s="6" t="s">
        <v>73</v>
      </c>
      <c r="C6" s="25" t="n">
        <v>1</v>
      </c>
      <c r="D6" s="2" t="s">
        <v>74</v>
      </c>
    </row>
    <row r="7" customFormat="false" ht="15" hidden="false" customHeight="false" outlineLevel="0" collapsed="false">
      <c r="B7" s="6" t="s">
        <v>75</v>
      </c>
      <c r="C7" s="25" t="s">
        <v>76</v>
      </c>
      <c r="D7" s="2" t="s">
        <v>77</v>
      </c>
    </row>
    <row r="10" customFormat="false" ht="15" hidden="false" customHeight="false" outlineLevel="0" collapsed="false">
      <c r="B10" s="11" t="s">
        <v>78</v>
      </c>
      <c r="D10" s="11" t="s">
        <v>79</v>
      </c>
      <c r="F10" s="11" t="s">
        <v>80</v>
      </c>
      <c r="H10" s="11" t="s">
        <v>59</v>
      </c>
      <c r="I10" s="11" t="s">
        <v>81</v>
      </c>
      <c r="J10" s="11" t="s">
        <v>82</v>
      </c>
    </row>
    <row r="11" customFormat="false" ht="15" hidden="false" customHeight="false" outlineLevel="0" collapsed="false">
      <c r="B11" s="26" t="s">
        <v>33</v>
      </c>
      <c r="D11" s="25" t="s">
        <v>83</v>
      </c>
      <c r="F11" s="25" t="s">
        <v>84</v>
      </c>
      <c r="H11" s="26" t="s">
        <v>85</v>
      </c>
      <c r="I11" s="27" t="s">
        <v>86</v>
      </c>
      <c r="J11" s="27" t="s">
        <v>87</v>
      </c>
    </row>
    <row r="12" customFormat="false" ht="15" hidden="false" customHeight="false" outlineLevel="0" collapsed="false">
      <c r="B12" s="26" t="s">
        <v>34</v>
      </c>
      <c r="D12" s="25" t="s">
        <v>88</v>
      </c>
      <c r="F12" s="25" t="s">
        <v>89</v>
      </c>
      <c r="H12" s="26" t="s">
        <v>90</v>
      </c>
      <c r="I12" s="27" t="s">
        <v>86</v>
      </c>
      <c r="J12" s="27" t="s">
        <v>87</v>
      </c>
    </row>
    <row r="13" customFormat="false" ht="15" hidden="false" customHeight="false" outlineLevel="0" collapsed="false">
      <c r="B13" s="2" t="s">
        <v>91</v>
      </c>
      <c r="D13" s="25" t="s">
        <v>92</v>
      </c>
      <c r="F13" s="25" t="s">
        <v>93</v>
      </c>
      <c r="H13" s="26" t="s">
        <v>94</v>
      </c>
      <c r="I13" s="27" t="s">
        <v>87</v>
      </c>
      <c r="J13" s="27" t="s">
        <v>86</v>
      </c>
    </row>
    <row r="14" customFormat="false" ht="15" hidden="false" customHeight="false" outlineLevel="0" collapsed="false">
      <c r="D14" s="25" t="s">
        <v>95</v>
      </c>
      <c r="F14" s="25" t="s">
        <v>96</v>
      </c>
      <c r="H14" s="26" t="s">
        <v>97</v>
      </c>
      <c r="I14" s="27" t="s">
        <v>87</v>
      </c>
      <c r="J14" s="27" t="s">
        <v>86</v>
      </c>
    </row>
    <row r="15" customFormat="false" ht="15" hidden="false" customHeight="false" outlineLevel="0" collapsed="false">
      <c r="D15" s="25" t="s">
        <v>98</v>
      </c>
      <c r="F15" s="25" t="s">
        <v>99</v>
      </c>
      <c r="H15" s="26" t="s">
        <v>100</v>
      </c>
      <c r="I15" s="27" t="s">
        <v>86</v>
      </c>
      <c r="J15" s="27" t="s">
        <v>86</v>
      </c>
    </row>
    <row r="16" customFormat="false" ht="15" hidden="false" customHeight="false" outlineLevel="0" collapsed="false">
      <c r="D16" s="25" t="s">
        <v>101</v>
      </c>
      <c r="F16" s="25"/>
    </row>
    <row r="17" customFormat="false" ht="15" hidden="false" customHeight="false" outlineLevel="0" collapsed="false">
      <c r="D17" s="25" t="s">
        <v>102</v>
      </c>
      <c r="F17" s="25"/>
    </row>
    <row r="18" customFormat="false" ht="15" hidden="false" customHeight="false" outlineLevel="0" collapsed="false">
      <c r="D18" s="25" t="s">
        <v>103</v>
      </c>
      <c r="F18" s="25"/>
    </row>
    <row r="19" customFormat="false" ht="15" hidden="false" customHeight="false" outlineLevel="0" collapsed="false">
      <c r="D19" s="25" t="s">
        <v>104</v>
      </c>
      <c r="F19" s="25"/>
    </row>
    <row r="20" customFormat="false" ht="15" hidden="false" customHeight="false" outlineLevel="0" collapsed="false">
      <c r="D20" s="25" t="s">
        <v>105</v>
      </c>
      <c r="F20" s="25"/>
    </row>
    <row r="21" customFormat="false" ht="15" hidden="false" customHeight="false" outlineLevel="0" collapsed="false">
      <c r="D21" s="25" t="s">
        <v>106</v>
      </c>
      <c r="F21" s="25"/>
    </row>
    <row r="22" customFormat="false" ht="15" hidden="false" customHeight="false" outlineLevel="0" collapsed="false">
      <c r="D22" s="25"/>
      <c r="F22" s="25"/>
    </row>
    <row r="23" customFormat="false" ht="15" hidden="false" customHeight="false" outlineLevel="0" collapsed="false">
      <c r="D23" s="25"/>
      <c r="F23" s="25"/>
    </row>
    <row r="24" customFormat="false" ht="15" hidden="false" customHeight="false" outlineLevel="0" collapsed="false">
      <c r="D24" s="25"/>
      <c r="F24" s="25"/>
    </row>
    <row r="25" customFormat="false" ht="15" hidden="false" customHeight="false" outlineLevel="0" collapsed="false">
      <c r="D25" s="25"/>
      <c r="F25" s="25"/>
    </row>
    <row r="27" customFormat="false" ht="15" hidden="false" customHeight="false" outlineLevel="0" collapsed="false">
      <c r="D27" s="2" t="s">
        <v>107</v>
      </c>
    </row>
  </sheetData>
  <dataValidations count="2">
    <dataValidation allowBlank="false" error="Enter a month number 1-12" errorStyle="stop" operator="between" showDropDown="false" showErrorMessage="true" showInputMessage="false" sqref="C6" type="whole">
      <formula1>1</formula1>
      <formula2>12</formula2>
    </dataValidation>
    <dataValidation allowBlank="false" errorStyle="stop" operator="between" showDropDown="false" showErrorMessage="false" showInputMessage="false" sqref="I11:J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W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26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8"/>
    <col collapsed="false" customWidth="true" hidden="false" outlineLevel="0" max="17" min="16" style="0" width="16"/>
    <col collapsed="false" customWidth="true" hidden="false" outlineLevel="0" max="18" min="18" style="0" width="24"/>
    <col collapsed="false" customWidth="true" hidden="false" outlineLevel="0" max="19" min="19" style="0" width="7"/>
    <col collapsed="false" customWidth="true" hidden="false" outlineLevel="0" max="21" min="20" style="0" width="8"/>
    <col collapsed="false" customWidth="true" hidden="false" outlineLevel="0" max="22" min="22" style="0" width="7"/>
    <col collapsed="false" customWidth="true" hidden="false" outlineLevel="0" max="23" min="23" style="0" width="9"/>
  </cols>
  <sheetData>
    <row r="1" customFormat="false" ht="19.7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3" customFormat="false" ht="15" hidden="false" customHeight="false" outlineLevel="0" collapsed="false">
      <c r="J3" s="28" t="s">
        <v>110</v>
      </c>
      <c r="K3" s="21" t="n">
        <f aca="false">SUBTOTAL(9,K5:K2004)</f>
        <v>21090</v>
      </c>
      <c r="N3" s="21" t="n">
        <f aca="false">SUBTOTAL(9,N5:N2004)</f>
        <v>6690</v>
      </c>
    </row>
    <row r="4" customFormat="false" ht="30" hidden="false" customHeight="true" outlineLevel="0" collapsed="false">
      <c r="A4" s="11" t="s">
        <v>111</v>
      </c>
      <c r="B4" s="11" t="s">
        <v>112</v>
      </c>
      <c r="C4" s="11" t="s">
        <v>113</v>
      </c>
      <c r="D4" s="11" t="s">
        <v>114</v>
      </c>
      <c r="E4" s="11" t="s">
        <v>63</v>
      </c>
      <c r="F4" s="11" t="s">
        <v>56</v>
      </c>
      <c r="G4" s="11" t="s">
        <v>115</v>
      </c>
      <c r="H4" s="11" t="s">
        <v>116</v>
      </c>
      <c r="I4" s="11" t="s">
        <v>117</v>
      </c>
      <c r="J4" s="11" t="s">
        <v>118</v>
      </c>
      <c r="K4" s="29" t="s">
        <v>23</v>
      </c>
      <c r="L4" s="11" t="s">
        <v>119</v>
      </c>
      <c r="M4" s="29" t="s">
        <v>120</v>
      </c>
      <c r="N4" s="29" t="s">
        <v>37</v>
      </c>
      <c r="O4" s="29" t="s">
        <v>58</v>
      </c>
      <c r="P4" s="11" t="s">
        <v>66</v>
      </c>
      <c r="Q4" s="11" t="s">
        <v>59</v>
      </c>
      <c r="R4" s="11" t="s">
        <v>121</v>
      </c>
      <c r="S4" s="29" t="s">
        <v>122</v>
      </c>
      <c r="T4" s="29" t="s">
        <v>123</v>
      </c>
      <c r="U4" s="29" t="s">
        <v>42</v>
      </c>
      <c r="V4" s="29" t="s">
        <v>124</v>
      </c>
      <c r="W4" s="29" t="s">
        <v>125</v>
      </c>
    </row>
    <row r="5" customFormat="false" ht="15" hidden="false" customHeight="false" outlineLevel="0" collapsed="false">
      <c r="A5" s="30" t="n">
        <v>46280</v>
      </c>
      <c r="B5" s="25" t="s">
        <v>126</v>
      </c>
      <c r="C5" s="25" t="s">
        <v>127</v>
      </c>
      <c r="D5" s="25" t="s">
        <v>128</v>
      </c>
      <c r="E5" s="25" t="s">
        <v>33</v>
      </c>
      <c r="F5" s="25" t="s">
        <v>83</v>
      </c>
      <c r="G5" s="25" t="s">
        <v>129</v>
      </c>
      <c r="H5" s="31" t="n">
        <v>120</v>
      </c>
      <c r="I5" s="32" t="n">
        <v>185</v>
      </c>
      <c r="J5" s="33" t="n">
        <v>0.05</v>
      </c>
      <c r="K5" s="34" t="n">
        <f aca="false">IF(OR(H5="",I5=""),"",H5*I5*(1-N(J5)))</f>
        <v>21090</v>
      </c>
      <c r="L5" s="32" t="n">
        <v>120</v>
      </c>
      <c r="M5" s="34" t="n">
        <f aca="false">IF(OR(H5="",L5=""),"",H5*L5)</f>
        <v>14400</v>
      </c>
      <c r="N5" s="34" t="n">
        <f aca="false">IF(OR(K5="",M5=""),"",K5-M5)</f>
        <v>6690</v>
      </c>
      <c r="O5" s="35" t="n">
        <f aca="false">IF(OR(N5="",K5=""),"",IF(K5=0,"",N5/K5))</f>
        <v>0.317211948790896</v>
      </c>
      <c r="P5" s="25" t="s">
        <v>84</v>
      </c>
      <c r="Q5" s="25" t="s">
        <v>94</v>
      </c>
      <c r="R5" s="25" t="s">
        <v>130</v>
      </c>
      <c r="S5" s="36" t="n">
        <f aca="false">IF(A5="","",YEAR(A5)+IF(AND(FYStart&gt;1,MONTH(A5)&gt;=FYStart),1,0))</f>
        <v>2026</v>
      </c>
      <c r="T5" s="36" t="n">
        <f aca="false">IF(A5="","",MOD(MONTH(A5)-FYStart,12)+1)</f>
        <v>9</v>
      </c>
      <c r="U5" s="37" t="str">
        <f aca="false">IF(A5="","",TEXT(A5,"mmm"))</f>
        <v>Sep</v>
      </c>
      <c r="V5" s="37" t="str">
        <f aca="false">IF(Q5="","",IFERROR(INDEX(Settings!$I$11:$I$15,MATCH(Q5,Settings!$H$11:$H$15,0)),"No"))</f>
        <v>Yes</v>
      </c>
      <c r="W5" s="37" t="str">
        <f aca="false">IF(Q5="","",IFERROR(INDEX(Settings!$J$11:$J$15,MATCH(Q5,Settings!$H$11:$H$15,0)),"No"))</f>
        <v>No</v>
      </c>
    </row>
    <row r="6" customFormat="false" ht="15" hidden="false" customHeight="false" outlineLevel="0" collapsed="false">
      <c r="A6" s="30"/>
      <c r="B6" s="25"/>
      <c r="C6" s="25"/>
      <c r="D6" s="25"/>
      <c r="E6" s="25"/>
      <c r="F6" s="25"/>
      <c r="G6" s="25"/>
      <c r="H6" s="31"/>
      <c r="I6" s="32"/>
      <c r="J6" s="33"/>
      <c r="K6" s="34" t="str">
        <f aca="false">IF(OR(H6="",I6=""),"",H6*I6*(1-N(J6)))</f>
        <v/>
      </c>
      <c r="L6" s="32"/>
      <c r="M6" s="34" t="str">
        <f aca="false">IF(OR(H6="",L6=""),"",H6*L6)</f>
        <v/>
      </c>
      <c r="N6" s="34" t="str">
        <f aca="false">IF(OR(K6="",M6=""),"",K6-M6)</f>
        <v/>
      </c>
      <c r="O6" s="35" t="str">
        <f aca="false">IF(OR(N6="",K6=""),"",IF(K6=0,"",N6/K6))</f>
        <v/>
      </c>
      <c r="P6" s="25"/>
      <c r="Q6" s="25"/>
      <c r="R6" s="25"/>
      <c r="S6" s="36" t="str">
        <f aca="false">IF(A6="","",YEAR(A6)+IF(AND(FYStart&gt;1,MONTH(A6)&gt;=FYStart),1,0))</f>
        <v/>
      </c>
      <c r="T6" s="36" t="str">
        <f aca="false">IF(A6="","",MOD(MONTH(A6)-FYStart,12)+1)</f>
        <v/>
      </c>
      <c r="U6" s="37" t="str">
        <f aca="false">IF(A6="","",TEXT(A6,"mmm"))</f>
        <v/>
      </c>
      <c r="V6" s="37" t="str">
        <f aca="false">IF(Q6="","",IFERROR(INDEX(Settings!$I$11:$I$15,MATCH(Q6,Settings!$H$11:$H$15,0)),"No"))</f>
        <v/>
      </c>
      <c r="W6" s="37" t="str">
        <f aca="false">IF(Q6="","",IFERROR(INDEX(Settings!$J$11:$J$15,MATCH(Q6,Settings!$H$11:$H$15,0)),"No"))</f>
        <v/>
      </c>
    </row>
    <row r="7" customFormat="false" ht="15" hidden="false" customHeight="false" outlineLevel="0" collapsed="false">
      <c r="A7" s="30"/>
      <c r="B7" s="25"/>
      <c r="C7" s="25"/>
      <c r="D7" s="25"/>
      <c r="E7" s="25"/>
      <c r="F7" s="25"/>
      <c r="G7" s="25"/>
      <c r="H7" s="31"/>
      <c r="I7" s="32"/>
      <c r="J7" s="33"/>
      <c r="K7" s="34" t="str">
        <f aca="false">IF(OR(H7="",I7=""),"",H7*I7*(1-N(J7)))</f>
        <v/>
      </c>
      <c r="L7" s="32"/>
      <c r="M7" s="34" t="str">
        <f aca="false">IF(OR(H7="",L7=""),"",H7*L7)</f>
        <v/>
      </c>
      <c r="N7" s="34" t="str">
        <f aca="false">IF(OR(K7="",M7=""),"",K7-M7)</f>
        <v/>
      </c>
      <c r="O7" s="35" t="str">
        <f aca="false">IF(OR(N7="",K7=""),"",IF(K7=0,"",N7/K7))</f>
        <v/>
      </c>
      <c r="P7" s="25"/>
      <c r="Q7" s="25"/>
      <c r="R7" s="25"/>
      <c r="S7" s="36" t="str">
        <f aca="false">IF(A7="","",YEAR(A7)+IF(AND(FYStart&gt;1,MONTH(A7)&gt;=FYStart),1,0))</f>
        <v/>
      </c>
      <c r="T7" s="36" t="str">
        <f aca="false">IF(A7="","",MOD(MONTH(A7)-FYStart,12)+1)</f>
        <v/>
      </c>
      <c r="U7" s="37" t="str">
        <f aca="false">IF(A7="","",TEXT(A7,"mmm"))</f>
        <v/>
      </c>
      <c r="V7" s="37" t="str">
        <f aca="false">IF(Q7="","",IFERROR(INDEX(Settings!$I$11:$I$15,MATCH(Q7,Settings!$H$11:$H$15,0)),"No"))</f>
        <v/>
      </c>
      <c r="W7" s="37" t="str">
        <f aca="false">IF(Q7="","",IFERROR(INDEX(Settings!$J$11:$J$15,MATCH(Q7,Settings!$H$11:$H$15,0)),"No"))</f>
        <v/>
      </c>
    </row>
    <row r="8" customFormat="false" ht="15" hidden="false" customHeight="false" outlineLevel="0" collapsed="false">
      <c r="A8" s="30"/>
      <c r="B8" s="25"/>
      <c r="C8" s="25"/>
      <c r="D8" s="25"/>
      <c r="E8" s="25"/>
      <c r="F8" s="25"/>
      <c r="G8" s="25"/>
      <c r="H8" s="31"/>
      <c r="I8" s="32"/>
      <c r="J8" s="33"/>
      <c r="K8" s="34" t="str">
        <f aca="false">IF(OR(H8="",I8=""),"",H8*I8*(1-N(J8)))</f>
        <v/>
      </c>
      <c r="L8" s="32"/>
      <c r="M8" s="34" t="str">
        <f aca="false">IF(OR(H8="",L8=""),"",H8*L8)</f>
        <v/>
      </c>
      <c r="N8" s="34" t="str">
        <f aca="false">IF(OR(K8="",M8=""),"",K8-M8)</f>
        <v/>
      </c>
      <c r="O8" s="35" t="str">
        <f aca="false">IF(OR(N8="",K8=""),"",IF(K8=0,"",N8/K8))</f>
        <v/>
      </c>
      <c r="P8" s="25"/>
      <c r="Q8" s="25"/>
      <c r="R8" s="25"/>
      <c r="S8" s="36" t="str">
        <f aca="false">IF(A8="","",YEAR(A8)+IF(AND(FYStart&gt;1,MONTH(A8)&gt;=FYStart),1,0))</f>
        <v/>
      </c>
      <c r="T8" s="36" t="str">
        <f aca="false">IF(A8="","",MOD(MONTH(A8)-FYStart,12)+1)</f>
        <v/>
      </c>
      <c r="U8" s="37" t="str">
        <f aca="false">IF(A8="","",TEXT(A8,"mmm"))</f>
        <v/>
      </c>
      <c r="V8" s="37" t="str">
        <f aca="false">IF(Q8="","",IFERROR(INDEX(Settings!$I$11:$I$15,MATCH(Q8,Settings!$H$11:$H$15,0)),"No"))</f>
        <v/>
      </c>
      <c r="W8" s="37" t="str">
        <f aca="false">IF(Q8="","",IFERROR(INDEX(Settings!$J$11:$J$15,MATCH(Q8,Settings!$H$11:$H$15,0)),"No"))</f>
        <v/>
      </c>
    </row>
    <row r="9" customFormat="false" ht="15" hidden="false" customHeight="false" outlineLevel="0" collapsed="false">
      <c r="A9" s="30"/>
      <c r="B9" s="25"/>
      <c r="C9" s="25"/>
      <c r="D9" s="25"/>
      <c r="E9" s="25"/>
      <c r="F9" s="25"/>
      <c r="G9" s="25"/>
      <c r="H9" s="31"/>
      <c r="I9" s="32"/>
      <c r="J9" s="33"/>
      <c r="K9" s="34" t="str">
        <f aca="false">IF(OR(H9="",I9=""),"",H9*I9*(1-N(J9)))</f>
        <v/>
      </c>
      <c r="L9" s="32"/>
      <c r="M9" s="34" t="str">
        <f aca="false">IF(OR(H9="",L9=""),"",H9*L9)</f>
        <v/>
      </c>
      <c r="N9" s="34" t="str">
        <f aca="false">IF(OR(K9="",M9=""),"",K9-M9)</f>
        <v/>
      </c>
      <c r="O9" s="35" t="str">
        <f aca="false">IF(OR(N9="",K9=""),"",IF(K9=0,"",N9/K9))</f>
        <v/>
      </c>
      <c r="P9" s="25"/>
      <c r="Q9" s="25"/>
      <c r="R9" s="25"/>
      <c r="S9" s="36" t="str">
        <f aca="false">IF(A9="","",YEAR(A9)+IF(AND(FYStart&gt;1,MONTH(A9)&gt;=FYStart),1,0))</f>
        <v/>
      </c>
      <c r="T9" s="36" t="str">
        <f aca="false">IF(A9="","",MOD(MONTH(A9)-FYStart,12)+1)</f>
        <v/>
      </c>
      <c r="U9" s="37" t="str">
        <f aca="false">IF(A9="","",TEXT(A9,"mmm"))</f>
        <v/>
      </c>
      <c r="V9" s="37" t="str">
        <f aca="false">IF(Q9="","",IFERROR(INDEX(Settings!$I$11:$I$15,MATCH(Q9,Settings!$H$11:$H$15,0)),"No"))</f>
        <v/>
      </c>
      <c r="W9" s="37" t="str">
        <f aca="false">IF(Q9="","",IFERROR(INDEX(Settings!$J$11:$J$15,MATCH(Q9,Settings!$H$11:$H$15,0)),"No"))</f>
        <v/>
      </c>
    </row>
    <row r="10" customFormat="false" ht="15" hidden="false" customHeight="false" outlineLevel="0" collapsed="false">
      <c r="A10" s="30"/>
      <c r="B10" s="25"/>
      <c r="C10" s="25"/>
      <c r="D10" s="25"/>
      <c r="E10" s="25"/>
      <c r="F10" s="25"/>
      <c r="G10" s="25"/>
      <c r="H10" s="31"/>
      <c r="I10" s="32"/>
      <c r="J10" s="33"/>
      <c r="K10" s="34" t="str">
        <f aca="false">IF(OR(H10="",I10=""),"",H10*I10*(1-N(J10)))</f>
        <v/>
      </c>
      <c r="L10" s="32"/>
      <c r="M10" s="34" t="str">
        <f aca="false">IF(OR(H10="",L10=""),"",H10*L10)</f>
        <v/>
      </c>
      <c r="N10" s="34" t="str">
        <f aca="false">IF(OR(K10="",M10=""),"",K10-M10)</f>
        <v/>
      </c>
      <c r="O10" s="35" t="str">
        <f aca="false">IF(OR(N10="",K10=""),"",IF(K10=0,"",N10/K10))</f>
        <v/>
      </c>
      <c r="P10" s="25"/>
      <c r="Q10" s="25"/>
      <c r="R10" s="25"/>
      <c r="S10" s="36" t="str">
        <f aca="false">IF(A10="","",YEAR(A10)+IF(AND(FYStart&gt;1,MONTH(A10)&gt;=FYStart),1,0))</f>
        <v/>
      </c>
      <c r="T10" s="36" t="str">
        <f aca="false">IF(A10="","",MOD(MONTH(A10)-FYStart,12)+1)</f>
        <v/>
      </c>
      <c r="U10" s="37" t="str">
        <f aca="false">IF(A10="","",TEXT(A10,"mmm"))</f>
        <v/>
      </c>
      <c r="V10" s="37" t="str">
        <f aca="false">IF(Q10="","",IFERROR(INDEX(Settings!$I$11:$I$15,MATCH(Q10,Settings!$H$11:$H$15,0)),"No"))</f>
        <v/>
      </c>
      <c r="W10" s="37" t="str">
        <f aca="false">IF(Q10="","",IFERROR(INDEX(Settings!$J$11:$J$15,MATCH(Q10,Settings!$H$11:$H$15,0)),"No"))</f>
        <v/>
      </c>
    </row>
    <row r="11" customFormat="false" ht="15" hidden="false" customHeight="false" outlineLevel="0" collapsed="false">
      <c r="A11" s="30"/>
      <c r="B11" s="25"/>
      <c r="C11" s="25"/>
      <c r="D11" s="25"/>
      <c r="E11" s="25"/>
      <c r="F11" s="25"/>
      <c r="G11" s="25"/>
      <c r="H11" s="31"/>
      <c r="I11" s="32"/>
      <c r="J11" s="33"/>
      <c r="K11" s="34" t="str">
        <f aca="false">IF(OR(H11="",I11=""),"",H11*I11*(1-N(J11)))</f>
        <v/>
      </c>
      <c r="L11" s="32"/>
      <c r="M11" s="34" t="str">
        <f aca="false">IF(OR(H11="",L11=""),"",H11*L11)</f>
        <v/>
      </c>
      <c r="N11" s="34" t="str">
        <f aca="false">IF(OR(K11="",M11=""),"",K11-M11)</f>
        <v/>
      </c>
      <c r="O11" s="35" t="str">
        <f aca="false">IF(OR(N11="",K11=""),"",IF(K11=0,"",N11/K11))</f>
        <v/>
      </c>
      <c r="P11" s="25"/>
      <c r="Q11" s="25"/>
      <c r="R11" s="25"/>
      <c r="S11" s="36" t="str">
        <f aca="false">IF(A11="","",YEAR(A11)+IF(AND(FYStart&gt;1,MONTH(A11)&gt;=FYStart),1,0))</f>
        <v/>
      </c>
      <c r="T11" s="36" t="str">
        <f aca="false">IF(A11="","",MOD(MONTH(A11)-FYStart,12)+1)</f>
        <v/>
      </c>
      <c r="U11" s="37" t="str">
        <f aca="false">IF(A11="","",TEXT(A11,"mmm"))</f>
        <v/>
      </c>
      <c r="V11" s="37" t="str">
        <f aca="false">IF(Q11="","",IFERROR(INDEX(Settings!$I$11:$I$15,MATCH(Q11,Settings!$H$11:$H$15,0)),"No"))</f>
        <v/>
      </c>
      <c r="W11" s="37" t="str">
        <f aca="false">IF(Q11="","",IFERROR(INDEX(Settings!$J$11:$J$15,MATCH(Q11,Settings!$H$11:$H$15,0)),"No"))</f>
        <v/>
      </c>
    </row>
    <row r="12" customFormat="false" ht="15" hidden="false" customHeight="false" outlineLevel="0" collapsed="false">
      <c r="A12" s="30"/>
      <c r="B12" s="25"/>
      <c r="C12" s="25"/>
      <c r="D12" s="25"/>
      <c r="E12" s="25"/>
      <c r="F12" s="25"/>
      <c r="G12" s="25"/>
      <c r="H12" s="31"/>
      <c r="I12" s="32"/>
      <c r="J12" s="33"/>
      <c r="K12" s="34" t="str">
        <f aca="false">IF(OR(H12="",I12=""),"",H12*I12*(1-N(J12)))</f>
        <v/>
      </c>
      <c r="L12" s="32"/>
      <c r="M12" s="34" t="str">
        <f aca="false">IF(OR(H12="",L12=""),"",H12*L12)</f>
        <v/>
      </c>
      <c r="N12" s="34" t="str">
        <f aca="false">IF(OR(K12="",M12=""),"",K12-M12)</f>
        <v/>
      </c>
      <c r="O12" s="35" t="str">
        <f aca="false">IF(OR(N12="",K12=""),"",IF(K12=0,"",N12/K12))</f>
        <v/>
      </c>
      <c r="P12" s="25"/>
      <c r="Q12" s="25"/>
      <c r="R12" s="25"/>
      <c r="S12" s="36" t="str">
        <f aca="false">IF(A12="","",YEAR(A12)+IF(AND(FYStart&gt;1,MONTH(A12)&gt;=FYStart),1,0))</f>
        <v/>
      </c>
      <c r="T12" s="36" t="str">
        <f aca="false">IF(A12="","",MOD(MONTH(A12)-FYStart,12)+1)</f>
        <v/>
      </c>
      <c r="U12" s="37" t="str">
        <f aca="false">IF(A12="","",TEXT(A12,"mmm"))</f>
        <v/>
      </c>
      <c r="V12" s="37" t="str">
        <f aca="false">IF(Q12="","",IFERROR(INDEX(Settings!$I$11:$I$15,MATCH(Q12,Settings!$H$11:$H$15,0)),"No"))</f>
        <v/>
      </c>
      <c r="W12" s="37" t="str">
        <f aca="false">IF(Q12="","",IFERROR(INDEX(Settings!$J$11:$J$15,MATCH(Q12,Settings!$H$11:$H$15,0)),"No"))</f>
        <v/>
      </c>
    </row>
    <row r="13" customFormat="false" ht="15" hidden="false" customHeight="false" outlineLevel="0" collapsed="false">
      <c r="A13" s="30"/>
      <c r="B13" s="25"/>
      <c r="C13" s="25"/>
      <c r="D13" s="25"/>
      <c r="E13" s="25"/>
      <c r="F13" s="25"/>
      <c r="G13" s="25"/>
      <c r="H13" s="31"/>
      <c r="I13" s="32"/>
      <c r="J13" s="33"/>
      <c r="K13" s="34" t="str">
        <f aca="false">IF(OR(H13="",I13=""),"",H13*I13*(1-N(J13)))</f>
        <v/>
      </c>
      <c r="L13" s="32"/>
      <c r="M13" s="34" t="str">
        <f aca="false">IF(OR(H13="",L13=""),"",H13*L13)</f>
        <v/>
      </c>
      <c r="N13" s="34" t="str">
        <f aca="false">IF(OR(K13="",M13=""),"",K13-M13)</f>
        <v/>
      </c>
      <c r="O13" s="35" t="str">
        <f aca="false">IF(OR(N13="",K13=""),"",IF(K13=0,"",N13/K13))</f>
        <v/>
      </c>
      <c r="P13" s="25"/>
      <c r="Q13" s="25"/>
      <c r="R13" s="25"/>
      <c r="S13" s="36" t="str">
        <f aca="false">IF(A13="","",YEAR(A13)+IF(AND(FYStart&gt;1,MONTH(A13)&gt;=FYStart),1,0))</f>
        <v/>
      </c>
      <c r="T13" s="36" t="str">
        <f aca="false">IF(A13="","",MOD(MONTH(A13)-FYStart,12)+1)</f>
        <v/>
      </c>
      <c r="U13" s="37" t="str">
        <f aca="false">IF(A13="","",TEXT(A13,"mmm"))</f>
        <v/>
      </c>
      <c r="V13" s="37" t="str">
        <f aca="false">IF(Q13="","",IFERROR(INDEX(Settings!$I$11:$I$15,MATCH(Q13,Settings!$H$11:$H$15,0)),"No"))</f>
        <v/>
      </c>
      <c r="W13" s="37" t="str">
        <f aca="false">IF(Q13="","",IFERROR(INDEX(Settings!$J$11:$J$15,MATCH(Q13,Settings!$H$11:$H$15,0)),"No"))</f>
        <v/>
      </c>
    </row>
    <row r="14" customFormat="false" ht="15" hidden="false" customHeight="false" outlineLevel="0" collapsed="false">
      <c r="A14" s="30"/>
      <c r="B14" s="25"/>
      <c r="C14" s="25"/>
      <c r="D14" s="25"/>
      <c r="E14" s="25"/>
      <c r="F14" s="25"/>
      <c r="G14" s="25"/>
      <c r="H14" s="31"/>
      <c r="I14" s="32"/>
      <c r="J14" s="33"/>
      <c r="K14" s="34" t="str">
        <f aca="false">IF(OR(H14="",I14=""),"",H14*I14*(1-N(J14)))</f>
        <v/>
      </c>
      <c r="L14" s="32"/>
      <c r="M14" s="34" t="str">
        <f aca="false">IF(OR(H14="",L14=""),"",H14*L14)</f>
        <v/>
      </c>
      <c r="N14" s="34" t="str">
        <f aca="false">IF(OR(K14="",M14=""),"",K14-M14)</f>
        <v/>
      </c>
      <c r="O14" s="35" t="str">
        <f aca="false">IF(OR(N14="",K14=""),"",IF(K14=0,"",N14/K14))</f>
        <v/>
      </c>
      <c r="P14" s="25"/>
      <c r="Q14" s="25"/>
      <c r="R14" s="25"/>
      <c r="S14" s="36" t="str">
        <f aca="false">IF(A14="","",YEAR(A14)+IF(AND(FYStart&gt;1,MONTH(A14)&gt;=FYStart),1,0))</f>
        <v/>
      </c>
      <c r="T14" s="36" t="str">
        <f aca="false">IF(A14="","",MOD(MONTH(A14)-FYStart,12)+1)</f>
        <v/>
      </c>
      <c r="U14" s="37" t="str">
        <f aca="false">IF(A14="","",TEXT(A14,"mmm"))</f>
        <v/>
      </c>
      <c r="V14" s="37" t="str">
        <f aca="false">IF(Q14="","",IFERROR(INDEX(Settings!$I$11:$I$15,MATCH(Q14,Settings!$H$11:$H$15,0)),"No"))</f>
        <v/>
      </c>
      <c r="W14" s="37" t="str">
        <f aca="false">IF(Q14="","",IFERROR(INDEX(Settings!$J$11:$J$15,MATCH(Q14,Settings!$H$11:$H$15,0)),"No"))</f>
        <v/>
      </c>
    </row>
    <row r="15" customFormat="false" ht="15" hidden="false" customHeight="false" outlineLevel="0" collapsed="false">
      <c r="A15" s="30"/>
      <c r="B15" s="25"/>
      <c r="C15" s="25"/>
      <c r="D15" s="25"/>
      <c r="E15" s="25"/>
      <c r="F15" s="25"/>
      <c r="G15" s="25"/>
      <c r="H15" s="31"/>
      <c r="I15" s="32"/>
      <c r="J15" s="33"/>
      <c r="K15" s="34" t="str">
        <f aca="false">IF(OR(H15="",I15=""),"",H15*I15*(1-N(J15)))</f>
        <v/>
      </c>
      <c r="L15" s="32"/>
      <c r="M15" s="34" t="str">
        <f aca="false">IF(OR(H15="",L15=""),"",H15*L15)</f>
        <v/>
      </c>
      <c r="N15" s="34" t="str">
        <f aca="false">IF(OR(K15="",M15=""),"",K15-M15)</f>
        <v/>
      </c>
      <c r="O15" s="35" t="str">
        <f aca="false">IF(OR(N15="",K15=""),"",IF(K15=0,"",N15/K15))</f>
        <v/>
      </c>
      <c r="P15" s="25"/>
      <c r="Q15" s="25"/>
      <c r="R15" s="25"/>
      <c r="S15" s="36" t="str">
        <f aca="false">IF(A15="","",YEAR(A15)+IF(AND(FYStart&gt;1,MONTH(A15)&gt;=FYStart),1,0))</f>
        <v/>
      </c>
      <c r="T15" s="36" t="str">
        <f aca="false">IF(A15="","",MOD(MONTH(A15)-FYStart,12)+1)</f>
        <v/>
      </c>
      <c r="U15" s="37" t="str">
        <f aca="false">IF(A15="","",TEXT(A15,"mmm"))</f>
        <v/>
      </c>
      <c r="V15" s="37" t="str">
        <f aca="false">IF(Q15="","",IFERROR(INDEX(Settings!$I$11:$I$15,MATCH(Q15,Settings!$H$11:$H$15,0)),"No"))</f>
        <v/>
      </c>
      <c r="W15" s="37" t="str">
        <f aca="false">IF(Q15="","",IFERROR(INDEX(Settings!$J$11:$J$15,MATCH(Q15,Settings!$H$11:$H$15,0)),"No"))</f>
        <v/>
      </c>
    </row>
    <row r="16" customFormat="false" ht="15" hidden="false" customHeight="false" outlineLevel="0" collapsed="false">
      <c r="A16" s="30"/>
      <c r="B16" s="25"/>
      <c r="C16" s="25"/>
      <c r="D16" s="25"/>
      <c r="E16" s="25"/>
      <c r="F16" s="25"/>
      <c r="G16" s="25"/>
      <c r="H16" s="31"/>
      <c r="I16" s="32"/>
      <c r="J16" s="33"/>
      <c r="K16" s="34" t="str">
        <f aca="false">IF(OR(H16="",I16=""),"",H16*I16*(1-N(J16)))</f>
        <v/>
      </c>
      <c r="L16" s="32"/>
      <c r="M16" s="34" t="str">
        <f aca="false">IF(OR(H16="",L16=""),"",H16*L16)</f>
        <v/>
      </c>
      <c r="N16" s="34" t="str">
        <f aca="false">IF(OR(K16="",M16=""),"",K16-M16)</f>
        <v/>
      </c>
      <c r="O16" s="35" t="str">
        <f aca="false">IF(OR(N16="",K16=""),"",IF(K16=0,"",N16/K16))</f>
        <v/>
      </c>
      <c r="P16" s="25"/>
      <c r="Q16" s="25"/>
      <c r="R16" s="25"/>
      <c r="S16" s="36" t="str">
        <f aca="false">IF(A16="","",YEAR(A16)+IF(AND(FYStart&gt;1,MONTH(A16)&gt;=FYStart),1,0))</f>
        <v/>
      </c>
      <c r="T16" s="36" t="str">
        <f aca="false">IF(A16="","",MOD(MONTH(A16)-FYStart,12)+1)</f>
        <v/>
      </c>
      <c r="U16" s="37" t="str">
        <f aca="false">IF(A16="","",TEXT(A16,"mmm"))</f>
        <v/>
      </c>
      <c r="V16" s="37" t="str">
        <f aca="false">IF(Q16="","",IFERROR(INDEX(Settings!$I$11:$I$15,MATCH(Q16,Settings!$H$11:$H$15,0)),"No"))</f>
        <v/>
      </c>
      <c r="W16" s="37" t="str">
        <f aca="false">IF(Q16="","",IFERROR(INDEX(Settings!$J$11:$J$15,MATCH(Q16,Settings!$H$11:$H$15,0)),"No"))</f>
        <v/>
      </c>
    </row>
    <row r="17" customFormat="false" ht="15" hidden="false" customHeight="false" outlineLevel="0" collapsed="false">
      <c r="A17" s="30"/>
      <c r="B17" s="25"/>
      <c r="C17" s="25"/>
      <c r="D17" s="25"/>
      <c r="E17" s="25"/>
      <c r="F17" s="25"/>
      <c r="G17" s="25"/>
      <c r="H17" s="31"/>
      <c r="I17" s="32"/>
      <c r="J17" s="33"/>
      <c r="K17" s="34" t="str">
        <f aca="false">IF(OR(H17="",I17=""),"",H17*I17*(1-N(J17)))</f>
        <v/>
      </c>
      <c r="L17" s="32"/>
      <c r="M17" s="34" t="str">
        <f aca="false">IF(OR(H17="",L17=""),"",H17*L17)</f>
        <v/>
      </c>
      <c r="N17" s="34" t="str">
        <f aca="false">IF(OR(K17="",M17=""),"",K17-M17)</f>
        <v/>
      </c>
      <c r="O17" s="35" t="str">
        <f aca="false">IF(OR(N17="",K17=""),"",IF(K17=0,"",N17/K17))</f>
        <v/>
      </c>
      <c r="P17" s="25"/>
      <c r="Q17" s="25"/>
      <c r="R17" s="25"/>
      <c r="S17" s="36" t="str">
        <f aca="false">IF(A17="","",YEAR(A17)+IF(AND(FYStart&gt;1,MONTH(A17)&gt;=FYStart),1,0))</f>
        <v/>
      </c>
      <c r="T17" s="36" t="str">
        <f aca="false">IF(A17="","",MOD(MONTH(A17)-FYStart,12)+1)</f>
        <v/>
      </c>
      <c r="U17" s="37" t="str">
        <f aca="false">IF(A17="","",TEXT(A17,"mmm"))</f>
        <v/>
      </c>
      <c r="V17" s="37" t="str">
        <f aca="false">IF(Q17="","",IFERROR(INDEX(Settings!$I$11:$I$15,MATCH(Q17,Settings!$H$11:$H$15,0)),"No"))</f>
        <v/>
      </c>
      <c r="W17" s="37" t="str">
        <f aca="false">IF(Q17="","",IFERROR(INDEX(Settings!$J$11:$J$15,MATCH(Q17,Settings!$H$11:$H$15,0)),"No"))</f>
        <v/>
      </c>
    </row>
    <row r="18" customFormat="false" ht="15" hidden="false" customHeight="false" outlineLevel="0" collapsed="false">
      <c r="A18" s="30"/>
      <c r="B18" s="25"/>
      <c r="C18" s="25"/>
      <c r="D18" s="25"/>
      <c r="E18" s="25"/>
      <c r="F18" s="25"/>
      <c r="G18" s="25"/>
      <c r="H18" s="31"/>
      <c r="I18" s="32"/>
      <c r="J18" s="33"/>
      <c r="K18" s="34" t="str">
        <f aca="false">IF(OR(H18="",I18=""),"",H18*I18*(1-N(J18)))</f>
        <v/>
      </c>
      <c r="L18" s="32"/>
      <c r="M18" s="34" t="str">
        <f aca="false">IF(OR(H18="",L18=""),"",H18*L18)</f>
        <v/>
      </c>
      <c r="N18" s="34" t="str">
        <f aca="false">IF(OR(K18="",M18=""),"",K18-M18)</f>
        <v/>
      </c>
      <c r="O18" s="35" t="str">
        <f aca="false">IF(OR(N18="",K18=""),"",IF(K18=0,"",N18/K18))</f>
        <v/>
      </c>
      <c r="P18" s="25"/>
      <c r="Q18" s="25"/>
      <c r="R18" s="25"/>
      <c r="S18" s="36" t="str">
        <f aca="false">IF(A18="","",YEAR(A18)+IF(AND(FYStart&gt;1,MONTH(A18)&gt;=FYStart),1,0))</f>
        <v/>
      </c>
      <c r="T18" s="36" t="str">
        <f aca="false">IF(A18="","",MOD(MONTH(A18)-FYStart,12)+1)</f>
        <v/>
      </c>
      <c r="U18" s="37" t="str">
        <f aca="false">IF(A18="","",TEXT(A18,"mmm"))</f>
        <v/>
      </c>
      <c r="V18" s="37" t="str">
        <f aca="false">IF(Q18="","",IFERROR(INDEX(Settings!$I$11:$I$15,MATCH(Q18,Settings!$H$11:$H$15,0)),"No"))</f>
        <v/>
      </c>
      <c r="W18" s="37" t="str">
        <f aca="false">IF(Q18="","",IFERROR(INDEX(Settings!$J$11:$J$15,MATCH(Q18,Settings!$H$11:$H$15,0)),"No"))</f>
        <v/>
      </c>
    </row>
    <row r="19" customFormat="false" ht="15" hidden="false" customHeight="false" outlineLevel="0" collapsed="false">
      <c r="A19" s="30"/>
      <c r="B19" s="25"/>
      <c r="C19" s="25"/>
      <c r="D19" s="25"/>
      <c r="E19" s="25"/>
      <c r="F19" s="25"/>
      <c r="G19" s="25"/>
      <c r="H19" s="31"/>
      <c r="I19" s="32"/>
      <c r="J19" s="33"/>
      <c r="K19" s="34" t="str">
        <f aca="false">IF(OR(H19="",I19=""),"",H19*I19*(1-N(J19)))</f>
        <v/>
      </c>
      <c r="L19" s="32"/>
      <c r="M19" s="34" t="str">
        <f aca="false">IF(OR(H19="",L19=""),"",H19*L19)</f>
        <v/>
      </c>
      <c r="N19" s="34" t="str">
        <f aca="false">IF(OR(K19="",M19=""),"",K19-M19)</f>
        <v/>
      </c>
      <c r="O19" s="35" t="str">
        <f aca="false">IF(OR(N19="",K19=""),"",IF(K19=0,"",N19/K19))</f>
        <v/>
      </c>
      <c r="P19" s="25"/>
      <c r="Q19" s="25"/>
      <c r="R19" s="25"/>
      <c r="S19" s="36" t="str">
        <f aca="false">IF(A19="","",YEAR(A19)+IF(AND(FYStart&gt;1,MONTH(A19)&gt;=FYStart),1,0))</f>
        <v/>
      </c>
      <c r="T19" s="36" t="str">
        <f aca="false">IF(A19="","",MOD(MONTH(A19)-FYStart,12)+1)</f>
        <v/>
      </c>
      <c r="U19" s="37" t="str">
        <f aca="false">IF(A19="","",TEXT(A19,"mmm"))</f>
        <v/>
      </c>
      <c r="V19" s="37" t="str">
        <f aca="false">IF(Q19="","",IFERROR(INDEX(Settings!$I$11:$I$15,MATCH(Q19,Settings!$H$11:$H$15,0)),"No"))</f>
        <v/>
      </c>
      <c r="W19" s="37" t="str">
        <f aca="false">IF(Q19="","",IFERROR(INDEX(Settings!$J$11:$J$15,MATCH(Q19,Settings!$H$11:$H$15,0)),"No"))</f>
        <v/>
      </c>
    </row>
    <row r="20" customFormat="false" ht="15" hidden="false" customHeight="false" outlineLevel="0" collapsed="false">
      <c r="A20" s="30"/>
      <c r="B20" s="25"/>
      <c r="C20" s="25"/>
      <c r="D20" s="25"/>
      <c r="E20" s="25"/>
      <c r="F20" s="25"/>
      <c r="G20" s="25"/>
      <c r="H20" s="31"/>
      <c r="I20" s="32"/>
      <c r="J20" s="33"/>
      <c r="K20" s="34" t="str">
        <f aca="false">IF(OR(H20="",I20=""),"",H20*I20*(1-N(J20)))</f>
        <v/>
      </c>
      <c r="L20" s="32"/>
      <c r="M20" s="34" t="str">
        <f aca="false">IF(OR(H20="",L20=""),"",H20*L20)</f>
        <v/>
      </c>
      <c r="N20" s="34" t="str">
        <f aca="false">IF(OR(K20="",M20=""),"",K20-M20)</f>
        <v/>
      </c>
      <c r="O20" s="35" t="str">
        <f aca="false">IF(OR(N20="",K20=""),"",IF(K20=0,"",N20/K20))</f>
        <v/>
      </c>
      <c r="P20" s="25"/>
      <c r="Q20" s="25"/>
      <c r="R20" s="25"/>
      <c r="S20" s="36" t="str">
        <f aca="false">IF(A20="","",YEAR(A20)+IF(AND(FYStart&gt;1,MONTH(A20)&gt;=FYStart),1,0))</f>
        <v/>
      </c>
      <c r="T20" s="36" t="str">
        <f aca="false">IF(A20="","",MOD(MONTH(A20)-FYStart,12)+1)</f>
        <v/>
      </c>
      <c r="U20" s="37" t="str">
        <f aca="false">IF(A20="","",TEXT(A20,"mmm"))</f>
        <v/>
      </c>
      <c r="V20" s="37" t="str">
        <f aca="false">IF(Q20="","",IFERROR(INDEX(Settings!$I$11:$I$15,MATCH(Q20,Settings!$H$11:$H$15,0)),"No"))</f>
        <v/>
      </c>
      <c r="W20" s="37" t="str">
        <f aca="false">IF(Q20="","",IFERROR(INDEX(Settings!$J$11:$J$15,MATCH(Q20,Settings!$H$11:$H$15,0)),"No"))</f>
        <v/>
      </c>
    </row>
    <row r="21" customFormat="false" ht="15" hidden="false" customHeight="false" outlineLevel="0" collapsed="false">
      <c r="A21" s="30"/>
      <c r="B21" s="25"/>
      <c r="C21" s="25"/>
      <c r="D21" s="25"/>
      <c r="E21" s="25"/>
      <c r="F21" s="25"/>
      <c r="G21" s="25"/>
      <c r="H21" s="31"/>
      <c r="I21" s="32"/>
      <c r="J21" s="33"/>
      <c r="K21" s="34" t="str">
        <f aca="false">IF(OR(H21="",I21=""),"",H21*I21*(1-N(J21)))</f>
        <v/>
      </c>
      <c r="L21" s="32"/>
      <c r="M21" s="34" t="str">
        <f aca="false">IF(OR(H21="",L21=""),"",H21*L21)</f>
        <v/>
      </c>
      <c r="N21" s="34" t="str">
        <f aca="false">IF(OR(K21="",M21=""),"",K21-M21)</f>
        <v/>
      </c>
      <c r="O21" s="35" t="str">
        <f aca="false">IF(OR(N21="",K21=""),"",IF(K21=0,"",N21/K21))</f>
        <v/>
      </c>
      <c r="P21" s="25"/>
      <c r="Q21" s="25"/>
      <c r="R21" s="25"/>
      <c r="S21" s="36" t="str">
        <f aca="false">IF(A21="","",YEAR(A21)+IF(AND(FYStart&gt;1,MONTH(A21)&gt;=FYStart),1,0))</f>
        <v/>
      </c>
      <c r="T21" s="36" t="str">
        <f aca="false">IF(A21="","",MOD(MONTH(A21)-FYStart,12)+1)</f>
        <v/>
      </c>
      <c r="U21" s="37" t="str">
        <f aca="false">IF(A21="","",TEXT(A21,"mmm"))</f>
        <v/>
      </c>
      <c r="V21" s="37" t="str">
        <f aca="false">IF(Q21="","",IFERROR(INDEX(Settings!$I$11:$I$15,MATCH(Q21,Settings!$H$11:$H$15,0)),"No"))</f>
        <v/>
      </c>
      <c r="W21" s="37" t="str">
        <f aca="false">IF(Q21="","",IFERROR(INDEX(Settings!$J$11:$J$15,MATCH(Q21,Settings!$H$11:$H$15,0)),"No"))</f>
        <v/>
      </c>
    </row>
    <row r="22" customFormat="false" ht="15" hidden="false" customHeight="false" outlineLevel="0" collapsed="false">
      <c r="A22" s="30"/>
      <c r="B22" s="25"/>
      <c r="C22" s="25"/>
      <c r="D22" s="25"/>
      <c r="E22" s="25"/>
      <c r="F22" s="25"/>
      <c r="G22" s="25"/>
      <c r="H22" s="31"/>
      <c r="I22" s="32"/>
      <c r="J22" s="33"/>
      <c r="K22" s="34" t="str">
        <f aca="false">IF(OR(H22="",I22=""),"",H22*I22*(1-N(J22)))</f>
        <v/>
      </c>
      <c r="L22" s="32"/>
      <c r="M22" s="34" t="str">
        <f aca="false">IF(OR(H22="",L22=""),"",H22*L22)</f>
        <v/>
      </c>
      <c r="N22" s="34" t="str">
        <f aca="false">IF(OR(K22="",M22=""),"",K22-M22)</f>
        <v/>
      </c>
      <c r="O22" s="35" t="str">
        <f aca="false">IF(OR(N22="",K22=""),"",IF(K22=0,"",N22/K22))</f>
        <v/>
      </c>
      <c r="P22" s="25"/>
      <c r="Q22" s="25"/>
      <c r="R22" s="25"/>
      <c r="S22" s="36" t="str">
        <f aca="false">IF(A22="","",YEAR(A22)+IF(AND(FYStart&gt;1,MONTH(A22)&gt;=FYStart),1,0))</f>
        <v/>
      </c>
      <c r="T22" s="36" t="str">
        <f aca="false">IF(A22="","",MOD(MONTH(A22)-FYStart,12)+1)</f>
        <v/>
      </c>
      <c r="U22" s="37" t="str">
        <f aca="false">IF(A22="","",TEXT(A22,"mmm"))</f>
        <v/>
      </c>
      <c r="V22" s="37" t="str">
        <f aca="false">IF(Q22="","",IFERROR(INDEX(Settings!$I$11:$I$15,MATCH(Q22,Settings!$H$11:$H$15,0)),"No"))</f>
        <v/>
      </c>
      <c r="W22" s="37" t="str">
        <f aca="false">IF(Q22="","",IFERROR(INDEX(Settings!$J$11:$J$15,MATCH(Q22,Settings!$H$11:$H$15,0)),"No"))</f>
        <v/>
      </c>
    </row>
    <row r="23" customFormat="false" ht="15" hidden="false" customHeight="false" outlineLevel="0" collapsed="false">
      <c r="A23" s="30"/>
      <c r="B23" s="25"/>
      <c r="C23" s="25"/>
      <c r="D23" s="25"/>
      <c r="E23" s="25"/>
      <c r="F23" s="25"/>
      <c r="G23" s="25"/>
      <c r="H23" s="31"/>
      <c r="I23" s="32"/>
      <c r="J23" s="33"/>
      <c r="K23" s="34" t="str">
        <f aca="false">IF(OR(H23="",I23=""),"",H23*I23*(1-N(J23)))</f>
        <v/>
      </c>
      <c r="L23" s="32"/>
      <c r="M23" s="34" t="str">
        <f aca="false">IF(OR(H23="",L23=""),"",H23*L23)</f>
        <v/>
      </c>
      <c r="N23" s="34" t="str">
        <f aca="false">IF(OR(K23="",M23=""),"",K23-M23)</f>
        <v/>
      </c>
      <c r="O23" s="35" t="str">
        <f aca="false">IF(OR(N23="",K23=""),"",IF(K23=0,"",N23/K23))</f>
        <v/>
      </c>
      <c r="P23" s="25"/>
      <c r="Q23" s="25"/>
      <c r="R23" s="25"/>
      <c r="S23" s="36" t="str">
        <f aca="false">IF(A23="","",YEAR(A23)+IF(AND(FYStart&gt;1,MONTH(A23)&gt;=FYStart),1,0))</f>
        <v/>
      </c>
      <c r="T23" s="36" t="str">
        <f aca="false">IF(A23="","",MOD(MONTH(A23)-FYStart,12)+1)</f>
        <v/>
      </c>
      <c r="U23" s="37" t="str">
        <f aca="false">IF(A23="","",TEXT(A23,"mmm"))</f>
        <v/>
      </c>
      <c r="V23" s="37" t="str">
        <f aca="false">IF(Q23="","",IFERROR(INDEX(Settings!$I$11:$I$15,MATCH(Q23,Settings!$H$11:$H$15,0)),"No"))</f>
        <v/>
      </c>
      <c r="W23" s="37" t="str">
        <f aca="false">IF(Q23="","",IFERROR(INDEX(Settings!$J$11:$J$15,MATCH(Q23,Settings!$H$11:$H$15,0)),"No"))</f>
        <v/>
      </c>
    </row>
    <row r="24" customFormat="false" ht="15" hidden="false" customHeight="false" outlineLevel="0" collapsed="false">
      <c r="A24" s="30"/>
      <c r="B24" s="25"/>
      <c r="C24" s="25"/>
      <c r="D24" s="25"/>
      <c r="E24" s="25"/>
      <c r="F24" s="25"/>
      <c r="G24" s="25"/>
      <c r="H24" s="31"/>
      <c r="I24" s="32"/>
      <c r="J24" s="33"/>
      <c r="K24" s="34" t="str">
        <f aca="false">IF(OR(H24="",I24=""),"",H24*I24*(1-N(J24)))</f>
        <v/>
      </c>
      <c r="L24" s="32"/>
      <c r="M24" s="34" t="str">
        <f aca="false">IF(OR(H24="",L24=""),"",H24*L24)</f>
        <v/>
      </c>
      <c r="N24" s="34" t="str">
        <f aca="false">IF(OR(K24="",M24=""),"",K24-M24)</f>
        <v/>
      </c>
      <c r="O24" s="35" t="str">
        <f aca="false">IF(OR(N24="",K24=""),"",IF(K24=0,"",N24/K24))</f>
        <v/>
      </c>
      <c r="P24" s="25"/>
      <c r="Q24" s="25"/>
      <c r="R24" s="25"/>
      <c r="S24" s="36" t="str">
        <f aca="false">IF(A24="","",YEAR(A24)+IF(AND(FYStart&gt;1,MONTH(A24)&gt;=FYStart),1,0))</f>
        <v/>
      </c>
      <c r="T24" s="36" t="str">
        <f aca="false">IF(A24="","",MOD(MONTH(A24)-FYStart,12)+1)</f>
        <v/>
      </c>
      <c r="U24" s="37" t="str">
        <f aca="false">IF(A24="","",TEXT(A24,"mmm"))</f>
        <v/>
      </c>
      <c r="V24" s="37" t="str">
        <f aca="false">IF(Q24="","",IFERROR(INDEX(Settings!$I$11:$I$15,MATCH(Q24,Settings!$H$11:$H$15,0)),"No"))</f>
        <v/>
      </c>
      <c r="W24" s="37" t="str">
        <f aca="false">IF(Q24="","",IFERROR(INDEX(Settings!$J$11:$J$15,MATCH(Q24,Settings!$H$11:$H$15,0)),"No"))</f>
        <v/>
      </c>
    </row>
    <row r="25" customFormat="false" ht="15" hidden="false" customHeight="false" outlineLevel="0" collapsed="false">
      <c r="A25" s="30"/>
      <c r="B25" s="25"/>
      <c r="C25" s="25"/>
      <c r="D25" s="25"/>
      <c r="E25" s="25"/>
      <c r="F25" s="25"/>
      <c r="G25" s="25"/>
      <c r="H25" s="31"/>
      <c r="I25" s="32"/>
      <c r="J25" s="33"/>
      <c r="K25" s="34" t="str">
        <f aca="false">IF(OR(H25="",I25=""),"",H25*I25*(1-N(J25)))</f>
        <v/>
      </c>
      <c r="L25" s="32"/>
      <c r="M25" s="34" t="str">
        <f aca="false">IF(OR(H25="",L25=""),"",H25*L25)</f>
        <v/>
      </c>
      <c r="N25" s="34" t="str">
        <f aca="false">IF(OR(K25="",M25=""),"",K25-M25)</f>
        <v/>
      </c>
      <c r="O25" s="35" t="str">
        <f aca="false">IF(OR(N25="",K25=""),"",IF(K25=0,"",N25/K25))</f>
        <v/>
      </c>
      <c r="P25" s="25"/>
      <c r="Q25" s="25"/>
      <c r="R25" s="25"/>
      <c r="S25" s="36" t="str">
        <f aca="false">IF(A25="","",YEAR(A25)+IF(AND(FYStart&gt;1,MONTH(A25)&gt;=FYStart),1,0))</f>
        <v/>
      </c>
      <c r="T25" s="36" t="str">
        <f aca="false">IF(A25="","",MOD(MONTH(A25)-FYStart,12)+1)</f>
        <v/>
      </c>
      <c r="U25" s="37" t="str">
        <f aca="false">IF(A25="","",TEXT(A25,"mmm"))</f>
        <v/>
      </c>
      <c r="V25" s="37" t="str">
        <f aca="false">IF(Q25="","",IFERROR(INDEX(Settings!$I$11:$I$15,MATCH(Q25,Settings!$H$11:$H$15,0)),"No"))</f>
        <v/>
      </c>
      <c r="W25" s="37" t="str">
        <f aca="false">IF(Q25="","",IFERROR(INDEX(Settings!$J$11:$J$15,MATCH(Q25,Settings!$H$11:$H$15,0)),"No"))</f>
        <v/>
      </c>
    </row>
    <row r="26" customFormat="false" ht="15" hidden="false" customHeight="false" outlineLevel="0" collapsed="false">
      <c r="A26" s="30"/>
      <c r="B26" s="25"/>
      <c r="C26" s="25"/>
      <c r="D26" s="25"/>
      <c r="E26" s="25"/>
      <c r="F26" s="25"/>
      <c r="G26" s="25"/>
      <c r="H26" s="31"/>
      <c r="I26" s="32"/>
      <c r="J26" s="33"/>
      <c r="K26" s="34" t="str">
        <f aca="false">IF(OR(H26="",I26=""),"",H26*I26*(1-N(J26)))</f>
        <v/>
      </c>
      <c r="L26" s="32"/>
      <c r="M26" s="34" t="str">
        <f aca="false">IF(OR(H26="",L26=""),"",H26*L26)</f>
        <v/>
      </c>
      <c r="N26" s="34" t="str">
        <f aca="false">IF(OR(K26="",M26=""),"",K26-M26)</f>
        <v/>
      </c>
      <c r="O26" s="35" t="str">
        <f aca="false">IF(OR(N26="",K26=""),"",IF(K26=0,"",N26/K26))</f>
        <v/>
      </c>
      <c r="P26" s="25"/>
      <c r="Q26" s="25"/>
      <c r="R26" s="25"/>
      <c r="S26" s="36" t="str">
        <f aca="false">IF(A26="","",YEAR(A26)+IF(AND(FYStart&gt;1,MONTH(A26)&gt;=FYStart),1,0))</f>
        <v/>
      </c>
      <c r="T26" s="36" t="str">
        <f aca="false">IF(A26="","",MOD(MONTH(A26)-FYStart,12)+1)</f>
        <v/>
      </c>
      <c r="U26" s="37" t="str">
        <f aca="false">IF(A26="","",TEXT(A26,"mmm"))</f>
        <v/>
      </c>
      <c r="V26" s="37" t="str">
        <f aca="false">IF(Q26="","",IFERROR(INDEX(Settings!$I$11:$I$15,MATCH(Q26,Settings!$H$11:$H$15,0)),"No"))</f>
        <v/>
      </c>
      <c r="W26" s="37" t="str">
        <f aca="false">IF(Q26="","",IFERROR(INDEX(Settings!$J$11:$J$15,MATCH(Q26,Settings!$H$11:$H$15,0)),"No"))</f>
        <v/>
      </c>
    </row>
    <row r="27" customFormat="false" ht="15" hidden="false" customHeight="false" outlineLevel="0" collapsed="false">
      <c r="A27" s="30"/>
      <c r="B27" s="25"/>
      <c r="C27" s="25"/>
      <c r="D27" s="25"/>
      <c r="E27" s="25"/>
      <c r="F27" s="25"/>
      <c r="G27" s="25"/>
      <c r="H27" s="31"/>
      <c r="I27" s="32"/>
      <c r="J27" s="33"/>
      <c r="K27" s="34" t="str">
        <f aca="false">IF(OR(H27="",I27=""),"",H27*I27*(1-N(J27)))</f>
        <v/>
      </c>
      <c r="L27" s="32"/>
      <c r="M27" s="34" t="str">
        <f aca="false">IF(OR(H27="",L27=""),"",H27*L27)</f>
        <v/>
      </c>
      <c r="N27" s="34" t="str">
        <f aca="false">IF(OR(K27="",M27=""),"",K27-M27)</f>
        <v/>
      </c>
      <c r="O27" s="35" t="str">
        <f aca="false">IF(OR(N27="",K27=""),"",IF(K27=0,"",N27/K27))</f>
        <v/>
      </c>
      <c r="P27" s="25"/>
      <c r="Q27" s="25"/>
      <c r="R27" s="25"/>
      <c r="S27" s="36" t="str">
        <f aca="false">IF(A27="","",YEAR(A27)+IF(AND(FYStart&gt;1,MONTH(A27)&gt;=FYStart),1,0))</f>
        <v/>
      </c>
      <c r="T27" s="36" t="str">
        <f aca="false">IF(A27="","",MOD(MONTH(A27)-FYStart,12)+1)</f>
        <v/>
      </c>
      <c r="U27" s="37" t="str">
        <f aca="false">IF(A27="","",TEXT(A27,"mmm"))</f>
        <v/>
      </c>
      <c r="V27" s="37" t="str">
        <f aca="false">IF(Q27="","",IFERROR(INDEX(Settings!$I$11:$I$15,MATCH(Q27,Settings!$H$11:$H$15,0)),"No"))</f>
        <v/>
      </c>
      <c r="W27" s="37" t="str">
        <f aca="false">IF(Q27="","",IFERROR(INDEX(Settings!$J$11:$J$15,MATCH(Q27,Settings!$H$11:$H$15,0)),"No"))</f>
        <v/>
      </c>
    </row>
    <row r="28" customFormat="false" ht="15" hidden="false" customHeight="false" outlineLevel="0" collapsed="false">
      <c r="A28" s="30"/>
      <c r="B28" s="25"/>
      <c r="C28" s="25"/>
      <c r="D28" s="25"/>
      <c r="E28" s="25"/>
      <c r="F28" s="25"/>
      <c r="G28" s="25"/>
      <c r="H28" s="31"/>
      <c r="I28" s="32"/>
      <c r="J28" s="33"/>
      <c r="K28" s="34" t="str">
        <f aca="false">IF(OR(H28="",I28=""),"",H28*I28*(1-N(J28)))</f>
        <v/>
      </c>
      <c r="L28" s="32"/>
      <c r="M28" s="34" t="str">
        <f aca="false">IF(OR(H28="",L28=""),"",H28*L28)</f>
        <v/>
      </c>
      <c r="N28" s="34" t="str">
        <f aca="false">IF(OR(K28="",M28=""),"",K28-M28)</f>
        <v/>
      </c>
      <c r="O28" s="35" t="str">
        <f aca="false">IF(OR(N28="",K28=""),"",IF(K28=0,"",N28/K28))</f>
        <v/>
      </c>
      <c r="P28" s="25"/>
      <c r="Q28" s="25"/>
      <c r="R28" s="25"/>
      <c r="S28" s="36" t="str">
        <f aca="false">IF(A28="","",YEAR(A28)+IF(AND(FYStart&gt;1,MONTH(A28)&gt;=FYStart),1,0))</f>
        <v/>
      </c>
      <c r="T28" s="36" t="str">
        <f aca="false">IF(A28="","",MOD(MONTH(A28)-FYStart,12)+1)</f>
        <v/>
      </c>
      <c r="U28" s="37" t="str">
        <f aca="false">IF(A28="","",TEXT(A28,"mmm"))</f>
        <v/>
      </c>
      <c r="V28" s="37" t="str">
        <f aca="false">IF(Q28="","",IFERROR(INDEX(Settings!$I$11:$I$15,MATCH(Q28,Settings!$H$11:$H$15,0)),"No"))</f>
        <v/>
      </c>
      <c r="W28" s="37" t="str">
        <f aca="false">IF(Q28="","",IFERROR(INDEX(Settings!$J$11:$J$15,MATCH(Q28,Settings!$H$11:$H$15,0)),"No"))</f>
        <v/>
      </c>
    </row>
    <row r="29" customFormat="false" ht="15" hidden="false" customHeight="false" outlineLevel="0" collapsed="false">
      <c r="A29" s="30"/>
      <c r="B29" s="25"/>
      <c r="C29" s="25"/>
      <c r="D29" s="25"/>
      <c r="E29" s="25"/>
      <c r="F29" s="25"/>
      <c r="G29" s="25"/>
      <c r="H29" s="31"/>
      <c r="I29" s="32"/>
      <c r="J29" s="33"/>
      <c r="K29" s="34" t="str">
        <f aca="false">IF(OR(H29="",I29=""),"",H29*I29*(1-N(J29)))</f>
        <v/>
      </c>
      <c r="L29" s="32"/>
      <c r="M29" s="34" t="str">
        <f aca="false">IF(OR(H29="",L29=""),"",H29*L29)</f>
        <v/>
      </c>
      <c r="N29" s="34" t="str">
        <f aca="false">IF(OR(K29="",M29=""),"",K29-M29)</f>
        <v/>
      </c>
      <c r="O29" s="35" t="str">
        <f aca="false">IF(OR(N29="",K29=""),"",IF(K29=0,"",N29/K29))</f>
        <v/>
      </c>
      <c r="P29" s="25"/>
      <c r="Q29" s="25"/>
      <c r="R29" s="25"/>
      <c r="S29" s="36" t="str">
        <f aca="false">IF(A29="","",YEAR(A29)+IF(AND(FYStart&gt;1,MONTH(A29)&gt;=FYStart),1,0))</f>
        <v/>
      </c>
      <c r="T29" s="36" t="str">
        <f aca="false">IF(A29="","",MOD(MONTH(A29)-FYStart,12)+1)</f>
        <v/>
      </c>
      <c r="U29" s="37" t="str">
        <f aca="false">IF(A29="","",TEXT(A29,"mmm"))</f>
        <v/>
      </c>
      <c r="V29" s="37" t="str">
        <f aca="false">IF(Q29="","",IFERROR(INDEX(Settings!$I$11:$I$15,MATCH(Q29,Settings!$H$11:$H$15,0)),"No"))</f>
        <v/>
      </c>
      <c r="W29" s="37" t="str">
        <f aca="false">IF(Q29="","",IFERROR(INDEX(Settings!$J$11:$J$15,MATCH(Q29,Settings!$H$11:$H$15,0)),"No"))</f>
        <v/>
      </c>
    </row>
    <row r="30" customFormat="false" ht="15" hidden="false" customHeight="false" outlineLevel="0" collapsed="false">
      <c r="A30" s="30"/>
      <c r="B30" s="25"/>
      <c r="C30" s="25"/>
      <c r="D30" s="25"/>
      <c r="E30" s="25"/>
      <c r="F30" s="25"/>
      <c r="G30" s="25"/>
      <c r="H30" s="31"/>
      <c r="I30" s="32"/>
      <c r="J30" s="33"/>
      <c r="K30" s="34" t="str">
        <f aca="false">IF(OR(H30="",I30=""),"",H30*I30*(1-N(J30)))</f>
        <v/>
      </c>
      <c r="L30" s="32"/>
      <c r="M30" s="34" t="str">
        <f aca="false">IF(OR(H30="",L30=""),"",H30*L30)</f>
        <v/>
      </c>
      <c r="N30" s="34" t="str">
        <f aca="false">IF(OR(K30="",M30=""),"",K30-M30)</f>
        <v/>
      </c>
      <c r="O30" s="35" t="str">
        <f aca="false">IF(OR(N30="",K30=""),"",IF(K30=0,"",N30/K30))</f>
        <v/>
      </c>
      <c r="P30" s="25"/>
      <c r="Q30" s="25"/>
      <c r="R30" s="25"/>
      <c r="S30" s="36" t="str">
        <f aca="false">IF(A30="","",YEAR(A30)+IF(AND(FYStart&gt;1,MONTH(A30)&gt;=FYStart),1,0))</f>
        <v/>
      </c>
      <c r="T30" s="36" t="str">
        <f aca="false">IF(A30="","",MOD(MONTH(A30)-FYStart,12)+1)</f>
        <v/>
      </c>
      <c r="U30" s="37" t="str">
        <f aca="false">IF(A30="","",TEXT(A30,"mmm"))</f>
        <v/>
      </c>
      <c r="V30" s="37" t="str">
        <f aca="false">IF(Q30="","",IFERROR(INDEX(Settings!$I$11:$I$15,MATCH(Q30,Settings!$H$11:$H$15,0)),"No"))</f>
        <v/>
      </c>
      <c r="W30" s="37" t="str">
        <f aca="false">IF(Q30="","",IFERROR(INDEX(Settings!$J$11:$J$15,MATCH(Q30,Settings!$H$11:$H$15,0)),"No"))</f>
        <v/>
      </c>
    </row>
    <row r="31" customFormat="false" ht="15" hidden="false" customHeight="false" outlineLevel="0" collapsed="false">
      <c r="A31" s="30"/>
      <c r="B31" s="25"/>
      <c r="C31" s="25"/>
      <c r="D31" s="25"/>
      <c r="E31" s="25"/>
      <c r="F31" s="25"/>
      <c r="G31" s="25"/>
      <c r="H31" s="31"/>
      <c r="I31" s="32"/>
      <c r="J31" s="33"/>
      <c r="K31" s="34" t="str">
        <f aca="false">IF(OR(H31="",I31=""),"",H31*I31*(1-N(J31)))</f>
        <v/>
      </c>
      <c r="L31" s="32"/>
      <c r="M31" s="34" t="str">
        <f aca="false">IF(OR(H31="",L31=""),"",H31*L31)</f>
        <v/>
      </c>
      <c r="N31" s="34" t="str">
        <f aca="false">IF(OR(K31="",M31=""),"",K31-M31)</f>
        <v/>
      </c>
      <c r="O31" s="35" t="str">
        <f aca="false">IF(OR(N31="",K31=""),"",IF(K31=0,"",N31/K31))</f>
        <v/>
      </c>
      <c r="P31" s="25"/>
      <c r="Q31" s="25"/>
      <c r="R31" s="25"/>
      <c r="S31" s="36" t="str">
        <f aca="false">IF(A31="","",YEAR(A31)+IF(AND(FYStart&gt;1,MONTH(A31)&gt;=FYStart),1,0))</f>
        <v/>
      </c>
      <c r="T31" s="36" t="str">
        <f aca="false">IF(A31="","",MOD(MONTH(A31)-FYStart,12)+1)</f>
        <v/>
      </c>
      <c r="U31" s="37" t="str">
        <f aca="false">IF(A31="","",TEXT(A31,"mmm"))</f>
        <v/>
      </c>
      <c r="V31" s="37" t="str">
        <f aca="false">IF(Q31="","",IFERROR(INDEX(Settings!$I$11:$I$15,MATCH(Q31,Settings!$H$11:$H$15,0)),"No"))</f>
        <v/>
      </c>
      <c r="W31" s="37" t="str">
        <f aca="false">IF(Q31="","",IFERROR(INDEX(Settings!$J$11:$J$15,MATCH(Q31,Settings!$H$11:$H$15,0)),"No"))</f>
        <v/>
      </c>
    </row>
    <row r="32" customFormat="false" ht="15" hidden="false" customHeight="false" outlineLevel="0" collapsed="false">
      <c r="A32" s="30"/>
      <c r="B32" s="25"/>
      <c r="C32" s="25"/>
      <c r="D32" s="25"/>
      <c r="E32" s="25"/>
      <c r="F32" s="25"/>
      <c r="G32" s="25"/>
      <c r="H32" s="31"/>
      <c r="I32" s="32"/>
      <c r="J32" s="33"/>
      <c r="K32" s="34" t="str">
        <f aca="false">IF(OR(H32="",I32=""),"",H32*I32*(1-N(J32)))</f>
        <v/>
      </c>
      <c r="L32" s="32"/>
      <c r="M32" s="34" t="str">
        <f aca="false">IF(OR(H32="",L32=""),"",H32*L32)</f>
        <v/>
      </c>
      <c r="N32" s="34" t="str">
        <f aca="false">IF(OR(K32="",M32=""),"",K32-M32)</f>
        <v/>
      </c>
      <c r="O32" s="35" t="str">
        <f aca="false">IF(OR(N32="",K32=""),"",IF(K32=0,"",N32/K32))</f>
        <v/>
      </c>
      <c r="P32" s="25"/>
      <c r="Q32" s="25"/>
      <c r="R32" s="25"/>
      <c r="S32" s="36" t="str">
        <f aca="false">IF(A32="","",YEAR(A32)+IF(AND(FYStart&gt;1,MONTH(A32)&gt;=FYStart),1,0))</f>
        <v/>
      </c>
      <c r="T32" s="36" t="str">
        <f aca="false">IF(A32="","",MOD(MONTH(A32)-FYStart,12)+1)</f>
        <v/>
      </c>
      <c r="U32" s="37" t="str">
        <f aca="false">IF(A32="","",TEXT(A32,"mmm"))</f>
        <v/>
      </c>
      <c r="V32" s="37" t="str">
        <f aca="false">IF(Q32="","",IFERROR(INDEX(Settings!$I$11:$I$15,MATCH(Q32,Settings!$H$11:$H$15,0)),"No"))</f>
        <v/>
      </c>
      <c r="W32" s="37" t="str">
        <f aca="false">IF(Q32="","",IFERROR(INDEX(Settings!$J$11:$J$15,MATCH(Q32,Settings!$H$11:$H$15,0)),"No"))</f>
        <v/>
      </c>
    </row>
    <row r="33" customFormat="false" ht="15" hidden="false" customHeight="false" outlineLevel="0" collapsed="false">
      <c r="A33" s="30"/>
      <c r="B33" s="25"/>
      <c r="C33" s="25"/>
      <c r="D33" s="25"/>
      <c r="E33" s="25"/>
      <c r="F33" s="25"/>
      <c r="G33" s="25"/>
      <c r="H33" s="31"/>
      <c r="I33" s="32"/>
      <c r="J33" s="33"/>
      <c r="K33" s="34" t="str">
        <f aca="false">IF(OR(H33="",I33=""),"",H33*I33*(1-N(J33)))</f>
        <v/>
      </c>
      <c r="L33" s="32"/>
      <c r="M33" s="34" t="str">
        <f aca="false">IF(OR(H33="",L33=""),"",H33*L33)</f>
        <v/>
      </c>
      <c r="N33" s="34" t="str">
        <f aca="false">IF(OR(K33="",M33=""),"",K33-M33)</f>
        <v/>
      </c>
      <c r="O33" s="35" t="str">
        <f aca="false">IF(OR(N33="",K33=""),"",IF(K33=0,"",N33/K33))</f>
        <v/>
      </c>
      <c r="P33" s="25"/>
      <c r="Q33" s="25"/>
      <c r="R33" s="25"/>
      <c r="S33" s="36" t="str">
        <f aca="false">IF(A33="","",YEAR(A33)+IF(AND(FYStart&gt;1,MONTH(A33)&gt;=FYStart),1,0))</f>
        <v/>
      </c>
      <c r="T33" s="36" t="str">
        <f aca="false">IF(A33="","",MOD(MONTH(A33)-FYStart,12)+1)</f>
        <v/>
      </c>
      <c r="U33" s="37" t="str">
        <f aca="false">IF(A33="","",TEXT(A33,"mmm"))</f>
        <v/>
      </c>
      <c r="V33" s="37" t="str">
        <f aca="false">IF(Q33="","",IFERROR(INDEX(Settings!$I$11:$I$15,MATCH(Q33,Settings!$H$11:$H$15,0)),"No"))</f>
        <v/>
      </c>
      <c r="W33" s="37" t="str">
        <f aca="false">IF(Q33="","",IFERROR(INDEX(Settings!$J$11:$J$15,MATCH(Q33,Settings!$H$11:$H$15,0)),"No"))</f>
        <v/>
      </c>
    </row>
    <row r="34" customFormat="false" ht="15" hidden="false" customHeight="false" outlineLevel="0" collapsed="false">
      <c r="A34" s="30"/>
      <c r="B34" s="25"/>
      <c r="C34" s="25"/>
      <c r="D34" s="25"/>
      <c r="E34" s="25"/>
      <c r="F34" s="25"/>
      <c r="G34" s="25"/>
      <c r="H34" s="31"/>
      <c r="I34" s="32"/>
      <c r="J34" s="33"/>
      <c r="K34" s="34" t="str">
        <f aca="false">IF(OR(H34="",I34=""),"",H34*I34*(1-N(J34)))</f>
        <v/>
      </c>
      <c r="L34" s="32"/>
      <c r="M34" s="34" t="str">
        <f aca="false">IF(OR(H34="",L34=""),"",H34*L34)</f>
        <v/>
      </c>
      <c r="N34" s="34" t="str">
        <f aca="false">IF(OR(K34="",M34=""),"",K34-M34)</f>
        <v/>
      </c>
      <c r="O34" s="35" t="str">
        <f aca="false">IF(OR(N34="",K34=""),"",IF(K34=0,"",N34/K34))</f>
        <v/>
      </c>
      <c r="P34" s="25"/>
      <c r="Q34" s="25"/>
      <c r="R34" s="25"/>
      <c r="S34" s="36" t="str">
        <f aca="false">IF(A34="","",YEAR(A34)+IF(AND(FYStart&gt;1,MONTH(A34)&gt;=FYStart),1,0))</f>
        <v/>
      </c>
      <c r="T34" s="36" t="str">
        <f aca="false">IF(A34="","",MOD(MONTH(A34)-FYStart,12)+1)</f>
        <v/>
      </c>
      <c r="U34" s="37" t="str">
        <f aca="false">IF(A34="","",TEXT(A34,"mmm"))</f>
        <v/>
      </c>
      <c r="V34" s="37" t="str">
        <f aca="false">IF(Q34="","",IFERROR(INDEX(Settings!$I$11:$I$15,MATCH(Q34,Settings!$H$11:$H$15,0)),"No"))</f>
        <v/>
      </c>
      <c r="W34" s="37" t="str">
        <f aca="false">IF(Q34="","",IFERROR(INDEX(Settings!$J$11:$J$15,MATCH(Q34,Settings!$H$11:$H$15,0)),"No"))</f>
        <v/>
      </c>
    </row>
    <row r="35" customFormat="false" ht="15" hidden="false" customHeight="false" outlineLevel="0" collapsed="false">
      <c r="A35" s="30"/>
      <c r="B35" s="25"/>
      <c r="C35" s="25"/>
      <c r="D35" s="25"/>
      <c r="E35" s="25"/>
      <c r="F35" s="25"/>
      <c r="G35" s="25"/>
      <c r="H35" s="31"/>
      <c r="I35" s="32"/>
      <c r="J35" s="33"/>
      <c r="K35" s="34" t="str">
        <f aca="false">IF(OR(H35="",I35=""),"",H35*I35*(1-N(J35)))</f>
        <v/>
      </c>
      <c r="L35" s="32"/>
      <c r="M35" s="34" t="str">
        <f aca="false">IF(OR(H35="",L35=""),"",H35*L35)</f>
        <v/>
      </c>
      <c r="N35" s="34" t="str">
        <f aca="false">IF(OR(K35="",M35=""),"",K35-M35)</f>
        <v/>
      </c>
      <c r="O35" s="35" t="str">
        <f aca="false">IF(OR(N35="",K35=""),"",IF(K35=0,"",N35/K35))</f>
        <v/>
      </c>
      <c r="P35" s="25"/>
      <c r="Q35" s="25"/>
      <c r="R35" s="25"/>
      <c r="S35" s="36" t="str">
        <f aca="false">IF(A35="","",YEAR(A35)+IF(AND(FYStart&gt;1,MONTH(A35)&gt;=FYStart),1,0))</f>
        <v/>
      </c>
      <c r="T35" s="36" t="str">
        <f aca="false">IF(A35="","",MOD(MONTH(A35)-FYStart,12)+1)</f>
        <v/>
      </c>
      <c r="U35" s="37" t="str">
        <f aca="false">IF(A35="","",TEXT(A35,"mmm"))</f>
        <v/>
      </c>
      <c r="V35" s="37" t="str">
        <f aca="false">IF(Q35="","",IFERROR(INDEX(Settings!$I$11:$I$15,MATCH(Q35,Settings!$H$11:$H$15,0)),"No"))</f>
        <v/>
      </c>
      <c r="W35" s="37" t="str">
        <f aca="false">IF(Q35="","",IFERROR(INDEX(Settings!$J$11:$J$15,MATCH(Q35,Settings!$H$11:$H$15,0)),"No"))</f>
        <v/>
      </c>
    </row>
    <row r="36" customFormat="false" ht="15" hidden="false" customHeight="false" outlineLevel="0" collapsed="false">
      <c r="A36" s="30"/>
      <c r="B36" s="25"/>
      <c r="C36" s="25"/>
      <c r="D36" s="25"/>
      <c r="E36" s="25"/>
      <c r="F36" s="25"/>
      <c r="G36" s="25"/>
      <c r="H36" s="31"/>
      <c r="I36" s="32"/>
      <c r="J36" s="33"/>
      <c r="K36" s="34" t="str">
        <f aca="false">IF(OR(H36="",I36=""),"",H36*I36*(1-N(J36)))</f>
        <v/>
      </c>
      <c r="L36" s="32"/>
      <c r="M36" s="34" t="str">
        <f aca="false">IF(OR(H36="",L36=""),"",H36*L36)</f>
        <v/>
      </c>
      <c r="N36" s="34" t="str">
        <f aca="false">IF(OR(K36="",M36=""),"",K36-M36)</f>
        <v/>
      </c>
      <c r="O36" s="35" t="str">
        <f aca="false">IF(OR(N36="",K36=""),"",IF(K36=0,"",N36/K36))</f>
        <v/>
      </c>
      <c r="P36" s="25"/>
      <c r="Q36" s="25"/>
      <c r="R36" s="25"/>
      <c r="S36" s="36" t="str">
        <f aca="false">IF(A36="","",YEAR(A36)+IF(AND(FYStart&gt;1,MONTH(A36)&gt;=FYStart),1,0))</f>
        <v/>
      </c>
      <c r="T36" s="36" t="str">
        <f aca="false">IF(A36="","",MOD(MONTH(A36)-FYStart,12)+1)</f>
        <v/>
      </c>
      <c r="U36" s="37" t="str">
        <f aca="false">IF(A36="","",TEXT(A36,"mmm"))</f>
        <v/>
      </c>
      <c r="V36" s="37" t="str">
        <f aca="false">IF(Q36="","",IFERROR(INDEX(Settings!$I$11:$I$15,MATCH(Q36,Settings!$H$11:$H$15,0)),"No"))</f>
        <v/>
      </c>
      <c r="W36" s="37" t="str">
        <f aca="false">IF(Q36="","",IFERROR(INDEX(Settings!$J$11:$J$15,MATCH(Q36,Settings!$H$11:$H$15,0)),"No"))</f>
        <v/>
      </c>
    </row>
    <row r="37" customFormat="false" ht="15" hidden="false" customHeight="false" outlineLevel="0" collapsed="false">
      <c r="A37" s="30"/>
      <c r="B37" s="25"/>
      <c r="C37" s="25"/>
      <c r="D37" s="25"/>
      <c r="E37" s="25"/>
      <c r="F37" s="25"/>
      <c r="G37" s="25"/>
      <c r="H37" s="31"/>
      <c r="I37" s="32"/>
      <c r="J37" s="33"/>
      <c r="K37" s="34" t="str">
        <f aca="false">IF(OR(H37="",I37=""),"",H37*I37*(1-N(J37)))</f>
        <v/>
      </c>
      <c r="L37" s="32"/>
      <c r="M37" s="34" t="str">
        <f aca="false">IF(OR(H37="",L37=""),"",H37*L37)</f>
        <v/>
      </c>
      <c r="N37" s="34" t="str">
        <f aca="false">IF(OR(K37="",M37=""),"",K37-M37)</f>
        <v/>
      </c>
      <c r="O37" s="35" t="str">
        <f aca="false">IF(OR(N37="",K37=""),"",IF(K37=0,"",N37/K37))</f>
        <v/>
      </c>
      <c r="P37" s="25"/>
      <c r="Q37" s="25"/>
      <c r="R37" s="25"/>
      <c r="S37" s="36" t="str">
        <f aca="false">IF(A37="","",YEAR(A37)+IF(AND(FYStart&gt;1,MONTH(A37)&gt;=FYStart),1,0))</f>
        <v/>
      </c>
      <c r="T37" s="36" t="str">
        <f aca="false">IF(A37="","",MOD(MONTH(A37)-FYStart,12)+1)</f>
        <v/>
      </c>
      <c r="U37" s="37" t="str">
        <f aca="false">IF(A37="","",TEXT(A37,"mmm"))</f>
        <v/>
      </c>
      <c r="V37" s="37" t="str">
        <f aca="false">IF(Q37="","",IFERROR(INDEX(Settings!$I$11:$I$15,MATCH(Q37,Settings!$H$11:$H$15,0)),"No"))</f>
        <v/>
      </c>
      <c r="W37" s="37" t="str">
        <f aca="false">IF(Q37="","",IFERROR(INDEX(Settings!$J$11:$J$15,MATCH(Q37,Settings!$H$11:$H$15,0)),"No"))</f>
        <v/>
      </c>
    </row>
    <row r="38" customFormat="false" ht="15" hidden="false" customHeight="false" outlineLevel="0" collapsed="false">
      <c r="A38" s="30"/>
      <c r="B38" s="25"/>
      <c r="C38" s="25"/>
      <c r="D38" s="25"/>
      <c r="E38" s="25"/>
      <c r="F38" s="25"/>
      <c r="G38" s="25"/>
      <c r="H38" s="31"/>
      <c r="I38" s="32"/>
      <c r="J38" s="33"/>
      <c r="K38" s="34" t="str">
        <f aca="false">IF(OR(H38="",I38=""),"",H38*I38*(1-N(J38)))</f>
        <v/>
      </c>
      <c r="L38" s="32"/>
      <c r="M38" s="34" t="str">
        <f aca="false">IF(OR(H38="",L38=""),"",H38*L38)</f>
        <v/>
      </c>
      <c r="N38" s="34" t="str">
        <f aca="false">IF(OR(K38="",M38=""),"",K38-M38)</f>
        <v/>
      </c>
      <c r="O38" s="35" t="str">
        <f aca="false">IF(OR(N38="",K38=""),"",IF(K38=0,"",N38/K38))</f>
        <v/>
      </c>
      <c r="P38" s="25"/>
      <c r="Q38" s="25"/>
      <c r="R38" s="25"/>
      <c r="S38" s="36" t="str">
        <f aca="false">IF(A38="","",YEAR(A38)+IF(AND(FYStart&gt;1,MONTH(A38)&gt;=FYStart),1,0))</f>
        <v/>
      </c>
      <c r="T38" s="36" t="str">
        <f aca="false">IF(A38="","",MOD(MONTH(A38)-FYStart,12)+1)</f>
        <v/>
      </c>
      <c r="U38" s="37" t="str">
        <f aca="false">IF(A38="","",TEXT(A38,"mmm"))</f>
        <v/>
      </c>
      <c r="V38" s="37" t="str">
        <f aca="false">IF(Q38="","",IFERROR(INDEX(Settings!$I$11:$I$15,MATCH(Q38,Settings!$H$11:$H$15,0)),"No"))</f>
        <v/>
      </c>
      <c r="W38" s="37" t="str">
        <f aca="false">IF(Q38="","",IFERROR(INDEX(Settings!$J$11:$J$15,MATCH(Q38,Settings!$H$11:$H$15,0)),"No"))</f>
        <v/>
      </c>
    </row>
    <row r="39" customFormat="false" ht="15" hidden="false" customHeight="false" outlineLevel="0" collapsed="false">
      <c r="A39" s="30"/>
      <c r="B39" s="25"/>
      <c r="C39" s="25"/>
      <c r="D39" s="25"/>
      <c r="E39" s="25"/>
      <c r="F39" s="25"/>
      <c r="G39" s="25"/>
      <c r="H39" s="31"/>
      <c r="I39" s="32"/>
      <c r="J39" s="33"/>
      <c r="K39" s="34" t="str">
        <f aca="false">IF(OR(H39="",I39=""),"",H39*I39*(1-N(J39)))</f>
        <v/>
      </c>
      <c r="L39" s="32"/>
      <c r="M39" s="34" t="str">
        <f aca="false">IF(OR(H39="",L39=""),"",H39*L39)</f>
        <v/>
      </c>
      <c r="N39" s="34" t="str">
        <f aca="false">IF(OR(K39="",M39=""),"",K39-M39)</f>
        <v/>
      </c>
      <c r="O39" s="35" t="str">
        <f aca="false">IF(OR(N39="",K39=""),"",IF(K39=0,"",N39/K39))</f>
        <v/>
      </c>
      <c r="P39" s="25"/>
      <c r="Q39" s="25"/>
      <c r="R39" s="25"/>
      <c r="S39" s="36" t="str">
        <f aca="false">IF(A39="","",YEAR(A39)+IF(AND(FYStart&gt;1,MONTH(A39)&gt;=FYStart),1,0))</f>
        <v/>
      </c>
      <c r="T39" s="36" t="str">
        <f aca="false">IF(A39="","",MOD(MONTH(A39)-FYStart,12)+1)</f>
        <v/>
      </c>
      <c r="U39" s="37" t="str">
        <f aca="false">IF(A39="","",TEXT(A39,"mmm"))</f>
        <v/>
      </c>
      <c r="V39" s="37" t="str">
        <f aca="false">IF(Q39="","",IFERROR(INDEX(Settings!$I$11:$I$15,MATCH(Q39,Settings!$H$11:$H$15,0)),"No"))</f>
        <v/>
      </c>
      <c r="W39" s="37" t="str">
        <f aca="false">IF(Q39="","",IFERROR(INDEX(Settings!$J$11:$J$15,MATCH(Q39,Settings!$H$11:$H$15,0)),"No"))</f>
        <v/>
      </c>
    </row>
    <row r="40" customFormat="false" ht="15" hidden="false" customHeight="false" outlineLevel="0" collapsed="false">
      <c r="A40" s="30"/>
      <c r="B40" s="25"/>
      <c r="C40" s="25"/>
      <c r="D40" s="25"/>
      <c r="E40" s="25"/>
      <c r="F40" s="25"/>
      <c r="G40" s="25"/>
      <c r="H40" s="31"/>
      <c r="I40" s="32"/>
      <c r="J40" s="33"/>
      <c r="K40" s="34" t="str">
        <f aca="false">IF(OR(H40="",I40=""),"",H40*I40*(1-N(J40)))</f>
        <v/>
      </c>
      <c r="L40" s="32"/>
      <c r="M40" s="34" t="str">
        <f aca="false">IF(OR(H40="",L40=""),"",H40*L40)</f>
        <v/>
      </c>
      <c r="N40" s="34" t="str">
        <f aca="false">IF(OR(K40="",M40=""),"",K40-M40)</f>
        <v/>
      </c>
      <c r="O40" s="35" t="str">
        <f aca="false">IF(OR(N40="",K40=""),"",IF(K40=0,"",N40/K40))</f>
        <v/>
      </c>
      <c r="P40" s="25"/>
      <c r="Q40" s="25"/>
      <c r="R40" s="25"/>
      <c r="S40" s="36" t="str">
        <f aca="false">IF(A40="","",YEAR(A40)+IF(AND(FYStart&gt;1,MONTH(A40)&gt;=FYStart),1,0))</f>
        <v/>
      </c>
      <c r="T40" s="36" t="str">
        <f aca="false">IF(A40="","",MOD(MONTH(A40)-FYStart,12)+1)</f>
        <v/>
      </c>
      <c r="U40" s="37" t="str">
        <f aca="false">IF(A40="","",TEXT(A40,"mmm"))</f>
        <v/>
      </c>
      <c r="V40" s="37" t="str">
        <f aca="false">IF(Q40="","",IFERROR(INDEX(Settings!$I$11:$I$15,MATCH(Q40,Settings!$H$11:$H$15,0)),"No"))</f>
        <v/>
      </c>
      <c r="W40" s="37" t="str">
        <f aca="false">IF(Q40="","",IFERROR(INDEX(Settings!$J$11:$J$15,MATCH(Q40,Settings!$H$11:$H$15,0)),"No"))</f>
        <v/>
      </c>
    </row>
    <row r="41" customFormat="false" ht="15" hidden="false" customHeight="false" outlineLevel="0" collapsed="false">
      <c r="A41" s="30"/>
      <c r="B41" s="25"/>
      <c r="C41" s="25"/>
      <c r="D41" s="25"/>
      <c r="E41" s="25"/>
      <c r="F41" s="25"/>
      <c r="G41" s="25"/>
      <c r="H41" s="31"/>
      <c r="I41" s="32"/>
      <c r="J41" s="33"/>
      <c r="K41" s="34" t="str">
        <f aca="false">IF(OR(H41="",I41=""),"",H41*I41*(1-N(J41)))</f>
        <v/>
      </c>
      <c r="L41" s="32"/>
      <c r="M41" s="34" t="str">
        <f aca="false">IF(OR(H41="",L41=""),"",H41*L41)</f>
        <v/>
      </c>
      <c r="N41" s="34" t="str">
        <f aca="false">IF(OR(K41="",M41=""),"",K41-M41)</f>
        <v/>
      </c>
      <c r="O41" s="35" t="str">
        <f aca="false">IF(OR(N41="",K41=""),"",IF(K41=0,"",N41/K41))</f>
        <v/>
      </c>
      <c r="P41" s="25"/>
      <c r="Q41" s="25"/>
      <c r="R41" s="25"/>
      <c r="S41" s="36" t="str">
        <f aca="false">IF(A41="","",YEAR(A41)+IF(AND(FYStart&gt;1,MONTH(A41)&gt;=FYStart),1,0))</f>
        <v/>
      </c>
      <c r="T41" s="36" t="str">
        <f aca="false">IF(A41="","",MOD(MONTH(A41)-FYStart,12)+1)</f>
        <v/>
      </c>
      <c r="U41" s="37" t="str">
        <f aca="false">IF(A41="","",TEXT(A41,"mmm"))</f>
        <v/>
      </c>
      <c r="V41" s="37" t="str">
        <f aca="false">IF(Q41="","",IFERROR(INDEX(Settings!$I$11:$I$15,MATCH(Q41,Settings!$H$11:$H$15,0)),"No"))</f>
        <v/>
      </c>
      <c r="W41" s="37" t="str">
        <f aca="false">IF(Q41="","",IFERROR(INDEX(Settings!$J$11:$J$15,MATCH(Q41,Settings!$H$11:$H$15,0)),"No"))</f>
        <v/>
      </c>
    </row>
    <row r="42" customFormat="false" ht="15" hidden="false" customHeight="false" outlineLevel="0" collapsed="false">
      <c r="A42" s="30"/>
      <c r="B42" s="25"/>
      <c r="C42" s="25"/>
      <c r="D42" s="25"/>
      <c r="E42" s="25"/>
      <c r="F42" s="25"/>
      <c r="G42" s="25"/>
      <c r="H42" s="31"/>
      <c r="I42" s="32"/>
      <c r="J42" s="33"/>
      <c r="K42" s="34" t="str">
        <f aca="false">IF(OR(H42="",I42=""),"",H42*I42*(1-N(J42)))</f>
        <v/>
      </c>
      <c r="L42" s="32"/>
      <c r="M42" s="34" t="str">
        <f aca="false">IF(OR(H42="",L42=""),"",H42*L42)</f>
        <v/>
      </c>
      <c r="N42" s="34" t="str">
        <f aca="false">IF(OR(K42="",M42=""),"",K42-M42)</f>
        <v/>
      </c>
      <c r="O42" s="35" t="str">
        <f aca="false">IF(OR(N42="",K42=""),"",IF(K42=0,"",N42/K42))</f>
        <v/>
      </c>
      <c r="P42" s="25"/>
      <c r="Q42" s="25"/>
      <c r="R42" s="25"/>
      <c r="S42" s="36" t="str">
        <f aca="false">IF(A42="","",YEAR(A42)+IF(AND(FYStart&gt;1,MONTH(A42)&gt;=FYStart),1,0))</f>
        <v/>
      </c>
      <c r="T42" s="36" t="str">
        <f aca="false">IF(A42="","",MOD(MONTH(A42)-FYStart,12)+1)</f>
        <v/>
      </c>
      <c r="U42" s="37" t="str">
        <f aca="false">IF(A42="","",TEXT(A42,"mmm"))</f>
        <v/>
      </c>
      <c r="V42" s="37" t="str">
        <f aca="false">IF(Q42="","",IFERROR(INDEX(Settings!$I$11:$I$15,MATCH(Q42,Settings!$H$11:$H$15,0)),"No"))</f>
        <v/>
      </c>
      <c r="W42" s="37" t="str">
        <f aca="false">IF(Q42="","",IFERROR(INDEX(Settings!$J$11:$J$15,MATCH(Q42,Settings!$H$11:$H$15,0)),"No"))</f>
        <v/>
      </c>
    </row>
    <row r="43" customFormat="false" ht="15" hidden="false" customHeight="false" outlineLevel="0" collapsed="false">
      <c r="A43" s="30"/>
      <c r="B43" s="25"/>
      <c r="C43" s="25"/>
      <c r="D43" s="25"/>
      <c r="E43" s="25"/>
      <c r="F43" s="25"/>
      <c r="G43" s="25"/>
      <c r="H43" s="31"/>
      <c r="I43" s="32"/>
      <c r="J43" s="33"/>
      <c r="K43" s="34" t="str">
        <f aca="false">IF(OR(H43="",I43=""),"",H43*I43*(1-N(J43)))</f>
        <v/>
      </c>
      <c r="L43" s="32"/>
      <c r="M43" s="34" t="str">
        <f aca="false">IF(OR(H43="",L43=""),"",H43*L43)</f>
        <v/>
      </c>
      <c r="N43" s="34" t="str">
        <f aca="false">IF(OR(K43="",M43=""),"",K43-M43)</f>
        <v/>
      </c>
      <c r="O43" s="35" t="str">
        <f aca="false">IF(OR(N43="",K43=""),"",IF(K43=0,"",N43/K43))</f>
        <v/>
      </c>
      <c r="P43" s="25"/>
      <c r="Q43" s="25"/>
      <c r="R43" s="25"/>
      <c r="S43" s="36" t="str">
        <f aca="false">IF(A43="","",YEAR(A43)+IF(AND(FYStart&gt;1,MONTH(A43)&gt;=FYStart),1,0))</f>
        <v/>
      </c>
      <c r="T43" s="36" t="str">
        <f aca="false">IF(A43="","",MOD(MONTH(A43)-FYStart,12)+1)</f>
        <v/>
      </c>
      <c r="U43" s="37" t="str">
        <f aca="false">IF(A43="","",TEXT(A43,"mmm"))</f>
        <v/>
      </c>
      <c r="V43" s="37" t="str">
        <f aca="false">IF(Q43="","",IFERROR(INDEX(Settings!$I$11:$I$15,MATCH(Q43,Settings!$H$11:$H$15,0)),"No"))</f>
        <v/>
      </c>
      <c r="W43" s="37" t="str">
        <f aca="false">IF(Q43="","",IFERROR(INDEX(Settings!$J$11:$J$15,MATCH(Q43,Settings!$H$11:$H$15,0)),"No"))</f>
        <v/>
      </c>
    </row>
    <row r="44" customFormat="false" ht="15" hidden="false" customHeight="false" outlineLevel="0" collapsed="false">
      <c r="A44" s="30"/>
      <c r="B44" s="25"/>
      <c r="C44" s="25"/>
      <c r="D44" s="25"/>
      <c r="E44" s="25"/>
      <c r="F44" s="25"/>
      <c r="G44" s="25"/>
      <c r="H44" s="31"/>
      <c r="I44" s="32"/>
      <c r="J44" s="33"/>
      <c r="K44" s="34" t="str">
        <f aca="false">IF(OR(H44="",I44=""),"",H44*I44*(1-N(J44)))</f>
        <v/>
      </c>
      <c r="L44" s="32"/>
      <c r="M44" s="34" t="str">
        <f aca="false">IF(OR(H44="",L44=""),"",H44*L44)</f>
        <v/>
      </c>
      <c r="N44" s="34" t="str">
        <f aca="false">IF(OR(K44="",M44=""),"",K44-M44)</f>
        <v/>
      </c>
      <c r="O44" s="35" t="str">
        <f aca="false">IF(OR(N44="",K44=""),"",IF(K44=0,"",N44/K44))</f>
        <v/>
      </c>
      <c r="P44" s="25"/>
      <c r="Q44" s="25"/>
      <c r="R44" s="25"/>
      <c r="S44" s="36" t="str">
        <f aca="false">IF(A44="","",YEAR(A44)+IF(AND(FYStart&gt;1,MONTH(A44)&gt;=FYStart),1,0))</f>
        <v/>
      </c>
      <c r="T44" s="36" t="str">
        <f aca="false">IF(A44="","",MOD(MONTH(A44)-FYStart,12)+1)</f>
        <v/>
      </c>
      <c r="U44" s="37" t="str">
        <f aca="false">IF(A44="","",TEXT(A44,"mmm"))</f>
        <v/>
      </c>
      <c r="V44" s="37" t="str">
        <f aca="false">IF(Q44="","",IFERROR(INDEX(Settings!$I$11:$I$15,MATCH(Q44,Settings!$H$11:$H$15,0)),"No"))</f>
        <v/>
      </c>
      <c r="W44" s="37" t="str">
        <f aca="false">IF(Q44="","",IFERROR(INDEX(Settings!$J$11:$J$15,MATCH(Q44,Settings!$H$11:$H$15,0)),"No"))</f>
        <v/>
      </c>
    </row>
    <row r="45" customFormat="false" ht="15" hidden="false" customHeight="false" outlineLevel="0" collapsed="false">
      <c r="A45" s="30"/>
      <c r="B45" s="25"/>
      <c r="C45" s="25"/>
      <c r="D45" s="25"/>
      <c r="E45" s="25"/>
      <c r="F45" s="25"/>
      <c r="G45" s="25"/>
      <c r="H45" s="31"/>
      <c r="I45" s="32"/>
      <c r="J45" s="33"/>
      <c r="K45" s="34" t="str">
        <f aca="false">IF(OR(H45="",I45=""),"",H45*I45*(1-N(J45)))</f>
        <v/>
      </c>
      <c r="L45" s="32"/>
      <c r="M45" s="34" t="str">
        <f aca="false">IF(OR(H45="",L45=""),"",H45*L45)</f>
        <v/>
      </c>
      <c r="N45" s="34" t="str">
        <f aca="false">IF(OR(K45="",M45=""),"",K45-M45)</f>
        <v/>
      </c>
      <c r="O45" s="35" t="str">
        <f aca="false">IF(OR(N45="",K45=""),"",IF(K45=0,"",N45/K45))</f>
        <v/>
      </c>
      <c r="P45" s="25"/>
      <c r="Q45" s="25"/>
      <c r="R45" s="25"/>
      <c r="S45" s="36" t="str">
        <f aca="false">IF(A45="","",YEAR(A45)+IF(AND(FYStart&gt;1,MONTH(A45)&gt;=FYStart),1,0))</f>
        <v/>
      </c>
      <c r="T45" s="36" t="str">
        <f aca="false">IF(A45="","",MOD(MONTH(A45)-FYStart,12)+1)</f>
        <v/>
      </c>
      <c r="U45" s="37" t="str">
        <f aca="false">IF(A45="","",TEXT(A45,"mmm"))</f>
        <v/>
      </c>
      <c r="V45" s="37" t="str">
        <f aca="false">IF(Q45="","",IFERROR(INDEX(Settings!$I$11:$I$15,MATCH(Q45,Settings!$H$11:$H$15,0)),"No"))</f>
        <v/>
      </c>
      <c r="W45" s="37" t="str">
        <f aca="false">IF(Q45="","",IFERROR(INDEX(Settings!$J$11:$J$15,MATCH(Q45,Settings!$H$11:$H$15,0)),"No"))</f>
        <v/>
      </c>
    </row>
    <row r="46" customFormat="false" ht="15" hidden="false" customHeight="false" outlineLevel="0" collapsed="false">
      <c r="A46" s="30"/>
      <c r="B46" s="25"/>
      <c r="C46" s="25"/>
      <c r="D46" s="25"/>
      <c r="E46" s="25"/>
      <c r="F46" s="25"/>
      <c r="G46" s="25"/>
      <c r="H46" s="31"/>
      <c r="I46" s="32"/>
      <c r="J46" s="33"/>
      <c r="K46" s="34" t="str">
        <f aca="false">IF(OR(H46="",I46=""),"",H46*I46*(1-N(J46)))</f>
        <v/>
      </c>
      <c r="L46" s="32"/>
      <c r="M46" s="34" t="str">
        <f aca="false">IF(OR(H46="",L46=""),"",H46*L46)</f>
        <v/>
      </c>
      <c r="N46" s="34" t="str">
        <f aca="false">IF(OR(K46="",M46=""),"",K46-M46)</f>
        <v/>
      </c>
      <c r="O46" s="35" t="str">
        <f aca="false">IF(OR(N46="",K46=""),"",IF(K46=0,"",N46/K46))</f>
        <v/>
      </c>
      <c r="P46" s="25"/>
      <c r="Q46" s="25"/>
      <c r="R46" s="25"/>
      <c r="S46" s="36" t="str">
        <f aca="false">IF(A46="","",YEAR(A46)+IF(AND(FYStart&gt;1,MONTH(A46)&gt;=FYStart),1,0))</f>
        <v/>
      </c>
      <c r="T46" s="36" t="str">
        <f aca="false">IF(A46="","",MOD(MONTH(A46)-FYStart,12)+1)</f>
        <v/>
      </c>
      <c r="U46" s="37" t="str">
        <f aca="false">IF(A46="","",TEXT(A46,"mmm"))</f>
        <v/>
      </c>
      <c r="V46" s="37" t="str">
        <f aca="false">IF(Q46="","",IFERROR(INDEX(Settings!$I$11:$I$15,MATCH(Q46,Settings!$H$11:$H$15,0)),"No"))</f>
        <v/>
      </c>
      <c r="W46" s="37" t="str">
        <f aca="false">IF(Q46="","",IFERROR(INDEX(Settings!$J$11:$J$15,MATCH(Q46,Settings!$H$11:$H$15,0)),"No"))</f>
        <v/>
      </c>
    </row>
    <row r="47" customFormat="false" ht="15" hidden="false" customHeight="false" outlineLevel="0" collapsed="false">
      <c r="A47" s="30"/>
      <c r="B47" s="25"/>
      <c r="C47" s="25"/>
      <c r="D47" s="25"/>
      <c r="E47" s="25"/>
      <c r="F47" s="25"/>
      <c r="G47" s="25"/>
      <c r="H47" s="31"/>
      <c r="I47" s="32"/>
      <c r="J47" s="33"/>
      <c r="K47" s="34" t="str">
        <f aca="false">IF(OR(H47="",I47=""),"",H47*I47*(1-N(J47)))</f>
        <v/>
      </c>
      <c r="L47" s="32"/>
      <c r="M47" s="34" t="str">
        <f aca="false">IF(OR(H47="",L47=""),"",H47*L47)</f>
        <v/>
      </c>
      <c r="N47" s="34" t="str">
        <f aca="false">IF(OR(K47="",M47=""),"",K47-M47)</f>
        <v/>
      </c>
      <c r="O47" s="35" t="str">
        <f aca="false">IF(OR(N47="",K47=""),"",IF(K47=0,"",N47/K47))</f>
        <v/>
      </c>
      <c r="P47" s="25"/>
      <c r="Q47" s="25"/>
      <c r="R47" s="25"/>
      <c r="S47" s="36" t="str">
        <f aca="false">IF(A47="","",YEAR(A47)+IF(AND(FYStart&gt;1,MONTH(A47)&gt;=FYStart),1,0))</f>
        <v/>
      </c>
      <c r="T47" s="36" t="str">
        <f aca="false">IF(A47="","",MOD(MONTH(A47)-FYStart,12)+1)</f>
        <v/>
      </c>
      <c r="U47" s="37" t="str">
        <f aca="false">IF(A47="","",TEXT(A47,"mmm"))</f>
        <v/>
      </c>
      <c r="V47" s="37" t="str">
        <f aca="false">IF(Q47="","",IFERROR(INDEX(Settings!$I$11:$I$15,MATCH(Q47,Settings!$H$11:$H$15,0)),"No"))</f>
        <v/>
      </c>
      <c r="W47" s="37" t="str">
        <f aca="false">IF(Q47="","",IFERROR(INDEX(Settings!$J$11:$J$15,MATCH(Q47,Settings!$H$11:$H$15,0)),"No"))</f>
        <v/>
      </c>
    </row>
    <row r="48" customFormat="false" ht="15" hidden="false" customHeight="false" outlineLevel="0" collapsed="false">
      <c r="A48" s="30"/>
      <c r="B48" s="25"/>
      <c r="C48" s="25"/>
      <c r="D48" s="25"/>
      <c r="E48" s="25"/>
      <c r="F48" s="25"/>
      <c r="G48" s="25"/>
      <c r="H48" s="31"/>
      <c r="I48" s="32"/>
      <c r="J48" s="33"/>
      <c r="K48" s="34" t="str">
        <f aca="false">IF(OR(H48="",I48=""),"",H48*I48*(1-N(J48)))</f>
        <v/>
      </c>
      <c r="L48" s="32"/>
      <c r="M48" s="34" t="str">
        <f aca="false">IF(OR(H48="",L48=""),"",H48*L48)</f>
        <v/>
      </c>
      <c r="N48" s="34" t="str">
        <f aca="false">IF(OR(K48="",M48=""),"",K48-M48)</f>
        <v/>
      </c>
      <c r="O48" s="35" t="str">
        <f aca="false">IF(OR(N48="",K48=""),"",IF(K48=0,"",N48/K48))</f>
        <v/>
      </c>
      <c r="P48" s="25"/>
      <c r="Q48" s="25"/>
      <c r="R48" s="25"/>
      <c r="S48" s="36" t="str">
        <f aca="false">IF(A48="","",YEAR(A48)+IF(AND(FYStart&gt;1,MONTH(A48)&gt;=FYStart),1,0))</f>
        <v/>
      </c>
      <c r="T48" s="36" t="str">
        <f aca="false">IF(A48="","",MOD(MONTH(A48)-FYStart,12)+1)</f>
        <v/>
      </c>
      <c r="U48" s="37" t="str">
        <f aca="false">IF(A48="","",TEXT(A48,"mmm"))</f>
        <v/>
      </c>
      <c r="V48" s="37" t="str">
        <f aca="false">IF(Q48="","",IFERROR(INDEX(Settings!$I$11:$I$15,MATCH(Q48,Settings!$H$11:$H$15,0)),"No"))</f>
        <v/>
      </c>
      <c r="W48" s="37" t="str">
        <f aca="false">IF(Q48="","",IFERROR(INDEX(Settings!$J$11:$J$15,MATCH(Q48,Settings!$H$11:$H$15,0)),"No"))</f>
        <v/>
      </c>
    </row>
    <row r="49" customFormat="false" ht="15" hidden="false" customHeight="false" outlineLevel="0" collapsed="false">
      <c r="A49" s="30"/>
      <c r="B49" s="25"/>
      <c r="C49" s="25"/>
      <c r="D49" s="25"/>
      <c r="E49" s="25"/>
      <c r="F49" s="25"/>
      <c r="G49" s="25"/>
      <c r="H49" s="31"/>
      <c r="I49" s="32"/>
      <c r="J49" s="33"/>
      <c r="K49" s="34" t="str">
        <f aca="false">IF(OR(H49="",I49=""),"",H49*I49*(1-N(J49)))</f>
        <v/>
      </c>
      <c r="L49" s="32"/>
      <c r="M49" s="34" t="str">
        <f aca="false">IF(OR(H49="",L49=""),"",H49*L49)</f>
        <v/>
      </c>
      <c r="N49" s="34" t="str">
        <f aca="false">IF(OR(K49="",M49=""),"",K49-M49)</f>
        <v/>
      </c>
      <c r="O49" s="35" t="str">
        <f aca="false">IF(OR(N49="",K49=""),"",IF(K49=0,"",N49/K49))</f>
        <v/>
      </c>
      <c r="P49" s="25"/>
      <c r="Q49" s="25"/>
      <c r="R49" s="25"/>
      <c r="S49" s="36" t="str">
        <f aca="false">IF(A49="","",YEAR(A49)+IF(AND(FYStart&gt;1,MONTH(A49)&gt;=FYStart),1,0))</f>
        <v/>
      </c>
      <c r="T49" s="36" t="str">
        <f aca="false">IF(A49="","",MOD(MONTH(A49)-FYStart,12)+1)</f>
        <v/>
      </c>
      <c r="U49" s="37" t="str">
        <f aca="false">IF(A49="","",TEXT(A49,"mmm"))</f>
        <v/>
      </c>
      <c r="V49" s="37" t="str">
        <f aca="false">IF(Q49="","",IFERROR(INDEX(Settings!$I$11:$I$15,MATCH(Q49,Settings!$H$11:$H$15,0)),"No"))</f>
        <v/>
      </c>
      <c r="W49" s="37" t="str">
        <f aca="false">IF(Q49="","",IFERROR(INDEX(Settings!$J$11:$J$15,MATCH(Q49,Settings!$H$11:$H$15,0)),"No"))</f>
        <v/>
      </c>
    </row>
    <row r="50" customFormat="false" ht="15" hidden="false" customHeight="false" outlineLevel="0" collapsed="false">
      <c r="A50" s="30"/>
      <c r="B50" s="25"/>
      <c r="C50" s="25"/>
      <c r="D50" s="25"/>
      <c r="E50" s="25"/>
      <c r="F50" s="25"/>
      <c r="G50" s="25"/>
      <c r="H50" s="31"/>
      <c r="I50" s="32"/>
      <c r="J50" s="33"/>
      <c r="K50" s="34" t="str">
        <f aca="false">IF(OR(H50="",I50=""),"",H50*I50*(1-N(J50)))</f>
        <v/>
      </c>
      <c r="L50" s="32"/>
      <c r="M50" s="34" t="str">
        <f aca="false">IF(OR(H50="",L50=""),"",H50*L50)</f>
        <v/>
      </c>
      <c r="N50" s="34" t="str">
        <f aca="false">IF(OR(K50="",M50=""),"",K50-M50)</f>
        <v/>
      </c>
      <c r="O50" s="35" t="str">
        <f aca="false">IF(OR(N50="",K50=""),"",IF(K50=0,"",N50/K50))</f>
        <v/>
      </c>
      <c r="P50" s="25"/>
      <c r="Q50" s="25"/>
      <c r="R50" s="25"/>
      <c r="S50" s="36" t="str">
        <f aca="false">IF(A50="","",YEAR(A50)+IF(AND(FYStart&gt;1,MONTH(A50)&gt;=FYStart),1,0))</f>
        <v/>
      </c>
      <c r="T50" s="36" t="str">
        <f aca="false">IF(A50="","",MOD(MONTH(A50)-FYStart,12)+1)</f>
        <v/>
      </c>
      <c r="U50" s="37" t="str">
        <f aca="false">IF(A50="","",TEXT(A50,"mmm"))</f>
        <v/>
      </c>
      <c r="V50" s="37" t="str">
        <f aca="false">IF(Q50="","",IFERROR(INDEX(Settings!$I$11:$I$15,MATCH(Q50,Settings!$H$11:$H$15,0)),"No"))</f>
        <v/>
      </c>
      <c r="W50" s="37" t="str">
        <f aca="false">IF(Q50="","",IFERROR(INDEX(Settings!$J$11:$J$15,MATCH(Q50,Settings!$H$11:$H$15,0)),"No"))</f>
        <v/>
      </c>
    </row>
    <row r="51" customFormat="false" ht="15" hidden="false" customHeight="false" outlineLevel="0" collapsed="false">
      <c r="A51" s="30"/>
      <c r="B51" s="25"/>
      <c r="C51" s="25"/>
      <c r="D51" s="25"/>
      <c r="E51" s="25"/>
      <c r="F51" s="25"/>
      <c r="G51" s="25"/>
      <c r="H51" s="31"/>
      <c r="I51" s="32"/>
      <c r="J51" s="33"/>
      <c r="K51" s="34" t="str">
        <f aca="false">IF(OR(H51="",I51=""),"",H51*I51*(1-N(J51)))</f>
        <v/>
      </c>
      <c r="L51" s="32"/>
      <c r="M51" s="34" t="str">
        <f aca="false">IF(OR(H51="",L51=""),"",H51*L51)</f>
        <v/>
      </c>
      <c r="N51" s="34" t="str">
        <f aca="false">IF(OR(K51="",M51=""),"",K51-M51)</f>
        <v/>
      </c>
      <c r="O51" s="35" t="str">
        <f aca="false">IF(OR(N51="",K51=""),"",IF(K51=0,"",N51/K51))</f>
        <v/>
      </c>
      <c r="P51" s="25"/>
      <c r="Q51" s="25"/>
      <c r="R51" s="25"/>
      <c r="S51" s="36" t="str">
        <f aca="false">IF(A51="","",YEAR(A51)+IF(AND(FYStart&gt;1,MONTH(A51)&gt;=FYStart),1,0))</f>
        <v/>
      </c>
      <c r="T51" s="36" t="str">
        <f aca="false">IF(A51="","",MOD(MONTH(A51)-FYStart,12)+1)</f>
        <v/>
      </c>
      <c r="U51" s="37" t="str">
        <f aca="false">IF(A51="","",TEXT(A51,"mmm"))</f>
        <v/>
      </c>
      <c r="V51" s="37" t="str">
        <f aca="false">IF(Q51="","",IFERROR(INDEX(Settings!$I$11:$I$15,MATCH(Q51,Settings!$H$11:$H$15,0)),"No"))</f>
        <v/>
      </c>
      <c r="W51" s="37" t="str">
        <f aca="false">IF(Q51="","",IFERROR(INDEX(Settings!$J$11:$J$15,MATCH(Q51,Settings!$H$11:$H$15,0)),"No"))</f>
        <v/>
      </c>
    </row>
    <row r="52" customFormat="false" ht="15" hidden="false" customHeight="false" outlineLevel="0" collapsed="false">
      <c r="A52" s="30"/>
      <c r="B52" s="25"/>
      <c r="C52" s="25"/>
      <c r="D52" s="25"/>
      <c r="E52" s="25"/>
      <c r="F52" s="25"/>
      <c r="G52" s="25"/>
      <c r="H52" s="31"/>
      <c r="I52" s="32"/>
      <c r="J52" s="33"/>
      <c r="K52" s="34" t="str">
        <f aca="false">IF(OR(H52="",I52=""),"",H52*I52*(1-N(J52)))</f>
        <v/>
      </c>
      <c r="L52" s="32"/>
      <c r="M52" s="34" t="str">
        <f aca="false">IF(OR(H52="",L52=""),"",H52*L52)</f>
        <v/>
      </c>
      <c r="N52" s="34" t="str">
        <f aca="false">IF(OR(K52="",M52=""),"",K52-M52)</f>
        <v/>
      </c>
      <c r="O52" s="35" t="str">
        <f aca="false">IF(OR(N52="",K52=""),"",IF(K52=0,"",N52/K52))</f>
        <v/>
      </c>
      <c r="P52" s="25"/>
      <c r="Q52" s="25"/>
      <c r="R52" s="25"/>
      <c r="S52" s="36" t="str">
        <f aca="false">IF(A52="","",YEAR(A52)+IF(AND(FYStart&gt;1,MONTH(A52)&gt;=FYStart),1,0))</f>
        <v/>
      </c>
      <c r="T52" s="36" t="str">
        <f aca="false">IF(A52="","",MOD(MONTH(A52)-FYStart,12)+1)</f>
        <v/>
      </c>
      <c r="U52" s="37" t="str">
        <f aca="false">IF(A52="","",TEXT(A52,"mmm"))</f>
        <v/>
      </c>
      <c r="V52" s="37" t="str">
        <f aca="false">IF(Q52="","",IFERROR(INDEX(Settings!$I$11:$I$15,MATCH(Q52,Settings!$H$11:$H$15,0)),"No"))</f>
        <v/>
      </c>
      <c r="W52" s="37" t="str">
        <f aca="false">IF(Q52="","",IFERROR(INDEX(Settings!$J$11:$J$15,MATCH(Q52,Settings!$H$11:$H$15,0)),"No"))</f>
        <v/>
      </c>
    </row>
    <row r="53" customFormat="false" ht="15" hidden="false" customHeight="false" outlineLevel="0" collapsed="false">
      <c r="A53" s="30"/>
      <c r="B53" s="25"/>
      <c r="C53" s="25"/>
      <c r="D53" s="25"/>
      <c r="E53" s="25"/>
      <c r="F53" s="25"/>
      <c r="G53" s="25"/>
      <c r="H53" s="31"/>
      <c r="I53" s="32"/>
      <c r="J53" s="33"/>
      <c r="K53" s="34" t="str">
        <f aca="false">IF(OR(H53="",I53=""),"",H53*I53*(1-N(J53)))</f>
        <v/>
      </c>
      <c r="L53" s="32"/>
      <c r="M53" s="34" t="str">
        <f aca="false">IF(OR(H53="",L53=""),"",H53*L53)</f>
        <v/>
      </c>
      <c r="N53" s="34" t="str">
        <f aca="false">IF(OR(K53="",M53=""),"",K53-M53)</f>
        <v/>
      </c>
      <c r="O53" s="35" t="str">
        <f aca="false">IF(OR(N53="",K53=""),"",IF(K53=0,"",N53/K53))</f>
        <v/>
      </c>
      <c r="P53" s="25"/>
      <c r="Q53" s="25"/>
      <c r="R53" s="25"/>
      <c r="S53" s="36" t="str">
        <f aca="false">IF(A53="","",YEAR(A53)+IF(AND(FYStart&gt;1,MONTH(A53)&gt;=FYStart),1,0))</f>
        <v/>
      </c>
      <c r="T53" s="36" t="str">
        <f aca="false">IF(A53="","",MOD(MONTH(A53)-FYStart,12)+1)</f>
        <v/>
      </c>
      <c r="U53" s="37" t="str">
        <f aca="false">IF(A53="","",TEXT(A53,"mmm"))</f>
        <v/>
      </c>
      <c r="V53" s="37" t="str">
        <f aca="false">IF(Q53="","",IFERROR(INDEX(Settings!$I$11:$I$15,MATCH(Q53,Settings!$H$11:$H$15,0)),"No"))</f>
        <v/>
      </c>
      <c r="W53" s="37" t="str">
        <f aca="false">IF(Q53="","",IFERROR(INDEX(Settings!$J$11:$J$15,MATCH(Q53,Settings!$H$11:$H$15,0)),"No"))</f>
        <v/>
      </c>
    </row>
    <row r="54" customFormat="false" ht="15" hidden="false" customHeight="false" outlineLevel="0" collapsed="false">
      <c r="A54" s="30"/>
      <c r="B54" s="25"/>
      <c r="C54" s="25"/>
      <c r="D54" s="25"/>
      <c r="E54" s="25"/>
      <c r="F54" s="25"/>
      <c r="G54" s="25"/>
      <c r="H54" s="31"/>
      <c r="I54" s="32"/>
      <c r="J54" s="33"/>
      <c r="K54" s="34" t="str">
        <f aca="false">IF(OR(H54="",I54=""),"",H54*I54*(1-N(J54)))</f>
        <v/>
      </c>
      <c r="L54" s="32"/>
      <c r="M54" s="34" t="str">
        <f aca="false">IF(OR(H54="",L54=""),"",H54*L54)</f>
        <v/>
      </c>
      <c r="N54" s="34" t="str">
        <f aca="false">IF(OR(K54="",M54=""),"",K54-M54)</f>
        <v/>
      </c>
      <c r="O54" s="35" t="str">
        <f aca="false">IF(OR(N54="",K54=""),"",IF(K54=0,"",N54/K54))</f>
        <v/>
      </c>
      <c r="P54" s="25"/>
      <c r="Q54" s="25"/>
      <c r="R54" s="25"/>
      <c r="S54" s="36" t="str">
        <f aca="false">IF(A54="","",YEAR(A54)+IF(AND(FYStart&gt;1,MONTH(A54)&gt;=FYStart),1,0))</f>
        <v/>
      </c>
      <c r="T54" s="36" t="str">
        <f aca="false">IF(A54="","",MOD(MONTH(A54)-FYStart,12)+1)</f>
        <v/>
      </c>
      <c r="U54" s="37" t="str">
        <f aca="false">IF(A54="","",TEXT(A54,"mmm"))</f>
        <v/>
      </c>
      <c r="V54" s="37" t="str">
        <f aca="false">IF(Q54="","",IFERROR(INDEX(Settings!$I$11:$I$15,MATCH(Q54,Settings!$H$11:$H$15,0)),"No"))</f>
        <v/>
      </c>
      <c r="W54" s="37" t="str">
        <f aca="false">IF(Q54="","",IFERROR(INDEX(Settings!$J$11:$J$15,MATCH(Q54,Settings!$H$11:$H$15,0)),"No"))</f>
        <v/>
      </c>
    </row>
    <row r="55" customFormat="false" ht="15" hidden="false" customHeight="false" outlineLevel="0" collapsed="false">
      <c r="A55" s="30"/>
      <c r="B55" s="25"/>
      <c r="C55" s="25"/>
      <c r="D55" s="25"/>
      <c r="E55" s="25"/>
      <c r="F55" s="25"/>
      <c r="G55" s="25"/>
      <c r="H55" s="31"/>
      <c r="I55" s="32"/>
      <c r="J55" s="33"/>
      <c r="K55" s="34" t="str">
        <f aca="false">IF(OR(H55="",I55=""),"",H55*I55*(1-N(J55)))</f>
        <v/>
      </c>
      <c r="L55" s="32"/>
      <c r="M55" s="34" t="str">
        <f aca="false">IF(OR(H55="",L55=""),"",H55*L55)</f>
        <v/>
      </c>
      <c r="N55" s="34" t="str">
        <f aca="false">IF(OR(K55="",M55=""),"",K55-M55)</f>
        <v/>
      </c>
      <c r="O55" s="35" t="str">
        <f aca="false">IF(OR(N55="",K55=""),"",IF(K55=0,"",N55/K55))</f>
        <v/>
      </c>
      <c r="P55" s="25"/>
      <c r="Q55" s="25"/>
      <c r="R55" s="25"/>
      <c r="S55" s="36" t="str">
        <f aca="false">IF(A55="","",YEAR(A55)+IF(AND(FYStart&gt;1,MONTH(A55)&gt;=FYStart),1,0))</f>
        <v/>
      </c>
      <c r="T55" s="36" t="str">
        <f aca="false">IF(A55="","",MOD(MONTH(A55)-FYStart,12)+1)</f>
        <v/>
      </c>
      <c r="U55" s="37" t="str">
        <f aca="false">IF(A55="","",TEXT(A55,"mmm"))</f>
        <v/>
      </c>
      <c r="V55" s="37" t="str">
        <f aca="false">IF(Q55="","",IFERROR(INDEX(Settings!$I$11:$I$15,MATCH(Q55,Settings!$H$11:$H$15,0)),"No"))</f>
        <v/>
      </c>
      <c r="W55" s="37" t="str">
        <f aca="false">IF(Q55="","",IFERROR(INDEX(Settings!$J$11:$J$15,MATCH(Q55,Settings!$H$11:$H$15,0)),"No"))</f>
        <v/>
      </c>
    </row>
    <row r="56" customFormat="false" ht="15" hidden="false" customHeight="false" outlineLevel="0" collapsed="false">
      <c r="A56" s="30"/>
      <c r="B56" s="25"/>
      <c r="C56" s="25"/>
      <c r="D56" s="25"/>
      <c r="E56" s="25"/>
      <c r="F56" s="25"/>
      <c r="G56" s="25"/>
      <c r="H56" s="31"/>
      <c r="I56" s="32"/>
      <c r="J56" s="33"/>
      <c r="K56" s="34" t="str">
        <f aca="false">IF(OR(H56="",I56=""),"",H56*I56*(1-N(J56)))</f>
        <v/>
      </c>
      <c r="L56" s="32"/>
      <c r="M56" s="34" t="str">
        <f aca="false">IF(OR(H56="",L56=""),"",H56*L56)</f>
        <v/>
      </c>
      <c r="N56" s="34" t="str">
        <f aca="false">IF(OR(K56="",M56=""),"",K56-M56)</f>
        <v/>
      </c>
      <c r="O56" s="35" t="str">
        <f aca="false">IF(OR(N56="",K56=""),"",IF(K56=0,"",N56/K56))</f>
        <v/>
      </c>
      <c r="P56" s="25"/>
      <c r="Q56" s="25"/>
      <c r="R56" s="25"/>
      <c r="S56" s="36" t="str">
        <f aca="false">IF(A56="","",YEAR(A56)+IF(AND(FYStart&gt;1,MONTH(A56)&gt;=FYStart),1,0))</f>
        <v/>
      </c>
      <c r="T56" s="36" t="str">
        <f aca="false">IF(A56="","",MOD(MONTH(A56)-FYStart,12)+1)</f>
        <v/>
      </c>
      <c r="U56" s="37" t="str">
        <f aca="false">IF(A56="","",TEXT(A56,"mmm"))</f>
        <v/>
      </c>
      <c r="V56" s="37" t="str">
        <f aca="false">IF(Q56="","",IFERROR(INDEX(Settings!$I$11:$I$15,MATCH(Q56,Settings!$H$11:$H$15,0)),"No"))</f>
        <v/>
      </c>
      <c r="W56" s="37" t="str">
        <f aca="false">IF(Q56="","",IFERROR(INDEX(Settings!$J$11:$J$15,MATCH(Q56,Settings!$H$11:$H$15,0)),"No"))</f>
        <v/>
      </c>
    </row>
    <row r="57" customFormat="false" ht="15" hidden="false" customHeight="false" outlineLevel="0" collapsed="false">
      <c r="A57" s="30"/>
      <c r="B57" s="25"/>
      <c r="C57" s="25"/>
      <c r="D57" s="25"/>
      <c r="E57" s="25"/>
      <c r="F57" s="25"/>
      <c r="G57" s="25"/>
      <c r="H57" s="31"/>
      <c r="I57" s="32"/>
      <c r="J57" s="33"/>
      <c r="K57" s="34" t="str">
        <f aca="false">IF(OR(H57="",I57=""),"",H57*I57*(1-N(J57)))</f>
        <v/>
      </c>
      <c r="L57" s="32"/>
      <c r="M57" s="34" t="str">
        <f aca="false">IF(OR(H57="",L57=""),"",H57*L57)</f>
        <v/>
      </c>
      <c r="N57" s="34" t="str">
        <f aca="false">IF(OR(K57="",M57=""),"",K57-M57)</f>
        <v/>
      </c>
      <c r="O57" s="35" t="str">
        <f aca="false">IF(OR(N57="",K57=""),"",IF(K57=0,"",N57/K57))</f>
        <v/>
      </c>
      <c r="P57" s="25"/>
      <c r="Q57" s="25"/>
      <c r="R57" s="25"/>
      <c r="S57" s="36" t="str">
        <f aca="false">IF(A57="","",YEAR(A57)+IF(AND(FYStart&gt;1,MONTH(A57)&gt;=FYStart),1,0))</f>
        <v/>
      </c>
      <c r="T57" s="36" t="str">
        <f aca="false">IF(A57="","",MOD(MONTH(A57)-FYStart,12)+1)</f>
        <v/>
      </c>
      <c r="U57" s="37" t="str">
        <f aca="false">IF(A57="","",TEXT(A57,"mmm"))</f>
        <v/>
      </c>
      <c r="V57" s="37" t="str">
        <f aca="false">IF(Q57="","",IFERROR(INDEX(Settings!$I$11:$I$15,MATCH(Q57,Settings!$H$11:$H$15,0)),"No"))</f>
        <v/>
      </c>
      <c r="W57" s="37" t="str">
        <f aca="false">IF(Q57="","",IFERROR(INDEX(Settings!$J$11:$J$15,MATCH(Q57,Settings!$H$11:$H$15,0)),"No"))</f>
        <v/>
      </c>
    </row>
    <row r="58" customFormat="false" ht="15" hidden="false" customHeight="false" outlineLevel="0" collapsed="false">
      <c r="A58" s="30"/>
      <c r="B58" s="25"/>
      <c r="C58" s="25"/>
      <c r="D58" s="25"/>
      <c r="E58" s="25"/>
      <c r="F58" s="25"/>
      <c r="G58" s="25"/>
      <c r="H58" s="31"/>
      <c r="I58" s="32"/>
      <c r="J58" s="33"/>
      <c r="K58" s="34" t="str">
        <f aca="false">IF(OR(H58="",I58=""),"",H58*I58*(1-N(J58)))</f>
        <v/>
      </c>
      <c r="L58" s="32"/>
      <c r="M58" s="34" t="str">
        <f aca="false">IF(OR(H58="",L58=""),"",H58*L58)</f>
        <v/>
      </c>
      <c r="N58" s="34" t="str">
        <f aca="false">IF(OR(K58="",M58=""),"",K58-M58)</f>
        <v/>
      </c>
      <c r="O58" s="35" t="str">
        <f aca="false">IF(OR(N58="",K58=""),"",IF(K58=0,"",N58/K58))</f>
        <v/>
      </c>
      <c r="P58" s="25"/>
      <c r="Q58" s="25"/>
      <c r="R58" s="25"/>
      <c r="S58" s="36" t="str">
        <f aca="false">IF(A58="","",YEAR(A58)+IF(AND(FYStart&gt;1,MONTH(A58)&gt;=FYStart),1,0))</f>
        <v/>
      </c>
      <c r="T58" s="36" t="str">
        <f aca="false">IF(A58="","",MOD(MONTH(A58)-FYStart,12)+1)</f>
        <v/>
      </c>
      <c r="U58" s="37" t="str">
        <f aca="false">IF(A58="","",TEXT(A58,"mmm"))</f>
        <v/>
      </c>
      <c r="V58" s="37" t="str">
        <f aca="false">IF(Q58="","",IFERROR(INDEX(Settings!$I$11:$I$15,MATCH(Q58,Settings!$H$11:$H$15,0)),"No"))</f>
        <v/>
      </c>
      <c r="W58" s="37" t="str">
        <f aca="false">IF(Q58="","",IFERROR(INDEX(Settings!$J$11:$J$15,MATCH(Q58,Settings!$H$11:$H$15,0)),"No"))</f>
        <v/>
      </c>
    </row>
    <row r="59" customFormat="false" ht="15" hidden="false" customHeight="false" outlineLevel="0" collapsed="false">
      <c r="A59" s="30"/>
      <c r="B59" s="25"/>
      <c r="C59" s="25"/>
      <c r="D59" s="25"/>
      <c r="E59" s="25"/>
      <c r="F59" s="25"/>
      <c r="G59" s="25"/>
      <c r="H59" s="31"/>
      <c r="I59" s="32"/>
      <c r="J59" s="33"/>
      <c r="K59" s="34" t="str">
        <f aca="false">IF(OR(H59="",I59=""),"",H59*I59*(1-N(J59)))</f>
        <v/>
      </c>
      <c r="L59" s="32"/>
      <c r="M59" s="34" t="str">
        <f aca="false">IF(OR(H59="",L59=""),"",H59*L59)</f>
        <v/>
      </c>
      <c r="N59" s="34" t="str">
        <f aca="false">IF(OR(K59="",M59=""),"",K59-M59)</f>
        <v/>
      </c>
      <c r="O59" s="35" t="str">
        <f aca="false">IF(OR(N59="",K59=""),"",IF(K59=0,"",N59/K59))</f>
        <v/>
      </c>
      <c r="P59" s="25"/>
      <c r="Q59" s="25"/>
      <c r="R59" s="25"/>
      <c r="S59" s="36" t="str">
        <f aca="false">IF(A59="","",YEAR(A59)+IF(AND(FYStart&gt;1,MONTH(A59)&gt;=FYStart),1,0))</f>
        <v/>
      </c>
      <c r="T59" s="36" t="str">
        <f aca="false">IF(A59="","",MOD(MONTH(A59)-FYStart,12)+1)</f>
        <v/>
      </c>
      <c r="U59" s="37" t="str">
        <f aca="false">IF(A59="","",TEXT(A59,"mmm"))</f>
        <v/>
      </c>
      <c r="V59" s="37" t="str">
        <f aca="false">IF(Q59="","",IFERROR(INDEX(Settings!$I$11:$I$15,MATCH(Q59,Settings!$H$11:$H$15,0)),"No"))</f>
        <v/>
      </c>
      <c r="W59" s="37" t="str">
        <f aca="false">IF(Q59="","",IFERROR(INDEX(Settings!$J$11:$J$15,MATCH(Q59,Settings!$H$11:$H$15,0)),"No"))</f>
        <v/>
      </c>
    </row>
    <row r="60" customFormat="false" ht="15" hidden="false" customHeight="false" outlineLevel="0" collapsed="false">
      <c r="A60" s="30"/>
      <c r="B60" s="25"/>
      <c r="C60" s="25"/>
      <c r="D60" s="25"/>
      <c r="E60" s="25"/>
      <c r="F60" s="25"/>
      <c r="G60" s="25"/>
      <c r="H60" s="31"/>
      <c r="I60" s="32"/>
      <c r="J60" s="33"/>
      <c r="K60" s="34" t="str">
        <f aca="false">IF(OR(H60="",I60=""),"",H60*I60*(1-N(J60)))</f>
        <v/>
      </c>
      <c r="L60" s="32"/>
      <c r="M60" s="34" t="str">
        <f aca="false">IF(OR(H60="",L60=""),"",H60*L60)</f>
        <v/>
      </c>
      <c r="N60" s="34" t="str">
        <f aca="false">IF(OR(K60="",M60=""),"",K60-M60)</f>
        <v/>
      </c>
      <c r="O60" s="35" t="str">
        <f aca="false">IF(OR(N60="",K60=""),"",IF(K60=0,"",N60/K60))</f>
        <v/>
      </c>
      <c r="P60" s="25"/>
      <c r="Q60" s="25"/>
      <c r="R60" s="25"/>
      <c r="S60" s="36" t="str">
        <f aca="false">IF(A60="","",YEAR(A60)+IF(AND(FYStart&gt;1,MONTH(A60)&gt;=FYStart),1,0))</f>
        <v/>
      </c>
      <c r="T60" s="36" t="str">
        <f aca="false">IF(A60="","",MOD(MONTH(A60)-FYStart,12)+1)</f>
        <v/>
      </c>
      <c r="U60" s="37" t="str">
        <f aca="false">IF(A60="","",TEXT(A60,"mmm"))</f>
        <v/>
      </c>
      <c r="V60" s="37" t="str">
        <f aca="false">IF(Q60="","",IFERROR(INDEX(Settings!$I$11:$I$15,MATCH(Q60,Settings!$H$11:$H$15,0)),"No"))</f>
        <v/>
      </c>
      <c r="W60" s="37" t="str">
        <f aca="false">IF(Q60="","",IFERROR(INDEX(Settings!$J$11:$J$15,MATCH(Q60,Settings!$H$11:$H$15,0)),"No"))</f>
        <v/>
      </c>
    </row>
    <row r="61" customFormat="false" ht="15" hidden="false" customHeight="false" outlineLevel="0" collapsed="false">
      <c r="A61" s="30"/>
      <c r="B61" s="25"/>
      <c r="C61" s="25"/>
      <c r="D61" s="25"/>
      <c r="E61" s="25"/>
      <c r="F61" s="25"/>
      <c r="G61" s="25"/>
      <c r="H61" s="31"/>
      <c r="I61" s="32"/>
      <c r="J61" s="33"/>
      <c r="K61" s="34" t="str">
        <f aca="false">IF(OR(H61="",I61=""),"",H61*I61*(1-N(J61)))</f>
        <v/>
      </c>
      <c r="L61" s="32"/>
      <c r="M61" s="34" t="str">
        <f aca="false">IF(OR(H61="",L61=""),"",H61*L61)</f>
        <v/>
      </c>
      <c r="N61" s="34" t="str">
        <f aca="false">IF(OR(K61="",M61=""),"",K61-M61)</f>
        <v/>
      </c>
      <c r="O61" s="35" t="str">
        <f aca="false">IF(OR(N61="",K61=""),"",IF(K61=0,"",N61/K61))</f>
        <v/>
      </c>
      <c r="P61" s="25"/>
      <c r="Q61" s="25"/>
      <c r="R61" s="25"/>
      <c r="S61" s="36" t="str">
        <f aca="false">IF(A61="","",YEAR(A61)+IF(AND(FYStart&gt;1,MONTH(A61)&gt;=FYStart),1,0))</f>
        <v/>
      </c>
      <c r="T61" s="36" t="str">
        <f aca="false">IF(A61="","",MOD(MONTH(A61)-FYStart,12)+1)</f>
        <v/>
      </c>
      <c r="U61" s="37" t="str">
        <f aca="false">IF(A61="","",TEXT(A61,"mmm"))</f>
        <v/>
      </c>
      <c r="V61" s="37" t="str">
        <f aca="false">IF(Q61="","",IFERROR(INDEX(Settings!$I$11:$I$15,MATCH(Q61,Settings!$H$11:$H$15,0)),"No"))</f>
        <v/>
      </c>
      <c r="W61" s="37" t="str">
        <f aca="false">IF(Q61="","",IFERROR(INDEX(Settings!$J$11:$J$15,MATCH(Q61,Settings!$H$11:$H$15,0)),"No"))</f>
        <v/>
      </c>
    </row>
    <row r="62" customFormat="false" ht="15" hidden="false" customHeight="false" outlineLevel="0" collapsed="false">
      <c r="A62" s="30"/>
      <c r="B62" s="25"/>
      <c r="C62" s="25"/>
      <c r="D62" s="25"/>
      <c r="E62" s="25"/>
      <c r="F62" s="25"/>
      <c r="G62" s="25"/>
      <c r="H62" s="31"/>
      <c r="I62" s="32"/>
      <c r="J62" s="33"/>
      <c r="K62" s="34" t="str">
        <f aca="false">IF(OR(H62="",I62=""),"",H62*I62*(1-N(J62)))</f>
        <v/>
      </c>
      <c r="L62" s="32"/>
      <c r="M62" s="34" t="str">
        <f aca="false">IF(OR(H62="",L62=""),"",H62*L62)</f>
        <v/>
      </c>
      <c r="N62" s="34" t="str">
        <f aca="false">IF(OR(K62="",M62=""),"",K62-M62)</f>
        <v/>
      </c>
      <c r="O62" s="35" t="str">
        <f aca="false">IF(OR(N62="",K62=""),"",IF(K62=0,"",N62/K62))</f>
        <v/>
      </c>
      <c r="P62" s="25"/>
      <c r="Q62" s="25"/>
      <c r="R62" s="25"/>
      <c r="S62" s="36" t="str">
        <f aca="false">IF(A62="","",YEAR(A62)+IF(AND(FYStart&gt;1,MONTH(A62)&gt;=FYStart),1,0))</f>
        <v/>
      </c>
      <c r="T62" s="36" t="str">
        <f aca="false">IF(A62="","",MOD(MONTH(A62)-FYStart,12)+1)</f>
        <v/>
      </c>
      <c r="U62" s="37" t="str">
        <f aca="false">IF(A62="","",TEXT(A62,"mmm"))</f>
        <v/>
      </c>
      <c r="V62" s="37" t="str">
        <f aca="false">IF(Q62="","",IFERROR(INDEX(Settings!$I$11:$I$15,MATCH(Q62,Settings!$H$11:$H$15,0)),"No"))</f>
        <v/>
      </c>
      <c r="W62" s="37" t="str">
        <f aca="false">IF(Q62="","",IFERROR(INDEX(Settings!$J$11:$J$15,MATCH(Q62,Settings!$H$11:$H$15,0)),"No"))</f>
        <v/>
      </c>
    </row>
    <row r="63" customFormat="false" ht="15" hidden="false" customHeight="false" outlineLevel="0" collapsed="false">
      <c r="A63" s="30"/>
      <c r="B63" s="25"/>
      <c r="C63" s="25"/>
      <c r="D63" s="25"/>
      <c r="E63" s="25"/>
      <c r="F63" s="25"/>
      <c r="G63" s="25"/>
      <c r="H63" s="31"/>
      <c r="I63" s="32"/>
      <c r="J63" s="33"/>
      <c r="K63" s="34" t="str">
        <f aca="false">IF(OR(H63="",I63=""),"",H63*I63*(1-N(J63)))</f>
        <v/>
      </c>
      <c r="L63" s="32"/>
      <c r="M63" s="34" t="str">
        <f aca="false">IF(OR(H63="",L63=""),"",H63*L63)</f>
        <v/>
      </c>
      <c r="N63" s="34" t="str">
        <f aca="false">IF(OR(K63="",M63=""),"",K63-M63)</f>
        <v/>
      </c>
      <c r="O63" s="35" t="str">
        <f aca="false">IF(OR(N63="",K63=""),"",IF(K63=0,"",N63/K63))</f>
        <v/>
      </c>
      <c r="P63" s="25"/>
      <c r="Q63" s="25"/>
      <c r="R63" s="25"/>
      <c r="S63" s="36" t="str">
        <f aca="false">IF(A63="","",YEAR(A63)+IF(AND(FYStart&gt;1,MONTH(A63)&gt;=FYStart),1,0))</f>
        <v/>
      </c>
      <c r="T63" s="36" t="str">
        <f aca="false">IF(A63="","",MOD(MONTH(A63)-FYStart,12)+1)</f>
        <v/>
      </c>
      <c r="U63" s="37" t="str">
        <f aca="false">IF(A63="","",TEXT(A63,"mmm"))</f>
        <v/>
      </c>
      <c r="V63" s="37" t="str">
        <f aca="false">IF(Q63="","",IFERROR(INDEX(Settings!$I$11:$I$15,MATCH(Q63,Settings!$H$11:$H$15,0)),"No"))</f>
        <v/>
      </c>
      <c r="W63" s="37" t="str">
        <f aca="false">IF(Q63="","",IFERROR(INDEX(Settings!$J$11:$J$15,MATCH(Q63,Settings!$H$11:$H$15,0)),"No"))</f>
        <v/>
      </c>
    </row>
    <row r="64" customFormat="false" ht="15" hidden="false" customHeight="false" outlineLevel="0" collapsed="false">
      <c r="A64" s="30"/>
      <c r="B64" s="25"/>
      <c r="C64" s="25"/>
      <c r="D64" s="25"/>
      <c r="E64" s="25"/>
      <c r="F64" s="25"/>
      <c r="G64" s="25"/>
      <c r="H64" s="31"/>
      <c r="I64" s="32"/>
      <c r="J64" s="33"/>
      <c r="K64" s="34" t="str">
        <f aca="false">IF(OR(H64="",I64=""),"",H64*I64*(1-N(J64)))</f>
        <v/>
      </c>
      <c r="L64" s="32"/>
      <c r="M64" s="34" t="str">
        <f aca="false">IF(OR(H64="",L64=""),"",H64*L64)</f>
        <v/>
      </c>
      <c r="N64" s="34" t="str">
        <f aca="false">IF(OR(K64="",M64=""),"",K64-M64)</f>
        <v/>
      </c>
      <c r="O64" s="35" t="str">
        <f aca="false">IF(OR(N64="",K64=""),"",IF(K64=0,"",N64/K64))</f>
        <v/>
      </c>
      <c r="P64" s="25"/>
      <c r="Q64" s="25"/>
      <c r="R64" s="25"/>
      <c r="S64" s="36" t="str">
        <f aca="false">IF(A64="","",YEAR(A64)+IF(AND(FYStart&gt;1,MONTH(A64)&gt;=FYStart),1,0))</f>
        <v/>
      </c>
      <c r="T64" s="36" t="str">
        <f aca="false">IF(A64="","",MOD(MONTH(A64)-FYStart,12)+1)</f>
        <v/>
      </c>
      <c r="U64" s="37" t="str">
        <f aca="false">IF(A64="","",TEXT(A64,"mmm"))</f>
        <v/>
      </c>
      <c r="V64" s="37" t="str">
        <f aca="false">IF(Q64="","",IFERROR(INDEX(Settings!$I$11:$I$15,MATCH(Q64,Settings!$H$11:$H$15,0)),"No"))</f>
        <v/>
      </c>
      <c r="W64" s="37" t="str">
        <f aca="false">IF(Q64="","",IFERROR(INDEX(Settings!$J$11:$J$15,MATCH(Q64,Settings!$H$11:$H$15,0)),"No"))</f>
        <v/>
      </c>
    </row>
    <row r="65" customFormat="false" ht="15" hidden="false" customHeight="false" outlineLevel="0" collapsed="false">
      <c r="A65" s="30"/>
      <c r="B65" s="25"/>
      <c r="C65" s="25"/>
      <c r="D65" s="25"/>
      <c r="E65" s="25"/>
      <c r="F65" s="25"/>
      <c r="G65" s="25"/>
      <c r="H65" s="31"/>
      <c r="I65" s="32"/>
      <c r="J65" s="33"/>
      <c r="K65" s="34" t="str">
        <f aca="false">IF(OR(H65="",I65=""),"",H65*I65*(1-N(J65)))</f>
        <v/>
      </c>
      <c r="L65" s="32"/>
      <c r="M65" s="34" t="str">
        <f aca="false">IF(OR(H65="",L65=""),"",H65*L65)</f>
        <v/>
      </c>
      <c r="N65" s="34" t="str">
        <f aca="false">IF(OR(K65="",M65=""),"",K65-M65)</f>
        <v/>
      </c>
      <c r="O65" s="35" t="str">
        <f aca="false">IF(OR(N65="",K65=""),"",IF(K65=0,"",N65/K65))</f>
        <v/>
      </c>
      <c r="P65" s="25"/>
      <c r="Q65" s="25"/>
      <c r="R65" s="25"/>
      <c r="S65" s="36" t="str">
        <f aca="false">IF(A65="","",YEAR(A65)+IF(AND(FYStart&gt;1,MONTH(A65)&gt;=FYStart),1,0))</f>
        <v/>
      </c>
      <c r="T65" s="36" t="str">
        <f aca="false">IF(A65="","",MOD(MONTH(A65)-FYStart,12)+1)</f>
        <v/>
      </c>
      <c r="U65" s="37" t="str">
        <f aca="false">IF(A65="","",TEXT(A65,"mmm"))</f>
        <v/>
      </c>
      <c r="V65" s="37" t="str">
        <f aca="false">IF(Q65="","",IFERROR(INDEX(Settings!$I$11:$I$15,MATCH(Q65,Settings!$H$11:$H$15,0)),"No"))</f>
        <v/>
      </c>
      <c r="W65" s="37" t="str">
        <f aca="false">IF(Q65="","",IFERROR(INDEX(Settings!$J$11:$J$15,MATCH(Q65,Settings!$H$11:$H$15,0)),"No"))</f>
        <v/>
      </c>
    </row>
    <row r="66" customFormat="false" ht="15" hidden="false" customHeight="false" outlineLevel="0" collapsed="false">
      <c r="A66" s="30"/>
      <c r="B66" s="25"/>
      <c r="C66" s="25"/>
      <c r="D66" s="25"/>
      <c r="E66" s="25"/>
      <c r="F66" s="25"/>
      <c r="G66" s="25"/>
      <c r="H66" s="31"/>
      <c r="I66" s="32"/>
      <c r="J66" s="33"/>
      <c r="K66" s="34" t="str">
        <f aca="false">IF(OR(H66="",I66=""),"",H66*I66*(1-N(J66)))</f>
        <v/>
      </c>
      <c r="L66" s="32"/>
      <c r="M66" s="34" t="str">
        <f aca="false">IF(OR(H66="",L66=""),"",H66*L66)</f>
        <v/>
      </c>
      <c r="N66" s="34" t="str">
        <f aca="false">IF(OR(K66="",M66=""),"",K66-M66)</f>
        <v/>
      </c>
      <c r="O66" s="35" t="str">
        <f aca="false">IF(OR(N66="",K66=""),"",IF(K66=0,"",N66/K66))</f>
        <v/>
      </c>
      <c r="P66" s="25"/>
      <c r="Q66" s="25"/>
      <c r="R66" s="25"/>
      <c r="S66" s="36" t="str">
        <f aca="false">IF(A66="","",YEAR(A66)+IF(AND(FYStart&gt;1,MONTH(A66)&gt;=FYStart),1,0))</f>
        <v/>
      </c>
      <c r="T66" s="36" t="str">
        <f aca="false">IF(A66="","",MOD(MONTH(A66)-FYStart,12)+1)</f>
        <v/>
      </c>
      <c r="U66" s="37" t="str">
        <f aca="false">IF(A66="","",TEXT(A66,"mmm"))</f>
        <v/>
      </c>
      <c r="V66" s="37" t="str">
        <f aca="false">IF(Q66="","",IFERROR(INDEX(Settings!$I$11:$I$15,MATCH(Q66,Settings!$H$11:$H$15,0)),"No"))</f>
        <v/>
      </c>
      <c r="W66" s="37" t="str">
        <f aca="false">IF(Q66="","",IFERROR(INDEX(Settings!$J$11:$J$15,MATCH(Q66,Settings!$H$11:$H$15,0)),"No"))</f>
        <v/>
      </c>
    </row>
    <row r="67" customFormat="false" ht="15" hidden="false" customHeight="false" outlineLevel="0" collapsed="false">
      <c r="A67" s="30"/>
      <c r="B67" s="25"/>
      <c r="C67" s="25"/>
      <c r="D67" s="25"/>
      <c r="E67" s="25"/>
      <c r="F67" s="25"/>
      <c r="G67" s="25"/>
      <c r="H67" s="31"/>
      <c r="I67" s="32"/>
      <c r="J67" s="33"/>
      <c r="K67" s="34" t="str">
        <f aca="false">IF(OR(H67="",I67=""),"",H67*I67*(1-N(J67)))</f>
        <v/>
      </c>
      <c r="L67" s="32"/>
      <c r="M67" s="34" t="str">
        <f aca="false">IF(OR(H67="",L67=""),"",H67*L67)</f>
        <v/>
      </c>
      <c r="N67" s="34" t="str">
        <f aca="false">IF(OR(K67="",M67=""),"",K67-M67)</f>
        <v/>
      </c>
      <c r="O67" s="35" t="str">
        <f aca="false">IF(OR(N67="",K67=""),"",IF(K67=0,"",N67/K67))</f>
        <v/>
      </c>
      <c r="P67" s="25"/>
      <c r="Q67" s="25"/>
      <c r="R67" s="25"/>
      <c r="S67" s="36" t="str">
        <f aca="false">IF(A67="","",YEAR(A67)+IF(AND(FYStart&gt;1,MONTH(A67)&gt;=FYStart),1,0))</f>
        <v/>
      </c>
      <c r="T67" s="36" t="str">
        <f aca="false">IF(A67="","",MOD(MONTH(A67)-FYStart,12)+1)</f>
        <v/>
      </c>
      <c r="U67" s="37" t="str">
        <f aca="false">IF(A67="","",TEXT(A67,"mmm"))</f>
        <v/>
      </c>
      <c r="V67" s="37" t="str">
        <f aca="false">IF(Q67="","",IFERROR(INDEX(Settings!$I$11:$I$15,MATCH(Q67,Settings!$H$11:$H$15,0)),"No"))</f>
        <v/>
      </c>
      <c r="W67" s="37" t="str">
        <f aca="false">IF(Q67="","",IFERROR(INDEX(Settings!$J$11:$J$15,MATCH(Q67,Settings!$H$11:$H$15,0)),"No"))</f>
        <v/>
      </c>
    </row>
    <row r="68" customFormat="false" ht="15" hidden="false" customHeight="false" outlineLevel="0" collapsed="false">
      <c r="A68" s="30"/>
      <c r="B68" s="25"/>
      <c r="C68" s="25"/>
      <c r="D68" s="25"/>
      <c r="E68" s="25"/>
      <c r="F68" s="25"/>
      <c r="G68" s="25"/>
      <c r="H68" s="31"/>
      <c r="I68" s="32"/>
      <c r="J68" s="33"/>
      <c r="K68" s="34" t="str">
        <f aca="false">IF(OR(H68="",I68=""),"",H68*I68*(1-N(J68)))</f>
        <v/>
      </c>
      <c r="L68" s="32"/>
      <c r="M68" s="34" t="str">
        <f aca="false">IF(OR(H68="",L68=""),"",H68*L68)</f>
        <v/>
      </c>
      <c r="N68" s="34" t="str">
        <f aca="false">IF(OR(K68="",M68=""),"",K68-M68)</f>
        <v/>
      </c>
      <c r="O68" s="35" t="str">
        <f aca="false">IF(OR(N68="",K68=""),"",IF(K68=0,"",N68/K68))</f>
        <v/>
      </c>
      <c r="P68" s="25"/>
      <c r="Q68" s="25"/>
      <c r="R68" s="25"/>
      <c r="S68" s="36" t="str">
        <f aca="false">IF(A68="","",YEAR(A68)+IF(AND(FYStart&gt;1,MONTH(A68)&gt;=FYStart),1,0))</f>
        <v/>
      </c>
      <c r="T68" s="36" t="str">
        <f aca="false">IF(A68="","",MOD(MONTH(A68)-FYStart,12)+1)</f>
        <v/>
      </c>
      <c r="U68" s="37" t="str">
        <f aca="false">IF(A68="","",TEXT(A68,"mmm"))</f>
        <v/>
      </c>
      <c r="V68" s="37" t="str">
        <f aca="false">IF(Q68="","",IFERROR(INDEX(Settings!$I$11:$I$15,MATCH(Q68,Settings!$H$11:$H$15,0)),"No"))</f>
        <v/>
      </c>
      <c r="W68" s="37" t="str">
        <f aca="false">IF(Q68="","",IFERROR(INDEX(Settings!$J$11:$J$15,MATCH(Q68,Settings!$H$11:$H$15,0)),"No"))</f>
        <v/>
      </c>
    </row>
    <row r="69" customFormat="false" ht="15" hidden="false" customHeight="false" outlineLevel="0" collapsed="false">
      <c r="A69" s="30"/>
      <c r="B69" s="25"/>
      <c r="C69" s="25"/>
      <c r="D69" s="25"/>
      <c r="E69" s="25"/>
      <c r="F69" s="25"/>
      <c r="G69" s="25"/>
      <c r="H69" s="31"/>
      <c r="I69" s="32"/>
      <c r="J69" s="33"/>
      <c r="K69" s="34" t="str">
        <f aca="false">IF(OR(H69="",I69=""),"",H69*I69*(1-N(J69)))</f>
        <v/>
      </c>
      <c r="L69" s="32"/>
      <c r="M69" s="34" t="str">
        <f aca="false">IF(OR(H69="",L69=""),"",H69*L69)</f>
        <v/>
      </c>
      <c r="N69" s="34" t="str">
        <f aca="false">IF(OR(K69="",M69=""),"",K69-M69)</f>
        <v/>
      </c>
      <c r="O69" s="35" t="str">
        <f aca="false">IF(OR(N69="",K69=""),"",IF(K69=0,"",N69/K69))</f>
        <v/>
      </c>
      <c r="P69" s="25"/>
      <c r="Q69" s="25"/>
      <c r="R69" s="25"/>
      <c r="S69" s="36" t="str">
        <f aca="false">IF(A69="","",YEAR(A69)+IF(AND(FYStart&gt;1,MONTH(A69)&gt;=FYStart),1,0))</f>
        <v/>
      </c>
      <c r="T69" s="36" t="str">
        <f aca="false">IF(A69="","",MOD(MONTH(A69)-FYStart,12)+1)</f>
        <v/>
      </c>
      <c r="U69" s="37" t="str">
        <f aca="false">IF(A69="","",TEXT(A69,"mmm"))</f>
        <v/>
      </c>
      <c r="V69" s="37" t="str">
        <f aca="false">IF(Q69="","",IFERROR(INDEX(Settings!$I$11:$I$15,MATCH(Q69,Settings!$H$11:$H$15,0)),"No"))</f>
        <v/>
      </c>
      <c r="W69" s="37" t="str">
        <f aca="false">IF(Q69="","",IFERROR(INDEX(Settings!$J$11:$J$15,MATCH(Q69,Settings!$H$11:$H$15,0)),"No"))</f>
        <v/>
      </c>
    </row>
    <row r="70" customFormat="false" ht="15" hidden="false" customHeight="false" outlineLevel="0" collapsed="false">
      <c r="A70" s="30"/>
      <c r="B70" s="25"/>
      <c r="C70" s="25"/>
      <c r="D70" s="25"/>
      <c r="E70" s="25"/>
      <c r="F70" s="25"/>
      <c r="G70" s="25"/>
      <c r="H70" s="31"/>
      <c r="I70" s="32"/>
      <c r="J70" s="33"/>
      <c r="K70" s="34" t="str">
        <f aca="false">IF(OR(H70="",I70=""),"",H70*I70*(1-N(J70)))</f>
        <v/>
      </c>
      <c r="L70" s="32"/>
      <c r="M70" s="34" t="str">
        <f aca="false">IF(OR(H70="",L70=""),"",H70*L70)</f>
        <v/>
      </c>
      <c r="N70" s="34" t="str">
        <f aca="false">IF(OR(K70="",M70=""),"",K70-M70)</f>
        <v/>
      </c>
      <c r="O70" s="35" t="str">
        <f aca="false">IF(OR(N70="",K70=""),"",IF(K70=0,"",N70/K70))</f>
        <v/>
      </c>
      <c r="P70" s="25"/>
      <c r="Q70" s="25"/>
      <c r="R70" s="25"/>
      <c r="S70" s="36" t="str">
        <f aca="false">IF(A70="","",YEAR(A70)+IF(AND(FYStart&gt;1,MONTH(A70)&gt;=FYStart),1,0))</f>
        <v/>
      </c>
      <c r="T70" s="36" t="str">
        <f aca="false">IF(A70="","",MOD(MONTH(A70)-FYStart,12)+1)</f>
        <v/>
      </c>
      <c r="U70" s="37" t="str">
        <f aca="false">IF(A70="","",TEXT(A70,"mmm"))</f>
        <v/>
      </c>
      <c r="V70" s="37" t="str">
        <f aca="false">IF(Q70="","",IFERROR(INDEX(Settings!$I$11:$I$15,MATCH(Q70,Settings!$H$11:$H$15,0)),"No"))</f>
        <v/>
      </c>
      <c r="W70" s="37" t="str">
        <f aca="false">IF(Q70="","",IFERROR(INDEX(Settings!$J$11:$J$15,MATCH(Q70,Settings!$H$11:$H$15,0)),"No"))</f>
        <v/>
      </c>
    </row>
    <row r="71" customFormat="false" ht="15" hidden="false" customHeight="false" outlineLevel="0" collapsed="false">
      <c r="A71" s="30"/>
      <c r="B71" s="25"/>
      <c r="C71" s="25"/>
      <c r="D71" s="25"/>
      <c r="E71" s="25"/>
      <c r="F71" s="25"/>
      <c r="G71" s="25"/>
      <c r="H71" s="31"/>
      <c r="I71" s="32"/>
      <c r="J71" s="33"/>
      <c r="K71" s="34" t="str">
        <f aca="false">IF(OR(H71="",I71=""),"",H71*I71*(1-N(J71)))</f>
        <v/>
      </c>
      <c r="L71" s="32"/>
      <c r="M71" s="34" t="str">
        <f aca="false">IF(OR(H71="",L71=""),"",H71*L71)</f>
        <v/>
      </c>
      <c r="N71" s="34" t="str">
        <f aca="false">IF(OR(K71="",M71=""),"",K71-M71)</f>
        <v/>
      </c>
      <c r="O71" s="35" t="str">
        <f aca="false">IF(OR(N71="",K71=""),"",IF(K71=0,"",N71/K71))</f>
        <v/>
      </c>
      <c r="P71" s="25"/>
      <c r="Q71" s="25"/>
      <c r="R71" s="25"/>
      <c r="S71" s="36" t="str">
        <f aca="false">IF(A71="","",YEAR(A71)+IF(AND(FYStart&gt;1,MONTH(A71)&gt;=FYStart),1,0))</f>
        <v/>
      </c>
      <c r="T71" s="36" t="str">
        <f aca="false">IF(A71="","",MOD(MONTH(A71)-FYStart,12)+1)</f>
        <v/>
      </c>
      <c r="U71" s="37" t="str">
        <f aca="false">IF(A71="","",TEXT(A71,"mmm"))</f>
        <v/>
      </c>
      <c r="V71" s="37" t="str">
        <f aca="false">IF(Q71="","",IFERROR(INDEX(Settings!$I$11:$I$15,MATCH(Q71,Settings!$H$11:$H$15,0)),"No"))</f>
        <v/>
      </c>
      <c r="W71" s="37" t="str">
        <f aca="false">IF(Q71="","",IFERROR(INDEX(Settings!$J$11:$J$15,MATCH(Q71,Settings!$H$11:$H$15,0)),"No"))</f>
        <v/>
      </c>
    </row>
    <row r="72" customFormat="false" ht="15" hidden="false" customHeight="false" outlineLevel="0" collapsed="false">
      <c r="A72" s="30"/>
      <c r="B72" s="25"/>
      <c r="C72" s="25"/>
      <c r="D72" s="25"/>
      <c r="E72" s="25"/>
      <c r="F72" s="25"/>
      <c r="G72" s="25"/>
      <c r="H72" s="31"/>
      <c r="I72" s="32"/>
      <c r="J72" s="33"/>
      <c r="K72" s="34" t="str">
        <f aca="false">IF(OR(H72="",I72=""),"",H72*I72*(1-N(J72)))</f>
        <v/>
      </c>
      <c r="L72" s="32"/>
      <c r="M72" s="34" t="str">
        <f aca="false">IF(OR(H72="",L72=""),"",H72*L72)</f>
        <v/>
      </c>
      <c r="N72" s="34" t="str">
        <f aca="false">IF(OR(K72="",M72=""),"",K72-M72)</f>
        <v/>
      </c>
      <c r="O72" s="35" t="str">
        <f aca="false">IF(OR(N72="",K72=""),"",IF(K72=0,"",N72/K72))</f>
        <v/>
      </c>
      <c r="P72" s="25"/>
      <c r="Q72" s="25"/>
      <c r="R72" s="25"/>
      <c r="S72" s="36" t="str">
        <f aca="false">IF(A72="","",YEAR(A72)+IF(AND(FYStart&gt;1,MONTH(A72)&gt;=FYStart),1,0))</f>
        <v/>
      </c>
      <c r="T72" s="36" t="str">
        <f aca="false">IF(A72="","",MOD(MONTH(A72)-FYStart,12)+1)</f>
        <v/>
      </c>
      <c r="U72" s="37" t="str">
        <f aca="false">IF(A72="","",TEXT(A72,"mmm"))</f>
        <v/>
      </c>
      <c r="V72" s="37" t="str">
        <f aca="false">IF(Q72="","",IFERROR(INDEX(Settings!$I$11:$I$15,MATCH(Q72,Settings!$H$11:$H$15,0)),"No"))</f>
        <v/>
      </c>
      <c r="W72" s="37" t="str">
        <f aca="false">IF(Q72="","",IFERROR(INDEX(Settings!$J$11:$J$15,MATCH(Q72,Settings!$H$11:$H$15,0)),"No"))</f>
        <v/>
      </c>
    </row>
    <row r="73" customFormat="false" ht="15" hidden="false" customHeight="false" outlineLevel="0" collapsed="false">
      <c r="A73" s="30"/>
      <c r="B73" s="25"/>
      <c r="C73" s="25"/>
      <c r="D73" s="25"/>
      <c r="E73" s="25"/>
      <c r="F73" s="25"/>
      <c r="G73" s="25"/>
      <c r="H73" s="31"/>
      <c r="I73" s="32"/>
      <c r="J73" s="33"/>
      <c r="K73" s="34" t="str">
        <f aca="false">IF(OR(H73="",I73=""),"",H73*I73*(1-N(J73)))</f>
        <v/>
      </c>
      <c r="L73" s="32"/>
      <c r="M73" s="34" t="str">
        <f aca="false">IF(OR(H73="",L73=""),"",H73*L73)</f>
        <v/>
      </c>
      <c r="N73" s="34" t="str">
        <f aca="false">IF(OR(K73="",M73=""),"",K73-M73)</f>
        <v/>
      </c>
      <c r="O73" s="35" t="str">
        <f aca="false">IF(OR(N73="",K73=""),"",IF(K73=0,"",N73/K73))</f>
        <v/>
      </c>
      <c r="P73" s="25"/>
      <c r="Q73" s="25"/>
      <c r="R73" s="25"/>
      <c r="S73" s="36" t="str">
        <f aca="false">IF(A73="","",YEAR(A73)+IF(AND(FYStart&gt;1,MONTH(A73)&gt;=FYStart),1,0))</f>
        <v/>
      </c>
      <c r="T73" s="36" t="str">
        <f aca="false">IF(A73="","",MOD(MONTH(A73)-FYStart,12)+1)</f>
        <v/>
      </c>
      <c r="U73" s="37" t="str">
        <f aca="false">IF(A73="","",TEXT(A73,"mmm"))</f>
        <v/>
      </c>
      <c r="V73" s="37" t="str">
        <f aca="false">IF(Q73="","",IFERROR(INDEX(Settings!$I$11:$I$15,MATCH(Q73,Settings!$H$11:$H$15,0)),"No"))</f>
        <v/>
      </c>
      <c r="W73" s="37" t="str">
        <f aca="false">IF(Q73="","",IFERROR(INDEX(Settings!$J$11:$J$15,MATCH(Q73,Settings!$H$11:$H$15,0)),"No"))</f>
        <v/>
      </c>
    </row>
    <row r="74" customFormat="false" ht="15" hidden="false" customHeight="false" outlineLevel="0" collapsed="false">
      <c r="A74" s="30"/>
      <c r="B74" s="25"/>
      <c r="C74" s="25"/>
      <c r="D74" s="25"/>
      <c r="E74" s="25"/>
      <c r="F74" s="25"/>
      <c r="G74" s="25"/>
      <c r="H74" s="31"/>
      <c r="I74" s="32"/>
      <c r="J74" s="33"/>
      <c r="K74" s="34" t="str">
        <f aca="false">IF(OR(H74="",I74=""),"",H74*I74*(1-N(J74)))</f>
        <v/>
      </c>
      <c r="L74" s="32"/>
      <c r="M74" s="34" t="str">
        <f aca="false">IF(OR(H74="",L74=""),"",H74*L74)</f>
        <v/>
      </c>
      <c r="N74" s="34" t="str">
        <f aca="false">IF(OR(K74="",M74=""),"",K74-M74)</f>
        <v/>
      </c>
      <c r="O74" s="35" t="str">
        <f aca="false">IF(OR(N74="",K74=""),"",IF(K74=0,"",N74/K74))</f>
        <v/>
      </c>
      <c r="P74" s="25"/>
      <c r="Q74" s="25"/>
      <c r="R74" s="25"/>
      <c r="S74" s="36" t="str">
        <f aca="false">IF(A74="","",YEAR(A74)+IF(AND(FYStart&gt;1,MONTH(A74)&gt;=FYStart),1,0))</f>
        <v/>
      </c>
      <c r="T74" s="36" t="str">
        <f aca="false">IF(A74="","",MOD(MONTH(A74)-FYStart,12)+1)</f>
        <v/>
      </c>
      <c r="U74" s="37" t="str">
        <f aca="false">IF(A74="","",TEXT(A74,"mmm"))</f>
        <v/>
      </c>
      <c r="V74" s="37" t="str">
        <f aca="false">IF(Q74="","",IFERROR(INDEX(Settings!$I$11:$I$15,MATCH(Q74,Settings!$H$11:$H$15,0)),"No"))</f>
        <v/>
      </c>
      <c r="W74" s="37" t="str">
        <f aca="false">IF(Q74="","",IFERROR(INDEX(Settings!$J$11:$J$15,MATCH(Q74,Settings!$H$11:$H$15,0)),"No"))</f>
        <v/>
      </c>
    </row>
    <row r="75" customFormat="false" ht="15" hidden="false" customHeight="false" outlineLevel="0" collapsed="false">
      <c r="A75" s="30"/>
      <c r="B75" s="25"/>
      <c r="C75" s="25"/>
      <c r="D75" s="25"/>
      <c r="E75" s="25"/>
      <c r="F75" s="25"/>
      <c r="G75" s="25"/>
      <c r="H75" s="31"/>
      <c r="I75" s="32"/>
      <c r="J75" s="33"/>
      <c r="K75" s="34" t="str">
        <f aca="false">IF(OR(H75="",I75=""),"",H75*I75*(1-N(J75)))</f>
        <v/>
      </c>
      <c r="L75" s="32"/>
      <c r="M75" s="34" t="str">
        <f aca="false">IF(OR(H75="",L75=""),"",H75*L75)</f>
        <v/>
      </c>
      <c r="N75" s="34" t="str">
        <f aca="false">IF(OR(K75="",M75=""),"",K75-M75)</f>
        <v/>
      </c>
      <c r="O75" s="35" t="str">
        <f aca="false">IF(OR(N75="",K75=""),"",IF(K75=0,"",N75/K75))</f>
        <v/>
      </c>
      <c r="P75" s="25"/>
      <c r="Q75" s="25"/>
      <c r="R75" s="25"/>
      <c r="S75" s="36" t="str">
        <f aca="false">IF(A75="","",YEAR(A75)+IF(AND(FYStart&gt;1,MONTH(A75)&gt;=FYStart),1,0))</f>
        <v/>
      </c>
      <c r="T75" s="36" t="str">
        <f aca="false">IF(A75="","",MOD(MONTH(A75)-FYStart,12)+1)</f>
        <v/>
      </c>
      <c r="U75" s="37" t="str">
        <f aca="false">IF(A75="","",TEXT(A75,"mmm"))</f>
        <v/>
      </c>
      <c r="V75" s="37" t="str">
        <f aca="false">IF(Q75="","",IFERROR(INDEX(Settings!$I$11:$I$15,MATCH(Q75,Settings!$H$11:$H$15,0)),"No"))</f>
        <v/>
      </c>
      <c r="W75" s="37" t="str">
        <f aca="false">IF(Q75="","",IFERROR(INDEX(Settings!$J$11:$J$15,MATCH(Q75,Settings!$H$11:$H$15,0)),"No"))</f>
        <v/>
      </c>
    </row>
    <row r="76" customFormat="false" ht="15" hidden="false" customHeight="false" outlineLevel="0" collapsed="false">
      <c r="A76" s="30"/>
      <c r="B76" s="25"/>
      <c r="C76" s="25"/>
      <c r="D76" s="25"/>
      <c r="E76" s="25"/>
      <c r="F76" s="25"/>
      <c r="G76" s="25"/>
      <c r="H76" s="31"/>
      <c r="I76" s="32"/>
      <c r="J76" s="33"/>
      <c r="K76" s="34" t="str">
        <f aca="false">IF(OR(H76="",I76=""),"",H76*I76*(1-N(J76)))</f>
        <v/>
      </c>
      <c r="L76" s="32"/>
      <c r="M76" s="34" t="str">
        <f aca="false">IF(OR(H76="",L76=""),"",H76*L76)</f>
        <v/>
      </c>
      <c r="N76" s="34" t="str">
        <f aca="false">IF(OR(K76="",M76=""),"",K76-M76)</f>
        <v/>
      </c>
      <c r="O76" s="35" t="str">
        <f aca="false">IF(OR(N76="",K76=""),"",IF(K76=0,"",N76/K76))</f>
        <v/>
      </c>
      <c r="P76" s="25"/>
      <c r="Q76" s="25"/>
      <c r="R76" s="25"/>
      <c r="S76" s="36" t="str">
        <f aca="false">IF(A76="","",YEAR(A76)+IF(AND(FYStart&gt;1,MONTH(A76)&gt;=FYStart),1,0))</f>
        <v/>
      </c>
      <c r="T76" s="36" t="str">
        <f aca="false">IF(A76="","",MOD(MONTH(A76)-FYStart,12)+1)</f>
        <v/>
      </c>
      <c r="U76" s="37" t="str">
        <f aca="false">IF(A76="","",TEXT(A76,"mmm"))</f>
        <v/>
      </c>
      <c r="V76" s="37" t="str">
        <f aca="false">IF(Q76="","",IFERROR(INDEX(Settings!$I$11:$I$15,MATCH(Q76,Settings!$H$11:$H$15,0)),"No"))</f>
        <v/>
      </c>
      <c r="W76" s="37" t="str">
        <f aca="false">IF(Q76="","",IFERROR(INDEX(Settings!$J$11:$J$15,MATCH(Q76,Settings!$H$11:$H$15,0)),"No"))</f>
        <v/>
      </c>
    </row>
    <row r="77" customFormat="false" ht="15" hidden="false" customHeight="false" outlineLevel="0" collapsed="false">
      <c r="A77" s="30"/>
      <c r="B77" s="25"/>
      <c r="C77" s="25"/>
      <c r="D77" s="25"/>
      <c r="E77" s="25"/>
      <c r="F77" s="25"/>
      <c r="G77" s="25"/>
      <c r="H77" s="31"/>
      <c r="I77" s="32"/>
      <c r="J77" s="33"/>
      <c r="K77" s="34" t="str">
        <f aca="false">IF(OR(H77="",I77=""),"",H77*I77*(1-N(J77)))</f>
        <v/>
      </c>
      <c r="L77" s="32"/>
      <c r="M77" s="34" t="str">
        <f aca="false">IF(OR(H77="",L77=""),"",H77*L77)</f>
        <v/>
      </c>
      <c r="N77" s="34" t="str">
        <f aca="false">IF(OR(K77="",M77=""),"",K77-M77)</f>
        <v/>
      </c>
      <c r="O77" s="35" t="str">
        <f aca="false">IF(OR(N77="",K77=""),"",IF(K77=0,"",N77/K77))</f>
        <v/>
      </c>
      <c r="P77" s="25"/>
      <c r="Q77" s="25"/>
      <c r="R77" s="25"/>
      <c r="S77" s="36" t="str">
        <f aca="false">IF(A77="","",YEAR(A77)+IF(AND(FYStart&gt;1,MONTH(A77)&gt;=FYStart),1,0))</f>
        <v/>
      </c>
      <c r="T77" s="36" t="str">
        <f aca="false">IF(A77="","",MOD(MONTH(A77)-FYStart,12)+1)</f>
        <v/>
      </c>
      <c r="U77" s="37" t="str">
        <f aca="false">IF(A77="","",TEXT(A77,"mmm"))</f>
        <v/>
      </c>
      <c r="V77" s="37" t="str">
        <f aca="false">IF(Q77="","",IFERROR(INDEX(Settings!$I$11:$I$15,MATCH(Q77,Settings!$H$11:$H$15,0)),"No"))</f>
        <v/>
      </c>
      <c r="W77" s="37" t="str">
        <f aca="false">IF(Q77="","",IFERROR(INDEX(Settings!$J$11:$J$15,MATCH(Q77,Settings!$H$11:$H$15,0)),"No"))</f>
        <v/>
      </c>
    </row>
    <row r="78" customFormat="false" ht="15" hidden="false" customHeight="false" outlineLevel="0" collapsed="false">
      <c r="A78" s="30"/>
      <c r="B78" s="25"/>
      <c r="C78" s="25"/>
      <c r="D78" s="25"/>
      <c r="E78" s="25"/>
      <c r="F78" s="25"/>
      <c r="G78" s="25"/>
      <c r="H78" s="31"/>
      <c r="I78" s="32"/>
      <c r="J78" s="33"/>
      <c r="K78" s="34" t="str">
        <f aca="false">IF(OR(H78="",I78=""),"",H78*I78*(1-N(J78)))</f>
        <v/>
      </c>
      <c r="L78" s="32"/>
      <c r="M78" s="34" t="str">
        <f aca="false">IF(OR(H78="",L78=""),"",H78*L78)</f>
        <v/>
      </c>
      <c r="N78" s="34" t="str">
        <f aca="false">IF(OR(K78="",M78=""),"",K78-M78)</f>
        <v/>
      </c>
      <c r="O78" s="35" t="str">
        <f aca="false">IF(OR(N78="",K78=""),"",IF(K78=0,"",N78/K78))</f>
        <v/>
      </c>
      <c r="P78" s="25"/>
      <c r="Q78" s="25"/>
      <c r="R78" s="25"/>
      <c r="S78" s="36" t="str">
        <f aca="false">IF(A78="","",YEAR(A78)+IF(AND(FYStart&gt;1,MONTH(A78)&gt;=FYStart),1,0))</f>
        <v/>
      </c>
      <c r="T78" s="36" t="str">
        <f aca="false">IF(A78="","",MOD(MONTH(A78)-FYStart,12)+1)</f>
        <v/>
      </c>
      <c r="U78" s="37" t="str">
        <f aca="false">IF(A78="","",TEXT(A78,"mmm"))</f>
        <v/>
      </c>
      <c r="V78" s="37" t="str">
        <f aca="false">IF(Q78="","",IFERROR(INDEX(Settings!$I$11:$I$15,MATCH(Q78,Settings!$H$11:$H$15,0)),"No"))</f>
        <v/>
      </c>
      <c r="W78" s="37" t="str">
        <f aca="false">IF(Q78="","",IFERROR(INDEX(Settings!$J$11:$J$15,MATCH(Q78,Settings!$H$11:$H$15,0)),"No"))</f>
        <v/>
      </c>
    </row>
    <row r="79" customFormat="false" ht="15" hidden="false" customHeight="false" outlineLevel="0" collapsed="false">
      <c r="A79" s="30"/>
      <c r="B79" s="25"/>
      <c r="C79" s="25"/>
      <c r="D79" s="25"/>
      <c r="E79" s="25"/>
      <c r="F79" s="25"/>
      <c r="G79" s="25"/>
      <c r="H79" s="31"/>
      <c r="I79" s="32"/>
      <c r="J79" s="33"/>
      <c r="K79" s="34" t="str">
        <f aca="false">IF(OR(H79="",I79=""),"",H79*I79*(1-N(J79)))</f>
        <v/>
      </c>
      <c r="L79" s="32"/>
      <c r="M79" s="34" t="str">
        <f aca="false">IF(OR(H79="",L79=""),"",H79*L79)</f>
        <v/>
      </c>
      <c r="N79" s="34" t="str">
        <f aca="false">IF(OR(K79="",M79=""),"",K79-M79)</f>
        <v/>
      </c>
      <c r="O79" s="35" t="str">
        <f aca="false">IF(OR(N79="",K79=""),"",IF(K79=0,"",N79/K79))</f>
        <v/>
      </c>
      <c r="P79" s="25"/>
      <c r="Q79" s="25"/>
      <c r="R79" s="25"/>
      <c r="S79" s="36" t="str">
        <f aca="false">IF(A79="","",YEAR(A79)+IF(AND(FYStart&gt;1,MONTH(A79)&gt;=FYStart),1,0))</f>
        <v/>
      </c>
      <c r="T79" s="36" t="str">
        <f aca="false">IF(A79="","",MOD(MONTH(A79)-FYStart,12)+1)</f>
        <v/>
      </c>
      <c r="U79" s="37" t="str">
        <f aca="false">IF(A79="","",TEXT(A79,"mmm"))</f>
        <v/>
      </c>
      <c r="V79" s="37" t="str">
        <f aca="false">IF(Q79="","",IFERROR(INDEX(Settings!$I$11:$I$15,MATCH(Q79,Settings!$H$11:$H$15,0)),"No"))</f>
        <v/>
      </c>
      <c r="W79" s="37" t="str">
        <f aca="false">IF(Q79="","",IFERROR(INDEX(Settings!$J$11:$J$15,MATCH(Q79,Settings!$H$11:$H$15,0)),"No"))</f>
        <v/>
      </c>
    </row>
    <row r="80" customFormat="false" ht="15" hidden="false" customHeight="false" outlineLevel="0" collapsed="false">
      <c r="A80" s="30"/>
      <c r="B80" s="25"/>
      <c r="C80" s="25"/>
      <c r="D80" s="25"/>
      <c r="E80" s="25"/>
      <c r="F80" s="25"/>
      <c r="G80" s="25"/>
      <c r="H80" s="31"/>
      <c r="I80" s="32"/>
      <c r="J80" s="33"/>
      <c r="K80" s="34" t="str">
        <f aca="false">IF(OR(H80="",I80=""),"",H80*I80*(1-N(J80)))</f>
        <v/>
      </c>
      <c r="L80" s="32"/>
      <c r="M80" s="34" t="str">
        <f aca="false">IF(OR(H80="",L80=""),"",H80*L80)</f>
        <v/>
      </c>
      <c r="N80" s="34" t="str">
        <f aca="false">IF(OR(K80="",M80=""),"",K80-M80)</f>
        <v/>
      </c>
      <c r="O80" s="35" t="str">
        <f aca="false">IF(OR(N80="",K80=""),"",IF(K80=0,"",N80/K80))</f>
        <v/>
      </c>
      <c r="P80" s="25"/>
      <c r="Q80" s="25"/>
      <c r="R80" s="25"/>
      <c r="S80" s="36" t="str">
        <f aca="false">IF(A80="","",YEAR(A80)+IF(AND(FYStart&gt;1,MONTH(A80)&gt;=FYStart),1,0))</f>
        <v/>
      </c>
      <c r="T80" s="36" t="str">
        <f aca="false">IF(A80="","",MOD(MONTH(A80)-FYStart,12)+1)</f>
        <v/>
      </c>
      <c r="U80" s="37" t="str">
        <f aca="false">IF(A80="","",TEXT(A80,"mmm"))</f>
        <v/>
      </c>
      <c r="V80" s="37" t="str">
        <f aca="false">IF(Q80="","",IFERROR(INDEX(Settings!$I$11:$I$15,MATCH(Q80,Settings!$H$11:$H$15,0)),"No"))</f>
        <v/>
      </c>
      <c r="W80" s="37" t="str">
        <f aca="false">IF(Q80="","",IFERROR(INDEX(Settings!$J$11:$J$15,MATCH(Q80,Settings!$H$11:$H$15,0)),"No"))</f>
        <v/>
      </c>
    </row>
    <row r="81" customFormat="false" ht="15" hidden="false" customHeight="false" outlineLevel="0" collapsed="false">
      <c r="A81" s="30"/>
      <c r="B81" s="25"/>
      <c r="C81" s="25"/>
      <c r="D81" s="25"/>
      <c r="E81" s="25"/>
      <c r="F81" s="25"/>
      <c r="G81" s="25"/>
      <c r="H81" s="31"/>
      <c r="I81" s="32"/>
      <c r="J81" s="33"/>
      <c r="K81" s="34" t="str">
        <f aca="false">IF(OR(H81="",I81=""),"",H81*I81*(1-N(J81)))</f>
        <v/>
      </c>
      <c r="L81" s="32"/>
      <c r="M81" s="34" t="str">
        <f aca="false">IF(OR(H81="",L81=""),"",H81*L81)</f>
        <v/>
      </c>
      <c r="N81" s="34" t="str">
        <f aca="false">IF(OR(K81="",M81=""),"",K81-M81)</f>
        <v/>
      </c>
      <c r="O81" s="35" t="str">
        <f aca="false">IF(OR(N81="",K81=""),"",IF(K81=0,"",N81/K81))</f>
        <v/>
      </c>
      <c r="P81" s="25"/>
      <c r="Q81" s="25"/>
      <c r="R81" s="25"/>
      <c r="S81" s="36" t="str">
        <f aca="false">IF(A81="","",YEAR(A81)+IF(AND(FYStart&gt;1,MONTH(A81)&gt;=FYStart),1,0))</f>
        <v/>
      </c>
      <c r="T81" s="36" t="str">
        <f aca="false">IF(A81="","",MOD(MONTH(A81)-FYStart,12)+1)</f>
        <v/>
      </c>
      <c r="U81" s="37" t="str">
        <f aca="false">IF(A81="","",TEXT(A81,"mmm"))</f>
        <v/>
      </c>
      <c r="V81" s="37" t="str">
        <f aca="false">IF(Q81="","",IFERROR(INDEX(Settings!$I$11:$I$15,MATCH(Q81,Settings!$H$11:$H$15,0)),"No"))</f>
        <v/>
      </c>
      <c r="W81" s="37" t="str">
        <f aca="false">IF(Q81="","",IFERROR(INDEX(Settings!$J$11:$J$15,MATCH(Q81,Settings!$H$11:$H$15,0)),"No"))</f>
        <v/>
      </c>
    </row>
    <row r="82" customFormat="false" ht="15" hidden="false" customHeight="false" outlineLevel="0" collapsed="false">
      <c r="A82" s="30"/>
      <c r="B82" s="25"/>
      <c r="C82" s="25"/>
      <c r="D82" s="25"/>
      <c r="E82" s="25"/>
      <c r="F82" s="25"/>
      <c r="G82" s="25"/>
      <c r="H82" s="31"/>
      <c r="I82" s="32"/>
      <c r="J82" s="33"/>
      <c r="K82" s="34" t="str">
        <f aca="false">IF(OR(H82="",I82=""),"",H82*I82*(1-N(J82)))</f>
        <v/>
      </c>
      <c r="L82" s="32"/>
      <c r="M82" s="34" t="str">
        <f aca="false">IF(OR(H82="",L82=""),"",H82*L82)</f>
        <v/>
      </c>
      <c r="N82" s="34" t="str">
        <f aca="false">IF(OR(K82="",M82=""),"",K82-M82)</f>
        <v/>
      </c>
      <c r="O82" s="35" t="str">
        <f aca="false">IF(OR(N82="",K82=""),"",IF(K82=0,"",N82/K82))</f>
        <v/>
      </c>
      <c r="P82" s="25"/>
      <c r="Q82" s="25"/>
      <c r="R82" s="25"/>
      <c r="S82" s="36" t="str">
        <f aca="false">IF(A82="","",YEAR(A82)+IF(AND(FYStart&gt;1,MONTH(A82)&gt;=FYStart),1,0))</f>
        <v/>
      </c>
      <c r="T82" s="36" t="str">
        <f aca="false">IF(A82="","",MOD(MONTH(A82)-FYStart,12)+1)</f>
        <v/>
      </c>
      <c r="U82" s="37" t="str">
        <f aca="false">IF(A82="","",TEXT(A82,"mmm"))</f>
        <v/>
      </c>
      <c r="V82" s="37" t="str">
        <f aca="false">IF(Q82="","",IFERROR(INDEX(Settings!$I$11:$I$15,MATCH(Q82,Settings!$H$11:$H$15,0)),"No"))</f>
        <v/>
      </c>
      <c r="W82" s="37" t="str">
        <f aca="false">IF(Q82="","",IFERROR(INDEX(Settings!$J$11:$J$15,MATCH(Q82,Settings!$H$11:$H$15,0)),"No"))</f>
        <v/>
      </c>
    </row>
    <row r="83" customFormat="false" ht="15" hidden="false" customHeight="false" outlineLevel="0" collapsed="false">
      <c r="A83" s="30"/>
      <c r="B83" s="25"/>
      <c r="C83" s="25"/>
      <c r="D83" s="25"/>
      <c r="E83" s="25"/>
      <c r="F83" s="25"/>
      <c r="G83" s="25"/>
      <c r="H83" s="31"/>
      <c r="I83" s="32"/>
      <c r="J83" s="33"/>
      <c r="K83" s="34" t="str">
        <f aca="false">IF(OR(H83="",I83=""),"",H83*I83*(1-N(J83)))</f>
        <v/>
      </c>
      <c r="L83" s="32"/>
      <c r="M83" s="34" t="str">
        <f aca="false">IF(OR(H83="",L83=""),"",H83*L83)</f>
        <v/>
      </c>
      <c r="N83" s="34" t="str">
        <f aca="false">IF(OR(K83="",M83=""),"",K83-M83)</f>
        <v/>
      </c>
      <c r="O83" s="35" t="str">
        <f aca="false">IF(OR(N83="",K83=""),"",IF(K83=0,"",N83/K83))</f>
        <v/>
      </c>
      <c r="P83" s="25"/>
      <c r="Q83" s="25"/>
      <c r="R83" s="25"/>
      <c r="S83" s="36" t="str">
        <f aca="false">IF(A83="","",YEAR(A83)+IF(AND(FYStart&gt;1,MONTH(A83)&gt;=FYStart),1,0))</f>
        <v/>
      </c>
      <c r="T83" s="36" t="str">
        <f aca="false">IF(A83="","",MOD(MONTH(A83)-FYStart,12)+1)</f>
        <v/>
      </c>
      <c r="U83" s="37" t="str">
        <f aca="false">IF(A83="","",TEXT(A83,"mmm"))</f>
        <v/>
      </c>
      <c r="V83" s="37" t="str">
        <f aca="false">IF(Q83="","",IFERROR(INDEX(Settings!$I$11:$I$15,MATCH(Q83,Settings!$H$11:$H$15,0)),"No"))</f>
        <v/>
      </c>
      <c r="W83" s="37" t="str">
        <f aca="false">IF(Q83="","",IFERROR(INDEX(Settings!$J$11:$J$15,MATCH(Q83,Settings!$H$11:$H$15,0)),"No"))</f>
        <v/>
      </c>
    </row>
    <row r="84" customFormat="false" ht="15" hidden="false" customHeight="false" outlineLevel="0" collapsed="false">
      <c r="A84" s="30"/>
      <c r="B84" s="25"/>
      <c r="C84" s="25"/>
      <c r="D84" s="25"/>
      <c r="E84" s="25"/>
      <c r="F84" s="25"/>
      <c r="G84" s="25"/>
      <c r="H84" s="31"/>
      <c r="I84" s="32"/>
      <c r="J84" s="33"/>
      <c r="K84" s="34" t="str">
        <f aca="false">IF(OR(H84="",I84=""),"",H84*I84*(1-N(J84)))</f>
        <v/>
      </c>
      <c r="L84" s="32"/>
      <c r="M84" s="34" t="str">
        <f aca="false">IF(OR(H84="",L84=""),"",H84*L84)</f>
        <v/>
      </c>
      <c r="N84" s="34" t="str">
        <f aca="false">IF(OR(K84="",M84=""),"",K84-M84)</f>
        <v/>
      </c>
      <c r="O84" s="35" t="str">
        <f aca="false">IF(OR(N84="",K84=""),"",IF(K84=0,"",N84/K84))</f>
        <v/>
      </c>
      <c r="P84" s="25"/>
      <c r="Q84" s="25"/>
      <c r="R84" s="25"/>
      <c r="S84" s="36" t="str">
        <f aca="false">IF(A84="","",YEAR(A84)+IF(AND(FYStart&gt;1,MONTH(A84)&gt;=FYStart),1,0))</f>
        <v/>
      </c>
      <c r="T84" s="36" t="str">
        <f aca="false">IF(A84="","",MOD(MONTH(A84)-FYStart,12)+1)</f>
        <v/>
      </c>
      <c r="U84" s="37" t="str">
        <f aca="false">IF(A84="","",TEXT(A84,"mmm"))</f>
        <v/>
      </c>
      <c r="V84" s="37" t="str">
        <f aca="false">IF(Q84="","",IFERROR(INDEX(Settings!$I$11:$I$15,MATCH(Q84,Settings!$H$11:$H$15,0)),"No"))</f>
        <v/>
      </c>
      <c r="W84" s="37" t="str">
        <f aca="false">IF(Q84="","",IFERROR(INDEX(Settings!$J$11:$J$15,MATCH(Q84,Settings!$H$11:$H$15,0)),"No"))</f>
        <v/>
      </c>
    </row>
    <row r="85" customFormat="false" ht="15" hidden="false" customHeight="false" outlineLevel="0" collapsed="false">
      <c r="A85" s="30"/>
      <c r="B85" s="25"/>
      <c r="C85" s="25"/>
      <c r="D85" s="25"/>
      <c r="E85" s="25"/>
      <c r="F85" s="25"/>
      <c r="G85" s="25"/>
      <c r="H85" s="31"/>
      <c r="I85" s="32"/>
      <c r="J85" s="33"/>
      <c r="K85" s="34" t="str">
        <f aca="false">IF(OR(H85="",I85=""),"",H85*I85*(1-N(J85)))</f>
        <v/>
      </c>
      <c r="L85" s="32"/>
      <c r="M85" s="34" t="str">
        <f aca="false">IF(OR(H85="",L85=""),"",H85*L85)</f>
        <v/>
      </c>
      <c r="N85" s="34" t="str">
        <f aca="false">IF(OR(K85="",M85=""),"",K85-M85)</f>
        <v/>
      </c>
      <c r="O85" s="35" t="str">
        <f aca="false">IF(OR(N85="",K85=""),"",IF(K85=0,"",N85/K85))</f>
        <v/>
      </c>
      <c r="P85" s="25"/>
      <c r="Q85" s="25"/>
      <c r="R85" s="25"/>
      <c r="S85" s="36" t="str">
        <f aca="false">IF(A85="","",YEAR(A85)+IF(AND(FYStart&gt;1,MONTH(A85)&gt;=FYStart),1,0))</f>
        <v/>
      </c>
      <c r="T85" s="36" t="str">
        <f aca="false">IF(A85="","",MOD(MONTH(A85)-FYStart,12)+1)</f>
        <v/>
      </c>
      <c r="U85" s="37" t="str">
        <f aca="false">IF(A85="","",TEXT(A85,"mmm"))</f>
        <v/>
      </c>
      <c r="V85" s="37" t="str">
        <f aca="false">IF(Q85="","",IFERROR(INDEX(Settings!$I$11:$I$15,MATCH(Q85,Settings!$H$11:$H$15,0)),"No"))</f>
        <v/>
      </c>
      <c r="W85" s="37" t="str">
        <f aca="false">IF(Q85="","",IFERROR(INDEX(Settings!$J$11:$J$15,MATCH(Q85,Settings!$H$11:$H$15,0)),"No"))</f>
        <v/>
      </c>
    </row>
    <row r="86" customFormat="false" ht="15" hidden="false" customHeight="false" outlineLevel="0" collapsed="false">
      <c r="A86" s="30"/>
      <c r="B86" s="25"/>
      <c r="C86" s="25"/>
      <c r="D86" s="25"/>
      <c r="E86" s="25"/>
      <c r="F86" s="25"/>
      <c r="G86" s="25"/>
      <c r="H86" s="31"/>
      <c r="I86" s="32"/>
      <c r="J86" s="33"/>
      <c r="K86" s="34" t="str">
        <f aca="false">IF(OR(H86="",I86=""),"",H86*I86*(1-N(J86)))</f>
        <v/>
      </c>
      <c r="L86" s="32"/>
      <c r="M86" s="34" t="str">
        <f aca="false">IF(OR(H86="",L86=""),"",H86*L86)</f>
        <v/>
      </c>
      <c r="N86" s="34" t="str">
        <f aca="false">IF(OR(K86="",M86=""),"",K86-M86)</f>
        <v/>
      </c>
      <c r="O86" s="35" t="str">
        <f aca="false">IF(OR(N86="",K86=""),"",IF(K86=0,"",N86/K86))</f>
        <v/>
      </c>
      <c r="P86" s="25"/>
      <c r="Q86" s="25"/>
      <c r="R86" s="25"/>
      <c r="S86" s="36" t="str">
        <f aca="false">IF(A86="","",YEAR(A86)+IF(AND(FYStart&gt;1,MONTH(A86)&gt;=FYStart),1,0))</f>
        <v/>
      </c>
      <c r="T86" s="36" t="str">
        <f aca="false">IF(A86="","",MOD(MONTH(A86)-FYStart,12)+1)</f>
        <v/>
      </c>
      <c r="U86" s="37" t="str">
        <f aca="false">IF(A86="","",TEXT(A86,"mmm"))</f>
        <v/>
      </c>
      <c r="V86" s="37" t="str">
        <f aca="false">IF(Q86="","",IFERROR(INDEX(Settings!$I$11:$I$15,MATCH(Q86,Settings!$H$11:$H$15,0)),"No"))</f>
        <v/>
      </c>
      <c r="W86" s="37" t="str">
        <f aca="false">IF(Q86="","",IFERROR(INDEX(Settings!$J$11:$J$15,MATCH(Q86,Settings!$H$11:$H$15,0)),"No"))</f>
        <v/>
      </c>
    </row>
    <row r="87" customFormat="false" ht="15" hidden="false" customHeight="false" outlineLevel="0" collapsed="false">
      <c r="A87" s="30"/>
      <c r="B87" s="25"/>
      <c r="C87" s="25"/>
      <c r="D87" s="25"/>
      <c r="E87" s="25"/>
      <c r="F87" s="25"/>
      <c r="G87" s="25"/>
      <c r="H87" s="31"/>
      <c r="I87" s="32"/>
      <c r="J87" s="33"/>
      <c r="K87" s="34" t="str">
        <f aca="false">IF(OR(H87="",I87=""),"",H87*I87*(1-N(J87)))</f>
        <v/>
      </c>
      <c r="L87" s="32"/>
      <c r="M87" s="34" t="str">
        <f aca="false">IF(OR(H87="",L87=""),"",H87*L87)</f>
        <v/>
      </c>
      <c r="N87" s="34" t="str">
        <f aca="false">IF(OR(K87="",M87=""),"",K87-M87)</f>
        <v/>
      </c>
      <c r="O87" s="35" t="str">
        <f aca="false">IF(OR(N87="",K87=""),"",IF(K87=0,"",N87/K87))</f>
        <v/>
      </c>
      <c r="P87" s="25"/>
      <c r="Q87" s="25"/>
      <c r="R87" s="25"/>
      <c r="S87" s="36" t="str">
        <f aca="false">IF(A87="","",YEAR(A87)+IF(AND(FYStart&gt;1,MONTH(A87)&gt;=FYStart),1,0))</f>
        <v/>
      </c>
      <c r="T87" s="36" t="str">
        <f aca="false">IF(A87="","",MOD(MONTH(A87)-FYStart,12)+1)</f>
        <v/>
      </c>
      <c r="U87" s="37" t="str">
        <f aca="false">IF(A87="","",TEXT(A87,"mmm"))</f>
        <v/>
      </c>
      <c r="V87" s="37" t="str">
        <f aca="false">IF(Q87="","",IFERROR(INDEX(Settings!$I$11:$I$15,MATCH(Q87,Settings!$H$11:$H$15,0)),"No"))</f>
        <v/>
      </c>
      <c r="W87" s="37" t="str">
        <f aca="false">IF(Q87="","",IFERROR(INDEX(Settings!$J$11:$J$15,MATCH(Q87,Settings!$H$11:$H$15,0)),"No"))</f>
        <v/>
      </c>
    </row>
    <row r="88" customFormat="false" ht="15" hidden="false" customHeight="false" outlineLevel="0" collapsed="false">
      <c r="A88" s="30"/>
      <c r="B88" s="25"/>
      <c r="C88" s="25"/>
      <c r="D88" s="25"/>
      <c r="E88" s="25"/>
      <c r="F88" s="25"/>
      <c r="G88" s="25"/>
      <c r="H88" s="31"/>
      <c r="I88" s="32"/>
      <c r="J88" s="33"/>
      <c r="K88" s="34" t="str">
        <f aca="false">IF(OR(H88="",I88=""),"",H88*I88*(1-N(J88)))</f>
        <v/>
      </c>
      <c r="L88" s="32"/>
      <c r="M88" s="34" t="str">
        <f aca="false">IF(OR(H88="",L88=""),"",H88*L88)</f>
        <v/>
      </c>
      <c r="N88" s="34" t="str">
        <f aca="false">IF(OR(K88="",M88=""),"",K88-M88)</f>
        <v/>
      </c>
      <c r="O88" s="35" t="str">
        <f aca="false">IF(OR(N88="",K88=""),"",IF(K88=0,"",N88/K88))</f>
        <v/>
      </c>
      <c r="P88" s="25"/>
      <c r="Q88" s="25"/>
      <c r="R88" s="25"/>
      <c r="S88" s="36" t="str">
        <f aca="false">IF(A88="","",YEAR(A88)+IF(AND(FYStart&gt;1,MONTH(A88)&gt;=FYStart),1,0))</f>
        <v/>
      </c>
      <c r="T88" s="36" t="str">
        <f aca="false">IF(A88="","",MOD(MONTH(A88)-FYStart,12)+1)</f>
        <v/>
      </c>
      <c r="U88" s="37" t="str">
        <f aca="false">IF(A88="","",TEXT(A88,"mmm"))</f>
        <v/>
      </c>
      <c r="V88" s="37" t="str">
        <f aca="false">IF(Q88="","",IFERROR(INDEX(Settings!$I$11:$I$15,MATCH(Q88,Settings!$H$11:$H$15,0)),"No"))</f>
        <v/>
      </c>
      <c r="W88" s="37" t="str">
        <f aca="false">IF(Q88="","",IFERROR(INDEX(Settings!$J$11:$J$15,MATCH(Q88,Settings!$H$11:$H$15,0)),"No"))</f>
        <v/>
      </c>
    </row>
    <row r="89" customFormat="false" ht="15" hidden="false" customHeight="false" outlineLevel="0" collapsed="false">
      <c r="A89" s="30"/>
      <c r="B89" s="25"/>
      <c r="C89" s="25"/>
      <c r="D89" s="25"/>
      <c r="E89" s="25"/>
      <c r="F89" s="25"/>
      <c r="G89" s="25"/>
      <c r="H89" s="31"/>
      <c r="I89" s="32"/>
      <c r="J89" s="33"/>
      <c r="K89" s="34" t="str">
        <f aca="false">IF(OR(H89="",I89=""),"",H89*I89*(1-N(J89)))</f>
        <v/>
      </c>
      <c r="L89" s="32"/>
      <c r="M89" s="34" t="str">
        <f aca="false">IF(OR(H89="",L89=""),"",H89*L89)</f>
        <v/>
      </c>
      <c r="N89" s="34" t="str">
        <f aca="false">IF(OR(K89="",M89=""),"",K89-M89)</f>
        <v/>
      </c>
      <c r="O89" s="35" t="str">
        <f aca="false">IF(OR(N89="",K89=""),"",IF(K89=0,"",N89/K89))</f>
        <v/>
      </c>
      <c r="P89" s="25"/>
      <c r="Q89" s="25"/>
      <c r="R89" s="25"/>
      <c r="S89" s="36" t="str">
        <f aca="false">IF(A89="","",YEAR(A89)+IF(AND(FYStart&gt;1,MONTH(A89)&gt;=FYStart),1,0))</f>
        <v/>
      </c>
      <c r="T89" s="36" t="str">
        <f aca="false">IF(A89="","",MOD(MONTH(A89)-FYStart,12)+1)</f>
        <v/>
      </c>
      <c r="U89" s="37" t="str">
        <f aca="false">IF(A89="","",TEXT(A89,"mmm"))</f>
        <v/>
      </c>
      <c r="V89" s="37" t="str">
        <f aca="false">IF(Q89="","",IFERROR(INDEX(Settings!$I$11:$I$15,MATCH(Q89,Settings!$H$11:$H$15,0)),"No"))</f>
        <v/>
      </c>
      <c r="W89" s="37" t="str">
        <f aca="false">IF(Q89="","",IFERROR(INDEX(Settings!$J$11:$J$15,MATCH(Q89,Settings!$H$11:$H$15,0)),"No"))</f>
        <v/>
      </c>
    </row>
    <row r="90" customFormat="false" ht="15" hidden="false" customHeight="false" outlineLevel="0" collapsed="false">
      <c r="A90" s="30"/>
      <c r="B90" s="25"/>
      <c r="C90" s="25"/>
      <c r="D90" s="25"/>
      <c r="E90" s="25"/>
      <c r="F90" s="25"/>
      <c r="G90" s="25"/>
      <c r="H90" s="31"/>
      <c r="I90" s="32"/>
      <c r="J90" s="33"/>
      <c r="K90" s="34" t="str">
        <f aca="false">IF(OR(H90="",I90=""),"",H90*I90*(1-N(J90)))</f>
        <v/>
      </c>
      <c r="L90" s="32"/>
      <c r="M90" s="34" t="str">
        <f aca="false">IF(OR(H90="",L90=""),"",H90*L90)</f>
        <v/>
      </c>
      <c r="N90" s="34" t="str">
        <f aca="false">IF(OR(K90="",M90=""),"",K90-M90)</f>
        <v/>
      </c>
      <c r="O90" s="35" t="str">
        <f aca="false">IF(OR(N90="",K90=""),"",IF(K90=0,"",N90/K90))</f>
        <v/>
      </c>
      <c r="P90" s="25"/>
      <c r="Q90" s="25"/>
      <c r="R90" s="25"/>
      <c r="S90" s="36" t="str">
        <f aca="false">IF(A90="","",YEAR(A90)+IF(AND(FYStart&gt;1,MONTH(A90)&gt;=FYStart),1,0))</f>
        <v/>
      </c>
      <c r="T90" s="36" t="str">
        <f aca="false">IF(A90="","",MOD(MONTH(A90)-FYStart,12)+1)</f>
        <v/>
      </c>
      <c r="U90" s="37" t="str">
        <f aca="false">IF(A90="","",TEXT(A90,"mmm"))</f>
        <v/>
      </c>
      <c r="V90" s="37" t="str">
        <f aca="false">IF(Q90="","",IFERROR(INDEX(Settings!$I$11:$I$15,MATCH(Q90,Settings!$H$11:$H$15,0)),"No"))</f>
        <v/>
      </c>
      <c r="W90" s="37" t="str">
        <f aca="false">IF(Q90="","",IFERROR(INDEX(Settings!$J$11:$J$15,MATCH(Q90,Settings!$H$11:$H$15,0)),"No"))</f>
        <v/>
      </c>
    </row>
    <row r="91" customFormat="false" ht="15" hidden="false" customHeight="false" outlineLevel="0" collapsed="false">
      <c r="A91" s="30"/>
      <c r="B91" s="25"/>
      <c r="C91" s="25"/>
      <c r="D91" s="25"/>
      <c r="E91" s="25"/>
      <c r="F91" s="25"/>
      <c r="G91" s="25"/>
      <c r="H91" s="31"/>
      <c r="I91" s="32"/>
      <c r="J91" s="33"/>
      <c r="K91" s="34" t="str">
        <f aca="false">IF(OR(H91="",I91=""),"",H91*I91*(1-N(J91)))</f>
        <v/>
      </c>
      <c r="L91" s="32"/>
      <c r="M91" s="34" t="str">
        <f aca="false">IF(OR(H91="",L91=""),"",H91*L91)</f>
        <v/>
      </c>
      <c r="N91" s="34" t="str">
        <f aca="false">IF(OR(K91="",M91=""),"",K91-M91)</f>
        <v/>
      </c>
      <c r="O91" s="35" t="str">
        <f aca="false">IF(OR(N91="",K91=""),"",IF(K91=0,"",N91/K91))</f>
        <v/>
      </c>
      <c r="P91" s="25"/>
      <c r="Q91" s="25"/>
      <c r="R91" s="25"/>
      <c r="S91" s="36" t="str">
        <f aca="false">IF(A91="","",YEAR(A91)+IF(AND(FYStart&gt;1,MONTH(A91)&gt;=FYStart),1,0))</f>
        <v/>
      </c>
      <c r="T91" s="36" t="str">
        <f aca="false">IF(A91="","",MOD(MONTH(A91)-FYStart,12)+1)</f>
        <v/>
      </c>
      <c r="U91" s="37" t="str">
        <f aca="false">IF(A91="","",TEXT(A91,"mmm"))</f>
        <v/>
      </c>
      <c r="V91" s="37" t="str">
        <f aca="false">IF(Q91="","",IFERROR(INDEX(Settings!$I$11:$I$15,MATCH(Q91,Settings!$H$11:$H$15,0)),"No"))</f>
        <v/>
      </c>
      <c r="W91" s="37" t="str">
        <f aca="false">IF(Q91="","",IFERROR(INDEX(Settings!$J$11:$J$15,MATCH(Q91,Settings!$H$11:$H$15,0)),"No"))</f>
        <v/>
      </c>
    </row>
    <row r="92" customFormat="false" ht="15" hidden="false" customHeight="false" outlineLevel="0" collapsed="false">
      <c r="A92" s="30"/>
      <c r="B92" s="25"/>
      <c r="C92" s="25"/>
      <c r="D92" s="25"/>
      <c r="E92" s="25"/>
      <c r="F92" s="25"/>
      <c r="G92" s="25"/>
      <c r="H92" s="31"/>
      <c r="I92" s="32"/>
      <c r="J92" s="33"/>
      <c r="K92" s="34" t="str">
        <f aca="false">IF(OR(H92="",I92=""),"",H92*I92*(1-N(J92)))</f>
        <v/>
      </c>
      <c r="L92" s="32"/>
      <c r="M92" s="34" t="str">
        <f aca="false">IF(OR(H92="",L92=""),"",H92*L92)</f>
        <v/>
      </c>
      <c r="N92" s="34" t="str">
        <f aca="false">IF(OR(K92="",M92=""),"",K92-M92)</f>
        <v/>
      </c>
      <c r="O92" s="35" t="str">
        <f aca="false">IF(OR(N92="",K92=""),"",IF(K92=0,"",N92/K92))</f>
        <v/>
      </c>
      <c r="P92" s="25"/>
      <c r="Q92" s="25"/>
      <c r="R92" s="25"/>
      <c r="S92" s="36" t="str">
        <f aca="false">IF(A92="","",YEAR(A92)+IF(AND(FYStart&gt;1,MONTH(A92)&gt;=FYStart),1,0))</f>
        <v/>
      </c>
      <c r="T92" s="36" t="str">
        <f aca="false">IF(A92="","",MOD(MONTH(A92)-FYStart,12)+1)</f>
        <v/>
      </c>
      <c r="U92" s="37" t="str">
        <f aca="false">IF(A92="","",TEXT(A92,"mmm"))</f>
        <v/>
      </c>
      <c r="V92" s="37" t="str">
        <f aca="false">IF(Q92="","",IFERROR(INDEX(Settings!$I$11:$I$15,MATCH(Q92,Settings!$H$11:$H$15,0)),"No"))</f>
        <v/>
      </c>
      <c r="W92" s="37" t="str">
        <f aca="false">IF(Q92="","",IFERROR(INDEX(Settings!$J$11:$J$15,MATCH(Q92,Settings!$H$11:$H$15,0)),"No"))</f>
        <v/>
      </c>
    </row>
    <row r="93" customFormat="false" ht="15" hidden="false" customHeight="false" outlineLevel="0" collapsed="false">
      <c r="A93" s="30"/>
      <c r="B93" s="25"/>
      <c r="C93" s="25"/>
      <c r="D93" s="25"/>
      <c r="E93" s="25"/>
      <c r="F93" s="25"/>
      <c r="G93" s="25"/>
      <c r="H93" s="31"/>
      <c r="I93" s="32"/>
      <c r="J93" s="33"/>
      <c r="K93" s="34" t="str">
        <f aca="false">IF(OR(H93="",I93=""),"",H93*I93*(1-N(J93)))</f>
        <v/>
      </c>
      <c r="L93" s="32"/>
      <c r="M93" s="34" t="str">
        <f aca="false">IF(OR(H93="",L93=""),"",H93*L93)</f>
        <v/>
      </c>
      <c r="N93" s="34" t="str">
        <f aca="false">IF(OR(K93="",M93=""),"",K93-M93)</f>
        <v/>
      </c>
      <c r="O93" s="35" t="str">
        <f aca="false">IF(OR(N93="",K93=""),"",IF(K93=0,"",N93/K93))</f>
        <v/>
      </c>
      <c r="P93" s="25"/>
      <c r="Q93" s="25"/>
      <c r="R93" s="25"/>
      <c r="S93" s="36" t="str">
        <f aca="false">IF(A93="","",YEAR(A93)+IF(AND(FYStart&gt;1,MONTH(A93)&gt;=FYStart),1,0))</f>
        <v/>
      </c>
      <c r="T93" s="36" t="str">
        <f aca="false">IF(A93="","",MOD(MONTH(A93)-FYStart,12)+1)</f>
        <v/>
      </c>
      <c r="U93" s="37" t="str">
        <f aca="false">IF(A93="","",TEXT(A93,"mmm"))</f>
        <v/>
      </c>
      <c r="V93" s="37" t="str">
        <f aca="false">IF(Q93="","",IFERROR(INDEX(Settings!$I$11:$I$15,MATCH(Q93,Settings!$H$11:$H$15,0)),"No"))</f>
        <v/>
      </c>
      <c r="W93" s="37" t="str">
        <f aca="false">IF(Q93="","",IFERROR(INDEX(Settings!$J$11:$J$15,MATCH(Q93,Settings!$H$11:$H$15,0)),"No"))</f>
        <v/>
      </c>
    </row>
    <row r="94" customFormat="false" ht="15" hidden="false" customHeight="false" outlineLevel="0" collapsed="false">
      <c r="A94" s="30"/>
      <c r="B94" s="25"/>
      <c r="C94" s="25"/>
      <c r="D94" s="25"/>
      <c r="E94" s="25"/>
      <c r="F94" s="25"/>
      <c r="G94" s="25"/>
      <c r="H94" s="31"/>
      <c r="I94" s="32"/>
      <c r="J94" s="33"/>
      <c r="K94" s="34" t="str">
        <f aca="false">IF(OR(H94="",I94=""),"",H94*I94*(1-N(J94)))</f>
        <v/>
      </c>
      <c r="L94" s="32"/>
      <c r="M94" s="34" t="str">
        <f aca="false">IF(OR(H94="",L94=""),"",H94*L94)</f>
        <v/>
      </c>
      <c r="N94" s="34" t="str">
        <f aca="false">IF(OR(K94="",M94=""),"",K94-M94)</f>
        <v/>
      </c>
      <c r="O94" s="35" t="str">
        <f aca="false">IF(OR(N94="",K94=""),"",IF(K94=0,"",N94/K94))</f>
        <v/>
      </c>
      <c r="P94" s="25"/>
      <c r="Q94" s="25"/>
      <c r="R94" s="25"/>
      <c r="S94" s="36" t="str">
        <f aca="false">IF(A94="","",YEAR(A94)+IF(AND(FYStart&gt;1,MONTH(A94)&gt;=FYStart),1,0))</f>
        <v/>
      </c>
      <c r="T94" s="36" t="str">
        <f aca="false">IF(A94="","",MOD(MONTH(A94)-FYStart,12)+1)</f>
        <v/>
      </c>
      <c r="U94" s="37" t="str">
        <f aca="false">IF(A94="","",TEXT(A94,"mmm"))</f>
        <v/>
      </c>
      <c r="V94" s="37" t="str">
        <f aca="false">IF(Q94="","",IFERROR(INDEX(Settings!$I$11:$I$15,MATCH(Q94,Settings!$H$11:$H$15,0)),"No"))</f>
        <v/>
      </c>
      <c r="W94" s="37" t="str">
        <f aca="false">IF(Q94="","",IFERROR(INDEX(Settings!$J$11:$J$15,MATCH(Q94,Settings!$H$11:$H$15,0)),"No"))</f>
        <v/>
      </c>
    </row>
    <row r="95" customFormat="false" ht="15" hidden="false" customHeight="false" outlineLevel="0" collapsed="false">
      <c r="A95" s="30"/>
      <c r="B95" s="25"/>
      <c r="C95" s="25"/>
      <c r="D95" s="25"/>
      <c r="E95" s="25"/>
      <c r="F95" s="25"/>
      <c r="G95" s="25"/>
      <c r="H95" s="31"/>
      <c r="I95" s="32"/>
      <c r="J95" s="33"/>
      <c r="K95" s="34" t="str">
        <f aca="false">IF(OR(H95="",I95=""),"",H95*I95*(1-N(J95)))</f>
        <v/>
      </c>
      <c r="L95" s="32"/>
      <c r="M95" s="34" t="str">
        <f aca="false">IF(OR(H95="",L95=""),"",H95*L95)</f>
        <v/>
      </c>
      <c r="N95" s="34" t="str">
        <f aca="false">IF(OR(K95="",M95=""),"",K95-M95)</f>
        <v/>
      </c>
      <c r="O95" s="35" t="str">
        <f aca="false">IF(OR(N95="",K95=""),"",IF(K95=0,"",N95/K95))</f>
        <v/>
      </c>
      <c r="P95" s="25"/>
      <c r="Q95" s="25"/>
      <c r="R95" s="25"/>
      <c r="S95" s="36" t="str">
        <f aca="false">IF(A95="","",YEAR(A95)+IF(AND(FYStart&gt;1,MONTH(A95)&gt;=FYStart),1,0))</f>
        <v/>
      </c>
      <c r="T95" s="36" t="str">
        <f aca="false">IF(A95="","",MOD(MONTH(A95)-FYStart,12)+1)</f>
        <v/>
      </c>
      <c r="U95" s="37" t="str">
        <f aca="false">IF(A95="","",TEXT(A95,"mmm"))</f>
        <v/>
      </c>
      <c r="V95" s="37" t="str">
        <f aca="false">IF(Q95="","",IFERROR(INDEX(Settings!$I$11:$I$15,MATCH(Q95,Settings!$H$11:$H$15,0)),"No"))</f>
        <v/>
      </c>
      <c r="W95" s="37" t="str">
        <f aca="false">IF(Q95="","",IFERROR(INDEX(Settings!$J$11:$J$15,MATCH(Q95,Settings!$H$11:$H$15,0)),"No"))</f>
        <v/>
      </c>
    </row>
    <row r="96" customFormat="false" ht="15" hidden="false" customHeight="false" outlineLevel="0" collapsed="false">
      <c r="A96" s="30"/>
      <c r="B96" s="25"/>
      <c r="C96" s="25"/>
      <c r="D96" s="25"/>
      <c r="E96" s="25"/>
      <c r="F96" s="25"/>
      <c r="G96" s="25"/>
      <c r="H96" s="31"/>
      <c r="I96" s="32"/>
      <c r="J96" s="33"/>
      <c r="K96" s="34" t="str">
        <f aca="false">IF(OR(H96="",I96=""),"",H96*I96*(1-N(J96)))</f>
        <v/>
      </c>
      <c r="L96" s="32"/>
      <c r="M96" s="34" t="str">
        <f aca="false">IF(OR(H96="",L96=""),"",H96*L96)</f>
        <v/>
      </c>
      <c r="N96" s="34" t="str">
        <f aca="false">IF(OR(K96="",M96=""),"",K96-M96)</f>
        <v/>
      </c>
      <c r="O96" s="35" t="str">
        <f aca="false">IF(OR(N96="",K96=""),"",IF(K96=0,"",N96/K96))</f>
        <v/>
      </c>
      <c r="P96" s="25"/>
      <c r="Q96" s="25"/>
      <c r="R96" s="25"/>
      <c r="S96" s="36" t="str">
        <f aca="false">IF(A96="","",YEAR(A96)+IF(AND(FYStart&gt;1,MONTH(A96)&gt;=FYStart),1,0))</f>
        <v/>
      </c>
      <c r="T96" s="36" t="str">
        <f aca="false">IF(A96="","",MOD(MONTH(A96)-FYStart,12)+1)</f>
        <v/>
      </c>
      <c r="U96" s="37" t="str">
        <f aca="false">IF(A96="","",TEXT(A96,"mmm"))</f>
        <v/>
      </c>
      <c r="V96" s="37" t="str">
        <f aca="false">IF(Q96="","",IFERROR(INDEX(Settings!$I$11:$I$15,MATCH(Q96,Settings!$H$11:$H$15,0)),"No"))</f>
        <v/>
      </c>
      <c r="W96" s="37" t="str">
        <f aca="false">IF(Q96="","",IFERROR(INDEX(Settings!$J$11:$J$15,MATCH(Q96,Settings!$H$11:$H$15,0)),"No"))</f>
        <v/>
      </c>
    </row>
    <row r="97" customFormat="false" ht="15" hidden="false" customHeight="false" outlineLevel="0" collapsed="false">
      <c r="A97" s="30"/>
      <c r="B97" s="25"/>
      <c r="C97" s="25"/>
      <c r="D97" s="25"/>
      <c r="E97" s="25"/>
      <c r="F97" s="25"/>
      <c r="G97" s="25"/>
      <c r="H97" s="31"/>
      <c r="I97" s="32"/>
      <c r="J97" s="33"/>
      <c r="K97" s="34" t="str">
        <f aca="false">IF(OR(H97="",I97=""),"",H97*I97*(1-N(J97)))</f>
        <v/>
      </c>
      <c r="L97" s="32"/>
      <c r="M97" s="34" t="str">
        <f aca="false">IF(OR(H97="",L97=""),"",H97*L97)</f>
        <v/>
      </c>
      <c r="N97" s="34" t="str">
        <f aca="false">IF(OR(K97="",M97=""),"",K97-M97)</f>
        <v/>
      </c>
      <c r="O97" s="35" t="str">
        <f aca="false">IF(OR(N97="",K97=""),"",IF(K97=0,"",N97/K97))</f>
        <v/>
      </c>
      <c r="P97" s="25"/>
      <c r="Q97" s="25"/>
      <c r="R97" s="25"/>
      <c r="S97" s="36" t="str">
        <f aca="false">IF(A97="","",YEAR(A97)+IF(AND(FYStart&gt;1,MONTH(A97)&gt;=FYStart),1,0))</f>
        <v/>
      </c>
      <c r="T97" s="36" t="str">
        <f aca="false">IF(A97="","",MOD(MONTH(A97)-FYStart,12)+1)</f>
        <v/>
      </c>
      <c r="U97" s="37" t="str">
        <f aca="false">IF(A97="","",TEXT(A97,"mmm"))</f>
        <v/>
      </c>
      <c r="V97" s="37" t="str">
        <f aca="false">IF(Q97="","",IFERROR(INDEX(Settings!$I$11:$I$15,MATCH(Q97,Settings!$H$11:$H$15,0)),"No"))</f>
        <v/>
      </c>
      <c r="W97" s="37" t="str">
        <f aca="false">IF(Q97="","",IFERROR(INDEX(Settings!$J$11:$J$15,MATCH(Q97,Settings!$H$11:$H$15,0)),"No"))</f>
        <v/>
      </c>
    </row>
    <row r="98" customFormat="false" ht="15" hidden="false" customHeight="false" outlineLevel="0" collapsed="false">
      <c r="A98" s="30"/>
      <c r="B98" s="25"/>
      <c r="C98" s="25"/>
      <c r="D98" s="25"/>
      <c r="E98" s="25"/>
      <c r="F98" s="25"/>
      <c r="G98" s="25"/>
      <c r="H98" s="31"/>
      <c r="I98" s="32"/>
      <c r="J98" s="33"/>
      <c r="K98" s="34" t="str">
        <f aca="false">IF(OR(H98="",I98=""),"",H98*I98*(1-N(J98)))</f>
        <v/>
      </c>
      <c r="L98" s="32"/>
      <c r="M98" s="34" t="str">
        <f aca="false">IF(OR(H98="",L98=""),"",H98*L98)</f>
        <v/>
      </c>
      <c r="N98" s="34" t="str">
        <f aca="false">IF(OR(K98="",M98=""),"",K98-M98)</f>
        <v/>
      </c>
      <c r="O98" s="35" t="str">
        <f aca="false">IF(OR(N98="",K98=""),"",IF(K98=0,"",N98/K98))</f>
        <v/>
      </c>
      <c r="P98" s="25"/>
      <c r="Q98" s="25"/>
      <c r="R98" s="25"/>
      <c r="S98" s="36" t="str">
        <f aca="false">IF(A98="","",YEAR(A98)+IF(AND(FYStart&gt;1,MONTH(A98)&gt;=FYStart),1,0))</f>
        <v/>
      </c>
      <c r="T98" s="36" t="str">
        <f aca="false">IF(A98="","",MOD(MONTH(A98)-FYStart,12)+1)</f>
        <v/>
      </c>
      <c r="U98" s="37" t="str">
        <f aca="false">IF(A98="","",TEXT(A98,"mmm"))</f>
        <v/>
      </c>
      <c r="V98" s="37" t="str">
        <f aca="false">IF(Q98="","",IFERROR(INDEX(Settings!$I$11:$I$15,MATCH(Q98,Settings!$H$11:$H$15,0)),"No"))</f>
        <v/>
      </c>
      <c r="W98" s="37" t="str">
        <f aca="false">IF(Q98="","",IFERROR(INDEX(Settings!$J$11:$J$15,MATCH(Q98,Settings!$H$11:$H$15,0)),"No"))</f>
        <v/>
      </c>
    </row>
    <row r="99" customFormat="false" ht="15" hidden="false" customHeight="false" outlineLevel="0" collapsed="false">
      <c r="A99" s="30"/>
      <c r="B99" s="25"/>
      <c r="C99" s="25"/>
      <c r="D99" s="25"/>
      <c r="E99" s="25"/>
      <c r="F99" s="25"/>
      <c r="G99" s="25"/>
      <c r="H99" s="31"/>
      <c r="I99" s="32"/>
      <c r="J99" s="33"/>
      <c r="K99" s="34" t="str">
        <f aca="false">IF(OR(H99="",I99=""),"",H99*I99*(1-N(J99)))</f>
        <v/>
      </c>
      <c r="L99" s="32"/>
      <c r="M99" s="34" t="str">
        <f aca="false">IF(OR(H99="",L99=""),"",H99*L99)</f>
        <v/>
      </c>
      <c r="N99" s="34" t="str">
        <f aca="false">IF(OR(K99="",M99=""),"",K99-M99)</f>
        <v/>
      </c>
      <c r="O99" s="35" t="str">
        <f aca="false">IF(OR(N99="",K99=""),"",IF(K99=0,"",N99/K99))</f>
        <v/>
      </c>
      <c r="P99" s="25"/>
      <c r="Q99" s="25"/>
      <c r="R99" s="25"/>
      <c r="S99" s="36" t="str">
        <f aca="false">IF(A99="","",YEAR(A99)+IF(AND(FYStart&gt;1,MONTH(A99)&gt;=FYStart),1,0))</f>
        <v/>
      </c>
      <c r="T99" s="36" t="str">
        <f aca="false">IF(A99="","",MOD(MONTH(A99)-FYStart,12)+1)</f>
        <v/>
      </c>
      <c r="U99" s="37" t="str">
        <f aca="false">IF(A99="","",TEXT(A99,"mmm"))</f>
        <v/>
      </c>
      <c r="V99" s="37" t="str">
        <f aca="false">IF(Q99="","",IFERROR(INDEX(Settings!$I$11:$I$15,MATCH(Q99,Settings!$H$11:$H$15,0)),"No"))</f>
        <v/>
      </c>
      <c r="W99" s="37" t="str">
        <f aca="false">IF(Q99="","",IFERROR(INDEX(Settings!$J$11:$J$15,MATCH(Q99,Settings!$H$11:$H$15,0)),"No"))</f>
        <v/>
      </c>
    </row>
    <row r="100" customFormat="false" ht="15" hidden="false" customHeight="false" outlineLevel="0" collapsed="false">
      <c r="A100" s="30"/>
      <c r="B100" s="25"/>
      <c r="C100" s="25"/>
      <c r="D100" s="25"/>
      <c r="E100" s="25"/>
      <c r="F100" s="25"/>
      <c r="G100" s="25"/>
      <c r="H100" s="31"/>
      <c r="I100" s="32"/>
      <c r="J100" s="33"/>
      <c r="K100" s="34" t="str">
        <f aca="false">IF(OR(H100="",I100=""),"",H100*I100*(1-N(J100)))</f>
        <v/>
      </c>
      <c r="L100" s="32"/>
      <c r="M100" s="34" t="str">
        <f aca="false">IF(OR(H100="",L100=""),"",H100*L100)</f>
        <v/>
      </c>
      <c r="N100" s="34" t="str">
        <f aca="false">IF(OR(K100="",M100=""),"",K100-M100)</f>
        <v/>
      </c>
      <c r="O100" s="35" t="str">
        <f aca="false">IF(OR(N100="",K100=""),"",IF(K100=0,"",N100/K100))</f>
        <v/>
      </c>
      <c r="P100" s="25"/>
      <c r="Q100" s="25"/>
      <c r="R100" s="25"/>
      <c r="S100" s="36" t="str">
        <f aca="false">IF(A100="","",YEAR(A100)+IF(AND(FYStart&gt;1,MONTH(A100)&gt;=FYStart),1,0))</f>
        <v/>
      </c>
      <c r="T100" s="36" t="str">
        <f aca="false">IF(A100="","",MOD(MONTH(A100)-FYStart,12)+1)</f>
        <v/>
      </c>
      <c r="U100" s="37" t="str">
        <f aca="false">IF(A100="","",TEXT(A100,"mmm"))</f>
        <v/>
      </c>
      <c r="V100" s="37" t="str">
        <f aca="false">IF(Q100="","",IFERROR(INDEX(Settings!$I$11:$I$15,MATCH(Q100,Settings!$H$11:$H$15,0)),"No"))</f>
        <v/>
      </c>
      <c r="W100" s="37" t="str">
        <f aca="false">IF(Q100="","",IFERROR(INDEX(Settings!$J$11:$J$15,MATCH(Q100,Settings!$H$11:$H$15,0)),"No"))</f>
        <v/>
      </c>
    </row>
    <row r="101" customFormat="false" ht="15" hidden="false" customHeight="false" outlineLevel="0" collapsed="false">
      <c r="A101" s="30"/>
      <c r="B101" s="25"/>
      <c r="C101" s="25"/>
      <c r="D101" s="25"/>
      <c r="E101" s="25"/>
      <c r="F101" s="25"/>
      <c r="G101" s="25"/>
      <c r="H101" s="31"/>
      <c r="I101" s="32"/>
      <c r="J101" s="33"/>
      <c r="K101" s="34" t="str">
        <f aca="false">IF(OR(H101="",I101=""),"",H101*I101*(1-N(J101)))</f>
        <v/>
      </c>
      <c r="L101" s="32"/>
      <c r="M101" s="34" t="str">
        <f aca="false">IF(OR(H101="",L101=""),"",H101*L101)</f>
        <v/>
      </c>
      <c r="N101" s="34" t="str">
        <f aca="false">IF(OR(K101="",M101=""),"",K101-M101)</f>
        <v/>
      </c>
      <c r="O101" s="35" t="str">
        <f aca="false">IF(OR(N101="",K101=""),"",IF(K101=0,"",N101/K101))</f>
        <v/>
      </c>
      <c r="P101" s="25"/>
      <c r="Q101" s="25"/>
      <c r="R101" s="25"/>
      <c r="S101" s="36" t="str">
        <f aca="false">IF(A101="","",YEAR(A101)+IF(AND(FYStart&gt;1,MONTH(A101)&gt;=FYStart),1,0))</f>
        <v/>
      </c>
      <c r="T101" s="36" t="str">
        <f aca="false">IF(A101="","",MOD(MONTH(A101)-FYStart,12)+1)</f>
        <v/>
      </c>
      <c r="U101" s="37" t="str">
        <f aca="false">IF(A101="","",TEXT(A101,"mmm"))</f>
        <v/>
      </c>
      <c r="V101" s="37" t="str">
        <f aca="false">IF(Q101="","",IFERROR(INDEX(Settings!$I$11:$I$15,MATCH(Q101,Settings!$H$11:$H$15,0)),"No"))</f>
        <v/>
      </c>
      <c r="W101" s="37" t="str">
        <f aca="false">IF(Q101="","",IFERROR(INDEX(Settings!$J$11:$J$15,MATCH(Q101,Settings!$H$11:$H$15,0)),"No"))</f>
        <v/>
      </c>
    </row>
    <row r="102" customFormat="false" ht="15" hidden="false" customHeight="false" outlineLevel="0" collapsed="false">
      <c r="A102" s="30"/>
      <c r="B102" s="25"/>
      <c r="C102" s="25"/>
      <c r="D102" s="25"/>
      <c r="E102" s="25"/>
      <c r="F102" s="25"/>
      <c r="G102" s="25"/>
      <c r="H102" s="31"/>
      <c r="I102" s="32"/>
      <c r="J102" s="33"/>
      <c r="K102" s="34" t="str">
        <f aca="false">IF(OR(H102="",I102=""),"",H102*I102*(1-N(J102)))</f>
        <v/>
      </c>
      <c r="L102" s="32"/>
      <c r="M102" s="34" t="str">
        <f aca="false">IF(OR(H102="",L102=""),"",H102*L102)</f>
        <v/>
      </c>
      <c r="N102" s="34" t="str">
        <f aca="false">IF(OR(K102="",M102=""),"",K102-M102)</f>
        <v/>
      </c>
      <c r="O102" s="35" t="str">
        <f aca="false">IF(OR(N102="",K102=""),"",IF(K102=0,"",N102/K102))</f>
        <v/>
      </c>
      <c r="P102" s="25"/>
      <c r="Q102" s="25"/>
      <c r="R102" s="25"/>
      <c r="S102" s="36" t="str">
        <f aca="false">IF(A102="","",YEAR(A102)+IF(AND(FYStart&gt;1,MONTH(A102)&gt;=FYStart),1,0))</f>
        <v/>
      </c>
      <c r="T102" s="36" t="str">
        <f aca="false">IF(A102="","",MOD(MONTH(A102)-FYStart,12)+1)</f>
        <v/>
      </c>
      <c r="U102" s="37" t="str">
        <f aca="false">IF(A102="","",TEXT(A102,"mmm"))</f>
        <v/>
      </c>
      <c r="V102" s="37" t="str">
        <f aca="false">IF(Q102="","",IFERROR(INDEX(Settings!$I$11:$I$15,MATCH(Q102,Settings!$H$11:$H$15,0)),"No"))</f>
        <v/>
      </c>
      <c r="W102" s="37" t="str">
        <f aca="false">IF(Q102="","",IFERROR(INDEX(Settings!$J$11:$J$15,MATCH(Q102,Settings!$H$11:$H$15,0)),"No"))</f>
        <v/>
      </c>
    </row>
    <row r="103" customFormat="false" ht="15" hidden="false" customHeight="false" outlineLevel="0" collapsed="false">
      <c r="A103" s="30"/>
      <c r="B103" s="25"/>
      <c r="C103" s="25"/>
      <c r="D103" s="25"/>
      <c r="E103" s="25"/>
      <c r="F103" s="25"/>
      <c r="G103" s="25"/>
      <c r="H103" s="31"/>
      <c r="I103" s="32"/>
      <c r="J103" s="33"/>
      <c r="K103" s="34" t="str">
        <f aca="false">IF(OR(H103="",I103=""),"",H103*I103*(1-N(J103)))</f>
        <v/>
      </c>
      <c r="L103" s="32"/>
      <c r="M103" s="34" t="str">
        <f aca="false">IF(OR(H103="",L103=""),"",H103*L103)</f>
        <v/>
      </c>
      <c r="N103" s="34" t="str">
        <f aca="false">IF(OR(K103="",M103=""),"",K103-M103)</f>
        <v/>
      </c>
      <c r="O103" s="35" t="str">
        <f aca="false">IF(OR(N103="",K103=""),"",IF(K103=0,"",N103/K103))</f>
        <v/>
      </c>
      <c r="P103" s="25"/>
      <c r="Q103" s="25"/>
      <c r="R103" s="25"/>
      <c r="S103" s="36" t="str">
        <f aca="false">IF(A103="","",YEAR(A103)+IF(AND(FYStart&gt;1,MONTH(A103)&gt;=FYStart),1,0))</f>
        <v/>
      </c>
      <c r="T103" s="36" t="str">
        <f aca="false">IF(A103="","",MOD(MONTH(A103)-FYStart,12)+1)</f>
        <v/>
      </c>
      <c r="U103" s="37" t="str">
        <f aca="false">IF(A103="","",TEXT(A103,"mmm"))</f>
        <v/>
      </c>
      <c r="V103" s="37" t="str">
        <f aca="false">IF(Q103="","",IFERROR(INDEX(Settings!$I$11:$I$15,MATCH(Q103,Settings!$H$11:$H$15,0)),"No"))</f>
        <v/>
      </c>
      <c r="W103" s="37" t="str">
        <f aca="false">IF(Q103="","",IFERROR(INDEX(Settings!$J$11:$J$15,MATCH(Q103,Settings!$H$11:$H$15,0)),"No"))</f>
        <v/>
      </c>
    </row>
    <row r="104" customFormat="false" ht="15" hidden="false" customHeight="false" outlineLevel="0" collapsed="false">
      <c r="A104" s="30"/>
      <c r="B104" s="25"/>
      <c r="C104" s="25"/>
      <c r="D104" s="25"/>
      <c r="E104" s="25"/>
      <c r="F104" s="25"/>
      <c r="G104" s="25"/>
      <c r="H104" s="31"/>
      <c r="I104" s="32"/>
      <c r="J104" s="33"/>
      <c r="K104" s="34" t="str">
        <f aca="false">IF(OR(H104="",I104=""),"",H104*I104*(1-N(J104)))</f>
        <v/>
      </c>
      <c r="L104" s="32"/>
      <c r="M104" s="34" t="str">
        <f aca="false">IF(OR(H104="",L104=""),"",H104*L104)</f>
        <v/>
      </c>
      <c r="N104" s="34" t="str">
        <f aca="false">IF(OR(K104="",M104=""),"",K104-M104)</f>
        <v/>
      </c>
      <c r="O104" s="35" t="str">
        <f aca="false">IF(OR(N104="",K104=""),"",IF(K104=0,"",N104/K104))</f>
        <v/>
      </c>
      <c r="P104" s="25"/>
      <c r="Q104" s="25"/>
      <c r="R104" s="25"/>
      <c r="S104" s="36" t="str">
        <f aca="false">IF(A104="","",YEAR(A104)+IF(AND(FYStart&gt;1,MONTH(A104)&gt;=FYStart),1,0))</f>
        <v/>
      </c>
      <c r="T104" s="36" t="str">
        <f aca="false">IF(A104="","",MOD(MONTH(A104)-FYStart,12)+1)</f>
        <v/>
      </c>
      <c r="U104" s="37" t="str">
        <f aca="false">IF(A104="","",TEXT(A104,"mmm"))</f>
        <v/>
      </c>
      <c r="V104" s="37" t="str">
        <f aca="false">IF(Q104="","",IFERROR(INDEX(Settings!$I$11:$I$15,MATCH(Q104,Settings!$H$11:$H$15,0)),"No"))</f>
        <v/>
      </c>
      <c r="W104" s="37" t="str">
        <f aca="false">IF(Q104="","",IFERROR(INDEX(Settings!$J$11:$J$15,MATCH(Q104,Settings!$H$11:$H$15,0)),"No"))</f>
        <v/>
      </c>
    </row>
    <row r="105" customFormat="false" ht="15" hidden="false" customHeight="false" outlineLevel="0" collapsed="false">
      <c r="A105" s="30"/>
      <c r="B105" s="25"/>
      <c r="C105" s="25"/>
      <c r="D105" s="25"/>
      <c r="E105" s="25"/>
      <c r="F105" s="25"/>
      <c r="G105" s="25"/>
      <c r="H105" s="31"/>
      <c r="I105" s="32"/>
      <c r="J105" s="33"/>
      <c r="K105" s="34" t="str">
        <f aca="false">IF(OR(H105="",I105=""),"",H105*I105*(1-N(J105)))</f>
        <v/>
      </c>
      <c r="L105" s="32"/>
      <c r="M105" s="34" t="str">
        <f aca="false">IF(OR(H105="",L105=""),"",H105*L105)</f>
        <v/>
      </c>
      <c r="N105" s="34" t="str">
        <f aca="false">IF(OR(K105="",M105=""),"",K105-M105)</f>
        <v/>
      </c>
      <c r="O105" s="35" t="str">
        <f aca="false">IF(OR(N105="",K105=""),"",IF(K105=0,"",N105/K105))</f>
        <v/>
      </c>
      <c r="P105" s="25"/>
      <c r="Q105" s="25"/>
      <c r="R105" s="25"/>
      <c r="S105" s="36" t="str">
        <f aca="false">IF(A105="","",YEAR(A105)+IF(AND(FYStart&gt;1,MONTH(A105)&gt;=FYStart),1,0))</f>
        <v/>
      </c>
      <c r="T105" s="36" t="str">
        <f aca="false">IF(A105="","",MOD(MONTH(A105)-FYStart,12)+1)</f>
        <v/>
      </c>
      <c r="U105" s="37" t="str">
        <f aca="false">IF(A105="","",TEXT(A105,"mmm"))</f>
        <v/>
      </c>
      <c r="V105" s="37" t="str">
        <f aca="false">IF(Q105="","",IFERROR(INDEX(Settings!$I$11:$I$15,MATCH(Q105,Settings!$H$11:$H$15,0)),"No"))</f>
        <v/>
      </c>
      <c r="W105" s="37" t="str">
        <f aca="false">IF(Q105="","",IFERROR(INDEX(Settings!$J$11:$J$15,MATCH(Q105,Settings!$H$11:$H$15,0)),"No"))</f>
        <v/>
      </c>
    </row>
    <row r="106" customFormat="false" ht="15" hidden="false" customHeight="false" outlineLevel="0" collapsed="false">
      <c r="A106" s="30"/>
      <c r="B106" s="25"/>
      <c r="C106" s="25"/>
      <c r="D106" s="25"/>
      <c r="E106" s="25"/>
      <c r="F106" s="25"/>
      <c r="G106" s="25"/>
      <c r="H106" s="31"/>
      <c r="I106" s="32"/>
      <c r="J106" s="33"/>
      <c r="K106" s="34" t="str">
        <f aca="false">IF(OR(H106="",I106=""),"",H106*I106*(1-N(J106)))</f>
        <v/>
      </c>
      <c r="L106" s="32"/>
      <c r="M106" s="34" t="str">
        <f aca="false">IF(OR(H106="",L106=""),"",H106*L106)</f>
        <v/>
      </c>
      <c r="N106" s="34" t="str">
        <f aca="false">IF(OR(K106="",M106=""),"",K106-M106)</f>
        <v/>
      </c>
      <c r="O106" s="35" t="str">
        <f aca="false">IF(OR(N106="",K106=""),"",IF(K106=0,"",N106/K106))</f>
        <v/>
      </c>
      <c r="P106" s="25"/>
      <c r="Q106" s="25"/>
      <c r="R106" s="25"/>
      <c r="S106" s="36" t="str">
        <f aca="false">IF(A106="","",YEAR(A106)+IF(AND(FYStart&gt;1,MONTH(A106)&gt;=FYStart),1,0))</f>
        <v/>
      </c>
      <c r="T106" s="36" t="str">
        <f aca="false">IF(A106="","",MOD(MONTH(A106)-FYStart,12)+1)</f>
        <v/>
      </c>
      <c r="U106" s="37" t="str">
        <f aca="false">IF(A106="","",TEXT(A106,"mmm"))</f>
        <v/>
      </c>
      <c r="V106" s="37" t="str">
        <f aca="false">IF(Q106="","",IFERROR(INDEX(Settings!$I$11:$I$15,MATCH(Q106,Settings!$H$11:$H$15,0)),"No"))</f>
        <v/>
      </c>
      <c r="W106" s="37" t="str">
        <f aca="false">IF(Q106="","",IFERROR(INDEX(Settings!$J$11:$J$15,MATCH(Q106,Settings!$H$11:$H$15,0)),"No"))</f>
        <v/>
      </c>
    </row>
    <row r="107" customFormat="false" ht="15" hidden="false" customHeight="false" outlineLevel="0" collapsed="false">
      <c r="A107" s="30"/>
      <c r="B107" s="25"/>
      <c r="C107" s="25"/>
      <c r="D107" s="25"/>
      <c r="E107" s="25"/>
      <c r="F107" s="25"/>
      <c r="G107" s="25"/>
      <c r="H107" s="31"/>
      <c r="I107" s="32"/>
      <c r="J107" s="33"/>
      <c r="K107" s="34" t="str">
        <f aca="false">IF(OR(H107="",I107=""),"",H107*I107*(1-N(J107)))</f>
        <v/>
      </c>
      <c r="L107" s="32"/>
      <c r="M107" s="34" t="str">
        <f aca="false">IF(OR(H107="",L107=""),"",H107*L107)</f>
        <v/>
      </c>
      <c r="N107" s="34" t="str">
        <f aca="false">IF(OR(K107="",M107=""),"",K107-M107)</f>
        <v/>
      </c>
      <c r="O107" s="35" t="str">
        <f aca="false">IF(OR(N107="",K107=""),"",IF(K107=0,"",N107/K107))</f>
        <v/>
      </c>
      <c r="P107" s="25"/>
      <c r="Q107" s="25"/>
      <c r="R107" s="25"/>
      <c r="S107" s="36" t="str">
        <f aca="false">IF(A107="","",YEAR(A107)+IF(AND(FYStart&gt;1,MONTH(A107)&gt;=FYStart),1,0))</f>
        <v/>
      </c>
      <c r="T107" s="36" t="str">
        <f aca="false">IF(A107="","",MOD(MONTH(A107)-FYStart,12)+1)</f>
        <v/>
      </c>
      <c r="U107" s="37" t="str">
        <f aca="false">IF(A107="","",TEXT(A107,"mmm"))</f>
        <v/>
      </c>
      <c r="V107" s="37" t="str">
        <f aca="false">IF(Q107="","",IFERROR(INDEX(Settings!$I$11:$I$15,MATCH(Q107,Settings!$H$11:$H$15,0)),"No"))</f>
        <v/>
      </c>
      <c r="W107" s="37" t="str">
        <f aca="false">IF(Q107="","",IFERROR(INDEX(Settings!$J$11:$J$15,MATCH(Q107,Settings!$H$11:$H$15,0)),"No"))</f>
        <v/>
      </c>
    </row>
    <row r="108" customFormat="false" ht="15" hidden="false" customHeight="false" outlineLevel="0" collapsed="false">
      <c r="A108" s="30"/>
      <c r="B108" s="25"/>
      <c r="C108" s="25"/>
      <c r="D108" s="25"/>
      <c r="E108" s="25"/>
      <c r="F108" s="25"/>
      <c r="G108" s="25"/>
      <c r="H108" s="31"/>
      <c r="I108" s="32"/>
      <c r="J108" s="33"/>
      <c r="K108" s="34" t="str">
        <f aca="false">IF(OR(H108="",I108=""),"",H108*I108*(1-N(J108)))</f>
        <v/>
      </c>
      <c r="L108" s="32"/>
      <c r="M108" s="34" t="str">
        <f aca="false">IF(OR(H108="",L108=""),"",H108*L108)</f>
        <v/>
      </c>
      <c r="N108" s="34" t="str">
        <f aca="false">IF(OR(K108="",M108=""),"",K108-M108)</f>
        <v/>
      </c>
      <c r="O108" s="35" t="str">
        <f aca="false">IF(OR(N108="",K108=""),"",IF(K108=0,"",N108/K108))</f>
        <v/>
      </c>
      <c r="P108" s="25"/>
      <c r="Q108" s="25"/>
      <c r="R108" s="25"/>
      <c r="S108" s="36" t="str">
        <f aca="false">IF(A108="","",YEAR(A108)+IF(AND(FYStart&gt;1,MONTH(A108)&gt;=FYStart),1,0))</f>
        <v/>
      </c>
      <c r="T108" s="36" t="str">
        <f aca="false">IF(A108="","",MOD(MONTH(A108)-FYStart,12)+1)</f>
        <v/>
      </c>
      <c r="U108" s="37" t="str">
        <f aca="false">IF(A108="","",TEXT(A108,"mmm"))</f>
        <v/>
      </c>
      <c r="V108" s="37" t="str">
        <f aca="false">IF(Q108="","",IFERROR(INDEX(Settings!$I$11:$I$15,MATCH(Q108,Settings!$H$11:$H$15,0)),"No"))</f>
        <v/>
      </c>
      <c r="W108" s="37" t="str">
        <f aca="false">IF(Q108="","",IFERROR(INDEX(Settings!$J$11:$J$15,MATCH(Q108,Settings!$H$11:$H$15,0)),"No"))</f>
        <v/>
      </c>
    </row>
    <row r="109" customFormat="false" ht="15" hidden="false" customHeight="false" outlineLevel="0" collapsed="false">
      <c r="A109" s="30"/>
      <c r="B109" s="25"/>
      <c r="C109" s="25"/>
      <c r="D109" s="25"/>
      <c r="E109" s="25"/>
      <c r="F109" s="25"/>
      <c r="G109" s="25"/>
      <c r="H109" s="31"/>
      <c r="I109" s="32"/>
      <c r="J109" s="33"/>
      <c r="K109" s="34" t="str">
        <f aca="false">IF(OR(H109="",I109=""),"",H109*I109*(1-N(J109)))</f>
        <v/>
      </c>
      <c r="L109" s="32"/>
      <c r="M109" s="34" t="str">
        <f aca="false">IF(OR(H109="",L109=""),"",H109*L109)</f>
        <v/>
      </c>
      <c r="N109" s="34" t="str">
        <f aca="false">IF(OR(K109="",M109=""),"",K109-M109)</f>
        <v/>
      </c>
      <c r="O109" s="35" t="str">
        <f aca="false">IF(OR(N109="",K109=""),"",IF(K109=0,"",N109/K109))</f>
        <v/>
      </c>
      <c r="P109" s="25"/>
      <c r="Q109" s="25"/>
      <c r="R109" s="25"/>
      <c r="S109" s="36" t="str">
        <f aca="false">IF(A109="","",YEAR(A109)+IF(AND(FYStart&gt;1,MONTH(A109)&gt;=FYStart),1,0))</f>
        <v/>
      </c>
      <c r="T109" s="36" t="str">
        <f aca="false">IF(A109="","",MOD(MONTH(A109)-FYStart,12)+1)</f>
        <v/>
      </c>
      <c r="U109" s="37" t="str">
        <f aca="false">IF(A109="","",TEXT(A109,"mmm"))</f>
        <v/>
      </c>
      <c r="V109" s="37" t="str">
        <f aca="false">IF(Q109="","",IFERROR(INDEX(Settings!$I$11:$I$15,MATCH(Q109,Settings!$H$11:$H$15,0)),"No"))</f>
        <v/>
      </c>
      <c r="W109" s="37" t="str">
        <f aca="false">IF(Q109="","",IFERROR(INDEX(Settings!$J$11:$J$15,MATCH(Q109,Settings!$H$11:$H$15,0)),"No"))</f>
        <v/>
      </c>
    </row>
    <row r="110" customFormat="false" ht="15" hidden="false" customHeight="false" outlineLevel="0" collapsed="false">
      <c r="A110" s="30"/>
      <c r="B110" s="25"/>
      <c r="C110" s="25"/>
      <c r="D110" s="25"/>
      <c r="E110" s="25"/>
      <c r="F110" s="25"/>
      <c r="G110" s="25"/>
      <c r="H110" s="31"/>
      <c r="I110" s="32"/>
      <c r="J110" s="33"/>
      <c r="K110" s="34" t="str">
        <f aca="false">IF(OR(H110="",I110=""),"",H110*I110*(1-N(J110)))</f>
        <v/>
      </c>
      <c r="L110" s="32"/>
      <c r="M110" s="34" t="str">
        <f aca="false">IF(OR(H110="",L110=""),"",H110*L110)</f>
        <v/>
      </c>
      <c r="N110" s="34" t="str">
        <f aca="false">IF(OR(K110="",M110=""),"",K110-M110)</f>
        <v/>
      </c>
      <c r="O110" s="35" t="str">
        <f aca="false">IF(OR(N110="",K110=""),"",IF(K110=0,"",N110/K110))</f>
        <v/>
      </c>
      <c r="P110" s="25"/>
      <c r="Q110" s="25"/>
      <c r="R110" s="25"/>
      <c r="S110" s="36" t="str">
        <f aca="false">IF(A110="","",YEAR(A110)+IF(AND(FYStart&gt;1,MONTH(A110)&gt;=FYStart),1,0))</f>
        <v/>
      </c>
      <c r="T110" s="36" t="str">
        <f aca="false">IF(A110="","",MOD(MONTH(A110)-FYStart,12)+1)</f>
        <v/>
      </c>
      <c r="U110" s="37" t="str">
        <f aca="false">IF(A110="","",TEXT(A110,"mmm"))</f>
        <v/>
      </c>
      <c r="V110" s="37" t="str">
        <f aca="false">IF(Q110="","",IFERROR(INDEX(Settings!$I$11:$I$15,MATCH(Q110,Settings!$H$11:$H$15,0)),"No"))</f>
        <v/>
      </c>
      <c r="W110" s="37" t="str">
        <f aca="false">IF(Q110="","",IFERROR(INDEX(Settings!$J$11:$J$15,MATCH(Q110,Settings!$H$11:$H$15,0)),"No"))</f>
        <v/>
      </c>
    </row>
    <row r="111" customFormat="false" ht="15" hidden="false" customHeight="false" outlineLevel="0" collapsed="false">
      <c r="A111" s="30"/>
      <c r="B111" s="25"/>
      <c r="C111" s="25"/>
      <c r="D111" s="25"/>
      <c r="E111" s="25"/>
      <c r="F111" s="25"/>
      <c r="G111" s="25"/>
      <c r="H111" s="31"/>
      <c r="I111" s="32"/>
      <c r="J111" s="33"/>
      <c r="K111" s="34" t="str">
        <f aca="false">IF(OR(H111="",I111=""),"",H111*I111*(1-N(J111)))</f>
        <v/>
      </c>
      <c r="L111" s="32"/>
      <c r="M111" s="34" t="str">
        <f aca="false">IF(OR(H111="",L111=""),"",H111*L111)</f>
        <v/>
      </c>
      <c r="N111" s="34" t="str">
        <f aca="false">IF(OR(K111="",M111=""),"",K111-M111)</f>
        <v/>
      </c>
      <c r="O111" s="35" t="str">
        <f aca="false">IF(OR(N111="",K111=""),"",IF(K111=0,"",N111/K111))</f>
        <v/>
      </c>
      <c r="P111" s="25"/>
      <c r="Q111" s="25"/>
      <c r="R111" s="25"/>
      <c r="S111" s="36" t="str">
        <f aca="false">IF(A111="","",YEAR(A111)+IF(AND(FYStart&gt;1,MONTH(A111)&gt;=FYStart),1,0))</f>
        <v/>
      </c>
      <c r="T111" s="36" t="str">
        <f aca="false">IF(A111="","",MOD(MONTH(A111)-FYStart,12)+1)</f>
        <v/>
      </c>
      <c r="U111" s="37" t="str">
        <f aca="false">IF(A111="","",TEXT(A111,"mmm"))</f>
        <v/>
      </c>
      <c r="V111" s="37" t="str">
        <f aca="false">IF(Q111="","",IFERROR(INDEX(Settings!$I$11:$I$15,MATCH(Q111,Settings!$H$11:$H$15,0)),"No"))</f>
        <v/>
      </c>
      <c r="W111" s="37" t="str">
        <f aca="false">IF(Q111="","",IFERROR(INDEX(Settings!$J$11:$J$15,MATCH(Q111,Settings!$H$11:$H$15,0)),"No"))</f>
        <v/>
      </c>
    </row>
    <row r="112" customFormat="false" ht="15" hidden="false" customHeight="false" outlineLevel="0" collapsed="false">
      <c r="A112" s="30"/>
      <c r="B112" s="25"/>
      <c r="C112" s="25"/>
      <c r="D112" s="25"/>
      <c r="E112" s="25"/>
      <c r="F112" s="25"/>
      <c r="G112" s="25"/>
      <c r="H112" s="31"/>
      <c r="I112" s="32"/>
      <c r="J112" s="33"/>
      <c r="K112" s="34" t="str">
        <f aca="false">IF(OR(H112="",I112=""),"",H112*I112*(1-N(J112)))</f>
        <v/>
      </c>
      <c r="L112" s="32"/>
      <c r="M112" s="34" t="str">
        <f aca="false">IF(OR(H112="",L112=""),"",H112*L112)</f>
        <v/>
      </c>
      <c r="N112" s="34" t="str">
        <f aca="false">IF(OR(K112="",M112=""),"",K112-M112)</f>
        <v/>
      </c>
      <c r="O112" s="35" t="str">
        <f aca="false">IF(OR(N112="",K112=""),"",IF(K112=0,"",N112/K112))</f>
        <v/>
      </c>
      <c r="P112" s="25"/>
      <c r="Q112" s="25"/>
      <c r="R112" s="25"/>
      <c r="S112" s="36" t="str">
        <f aca="false">IF(A112="","",YEAR(A112)+IF(AND(FYStart&gt;1,MONTH(A112)&gt;=FYStart),1,0))</f>
        <v/>
      </c>
      <c r="T112" s="36" t="str">
        <f aca="false">IF(A112="","",MOD(MONTH(A112)-FYStart,12)+1)</f>
        <v/>
      </c>
      <c r="U112" s="37" t="str">
        <f aca="false">IF(A112="","",TEXT(A112,"mmm"))</f>
        <v/>
      </c>
      <c r="V112" s="37" t="str">
        <f aca="false">IF(Q112="","",IFERROR(INDEX(Settings!$I$11:$I$15,MATCH(Q112,Settings!$H$11:$H$15,0)),"No"))</f>
        <v/>
      </c>
      <c r="W112" s="37" t="str">
        <f aca="false">IF(Q112="","",IFERROR(INDEX(Settings!$J$11:$J$15,MATCH(Q112,Settings!$H$11:$H$15,0)),"No"))</f>
        <v/>
      </c>
    </row>
    <row r="113" customFormat="false" ht="15" hidden="false" customHeight="false" outlineLevel="0" collapsed="false">
      <c r="A113" s="30"/>
      <c r="B113" s="25"/>
      <c r="C113" s="25"/>
      <c r="D113" s="25"/>
      <c r="E113" s="25"/>
      <c r="F113" s="25"/>
      <c r="G113" s="25"/>
      <c r="H113" s="31"/>
      <c r="I113" s="32"/>
      <c r="J113" s="33"/>
      <c r="K113" s="34" t="str">
        <f aca="false">IF(OR(H113="",I113=""),"",H113*I113*(1-N(J113)))</f>
        <v/>
      </c>
      <c r="L113" s="32"/>
      <c r="M113" s="34" t="str">
        <f aca="false">IF(OR(H113="",L113=""),"",H113*L113)</f>
        <v/>
      </c>
      <c r="N113" s="34" t="str">
        <f aca="false">IF(OR(K113="",M113=""),"",K113-M113)</f>
        <v/>
      </c>
      <c r="O113" s="35" t="str">
        <f aca="false">IF(OR(N113="",K113=""),"",IF(K113=0,"",N113/K113))</f>
        <v/>
      </c>
      <c r="P113" s="25"/>
      <c r="Q113" s="25"/>
      <c r="R113" s="25"/>
      <c r="S113" s="36" t="str">
        <f aca="false">IF(A113="","",YEAR(A113)+IF(AND(FYStart&gt;1,MONTH(A113)&gt;=FYStart),1,0))</f>
        <v/>
      </c>
      <c r="T113" s="36" t="str">
        <f aca="false">IF(A113="","",MOD(MONTH(A113)-FYStart,12)+1)</f>
        <v/>
      </c>
      <c r="U113" s="37" t="str">
        <f aca="false">IF(A113="","",TEXT(A113,"mmm"))</f>
        <v/>
      </c>
      <c r="V113" s="37" t="str">
        <f aca="false">IF(Q113="","",IFERROR(INDEX(Settings!$I$11:$I$15,MATCH(Q113,Settings!$H$11:$H$15,0)),"No"))</f>
        <v/>
      </c>
      <c r="W113" s="37" t="str">
        <f aca="false">IF(Q113="","",IFERROR(INDEX(Settings!$J$11:$J$15,MATCH(Q113,Settings!$H$11:$H$15,0)),"No"))</f>
        <v/>
      </c>
    </row>
    <row r="114" customFormat="false" ht="15" hidden="false" customHeight="false" outlineLevel="0" collapsed="false">
      <c r="A114" s="30"/>
      <c r="B114" s="25"/>
      <c r="C114" s="25"/>
      <c r="D114" s="25"/>
      <c r="E114" s="25"/>
      <c r="F114" s="25"/>
      <c r="G114" s="25"/>
      <c r="H114" s="31"/>
      <c r="I114" s="32"/>
      <c r="J114" s="33"/>
      <c r="K114" s="34" t="str">
        <f aca="false">IF(OR(H114="",I114=""),"",H114*I114*(1-N(J114)))</f>
        <v/>
      </c>
      <c r="L114" s="32"/>
      <c r="M114" s="34" t="str">
        <f aca="false">IF(OR(H114="",L114=""),"",H114*L114)</f>
        <v/>
      </c>
      <c r="N114" s="34" t="str">
        <f aca="false">IF(OR(K114="",M114=""),"",K114-M114)</f>
        <v/>
      </c>
      <c r="O114" s="35" t="str">
        <f aca="false">IF(OR(N114="",K114=""),"",IF(K114=0,"",N114/K114))</f>
        <v/>
      </c>
      <c r="P114" s="25"/>
      <c r="Q114" s="25"/>
      <c r="R114" s="25"/>
      <c r="S114" s="36" t="str">
        <f aca="false">IF(A114="","",YEAR(A114)+IF(AND(FYStart&gt;1,MONTH(A114)&gt;=FYStart),1,0))</f>
        <v/>
      </c>
      <c r="T114" s="36" t="str">
        <f aca="false">IF(A114="","",MOD(MONTH(A114)-FYStart,12)+1)</f>
        <v/>
      </c>
      <c r="U114" s="37" t="str">
        <f aca="false">IF(A114="","",TEXT(A114,"mmm"))</f>
        <v/>
      </c>
      <c r="V114" s="37" t="str">
        <f aca="false">IF(Q114="","",IFERROR(INDEX(Settings!$I$11:$I$15,MATCH(Q114,Settings!$H$11:$H$15,0)),"No"))</f>
        <v/>
      </c>
      <c r="W114" s="37" t="str">
        <f aca="false">IF(Q114="","",IFERROR(INDEX(Settings!$J$11:$J$15,MATCH(Q114,Settings!$H$11:$H$15,0)),"No"))</f>
        <v/>
      </c>
    </row>
    <row r="115" customFormat="false" ht="15" hidden="false" customHeight="false" outlineLevel="0" collapsed="false">
      <c r="A115" s="30"/>
      <c r="B115" s="25"/>
      <c r="C115" s="25"/>
      <c r="D115" s="25"/>
      <c r="E115" s="25"/>
      <c r="F115" s="25"/>
      <c r="G115" s="25"/>
      <c r="H115" s="31"/>
      <c r="I115" s="32"/>
      <c r="J115" s="33"/>
      <c r="K115" s="34" t="str">
        <f aca="false">IF(OR(H115="",I115=""),"",H115*I115*(1-N(J115)))</f>
        <v/>
      </c>
      <c r="L115" s="32"/>
      <c r="M115" s="34" t="str">
        <f aca="false">IF(OR(H115="",L115=""),"",H115*L115)</f>
        <v/>
      </c>
      <c r="N115" s="34" t="str">
        <f aca="false">IF(OR(K115="",M115=""),"",K115-M115)</f>
        <v/>
      </c>
      <c r="O115" s="35" t="str">
        <f aca="false">IF(OR(N115="",K115=""),"",IF(K115=0,"",N115/K115))</f>
        <v/>
      </c>
      <c r="P115" s="25"/>
      <c r="Q115" s="25"/>
      <c r="R115" s="25"/>
      <c r="S115" s="36" t="str">
        <f aca="false">IF(A115="","",YEAR(A115)+IF(AND(FYStart&gt;1,MONTH(A115)&gt;=FYStart),1,0))</f>
        <v/>
      </c>
      <c r="T115" s="36" t="str">
        <f aca="false">IF(A115="","",MOD(MONTH(A115)-FYStart,12)+1)</f>
        <v/>
      </c>
      <c r="U115" s="37" t="str">
        <f aca="false">IF(A115="","",TEXT(A115,"mmm"))</f>
        <v/>
      </c>
      <c r="V115" s="37" t="str">
        <f aca="false">IF(Q115="","",IFERROR(INDEX(Settings!$I$11:$I$15,MATCH(Q115,Settings!$H$11:$H$15,0)),"No"))</f>
        <v/>
      </c>
      <c r="W115" s="37" t="str">
        <f aca="false">IF(Q115="","",IFERROR(INDEX(Settings!$J$11:$J$15,MATCH(Q115,Settings!$H$11:$H$15,0)),"No"))</f>
        <v/>
      </c>
    </row>
    <row r="116" customFormat="false" ht="15" hidden="false" customHeight="false" outlineLevel="0" collapsed="false">
      <c r="A116" s="30"/>
      <c r="B116" s="25"/>
      <c r="C116" s="25"/>
      <c r="D116" s="25"/>
      <c r="E116" s="25"/>
      <c r="F116" s="25"/>
      <c r="G116" s="25"/>
      <c r="H116" s="31"/>
      <c r="I116" s="32"/>
      <c r="J116" s="33"/>
      <c r="K116" s="34" t="str">
        <f aca="false">IF(OR(H116="",I116=""),"",H116*I116*(1-N(J116)))</f>
        <v/>
      </c>
      <c r="L116" s="32"/>
      <c r="M116" s="34" t="str">
        <f aca="false">IF(OR(H116="",L116=""),"",H116*L116)</f>
        <v/>
      </c>
      <c r="N116" s="34" t="str">
        <f aca="false">IF(OR(K116="",M116=""),"",K116-M116)</f>
        <v/>
      </c>
      <c r="O116" s="35" t="str">
        <f aca="false">IF(OR(N116="",K116=""),"",IF(K116=0,"",N116/K116))</f>
        <v/>
      </c>
      <c r="P116" s="25"/>
      <c r="Q116" s="25"/>
      <c r="R116" s="25"/>
      <c r="S116" s="36" t="str">
        <f aca="false">IF(A116="","",YEAR(A116)+IF(AND(FYStart&gt;1,MONTH(A116)&gt;=FYStart),1,0))</f>
        <v/>
      </c>
      <c r="T116" s="36" t="str">
        <f aca="false">IF(A116="","",MOD(MONTH(A116)-FYStart,12)+1)</f>
        <v/>
      </c>
      <c r="U116" s="37" t="str">
        <f aca="false">IF(A116="","",TEXT(A116,"mmm"))</f>
        <v/>
      </c>
      <c r="V116" s="37" t="str">
        <f aca="false">IF(Q116="","",IFERROR(INDEX(Settings!$I$11:$I$15,MATCH(Q116,Settings!$H$11:$H$15,0)),"No"))</f>
        <v/>
      </c>
      <c r="W116" s="37" t="str">
        <f aca="false">IF(Q116="","",IFERROR(INDEX(Settings!$J$11:$J$15,MATCH(Q116,Settings!$H$11:$H$15,0)),"No"))</f>
        <v/>
      </c>
    </row>
    <row r="117" customFormat="false" ht="15" hidden="false" customHeight="false" outlineLevel="0" collapsed="false">
      <c r="A117" s="30"/>
      <c r="B117" s="25"/>
      <c r="C117" s="25"/>
      <c r="D117" s="25"/>
      <c r="E117" s="25"/>
      <c r="F117" s="25"/>
      <c r="G117" s="25"/>
      <c r="H117" s="31"/>
      <c r="I117" s="32"/>
      <c r="J117" s="33"/>
      <c r="K117" s="34" t="str">
        <f aca="false">IF(OR(H117="",I117=""),"",H117*I117*(1-N(J117)))</f>
        <v/>
      </c>
      <c r="L117" s="32"/>
      <c r="M117" s="34" t="str">
        <f aca="false">IF(OR(H117="",L117=""),"",H117*L117)</f>
        <v/>
      </c>
      <c r="N117" s="34" t="str">
        <f aca="false">IF(OR(K117="",M117=""),"",K117-M117)</f>
        <v/>
      </c>
      <c r="O117" s="35" t="str">
        <f aca="false">IF(OR(N117="",K117=""),"",IF(K117=0,"",N117/K117))</f>
        <v/>
      </c>
      <c r="P117" s="25"/>
      <c r="Q117" s="25"/>
      <c r="R117" s="25"/>
      <c r="S117" s="36" t="str">
        <f aca="false">IF(A117="","",YEAR(A117)+IF(AND(FYStart&gt;1,MONTH(A117)&gt;=FYStart),1,0))</f>
        <v/>
      </c>
      <c r="T117" s="36" t="str">
        <f aca="false">IF(A117="","",MOD(MONTH(A117)-FYStart,12)+1)</f>
        <v/>
      </c>
      <c r="U117" s="37" t="str">
        <f aca="false">IF(A117="","",TEXT(A117,"mmm"))</f>
        <v/>
      </c>
      <c r="V117" s="37" t="str">
        <f aca="false">IF(Q117="","",IFERROR(INDEX(Settings!$I$11:$I$15,MATCH(Q117,Settings!$H$11:$H$15,0)),"No"))</f>
        <v/>
      </c>
      <c r="W117" s="37" t="str">
        <f aca="false">IF(Q117="","",IFERROR(INDEX(Settings!$J$11:$J$15,MATCH(Q117,Settings!$H$11:$H$15,0)),"No"))</f>
        <v/>
      </c>
    </row>
    <row r="118" customFormat="false" ht="15" hidden="false" customHeight="false" outlineLevel="0" collapsed="false">
      <c r="A118" s="30"/>
      <c r="B118" s="25"/>
      <c r="C118" s="25"/>
      <c r="D118" s="25"/>
      <c r="E118" s="25"/>
      <c r="F118" s="25"/>
      <c r="G118" s="25"/>
      <c r="H118" s="31"/>
      <c r="I118" s="32"/>
      <c r="J118" s="33"/>
      <c r="K118" s="34" t="str">
        <f aca="false">IF(OR(H118="",I118=""),"",H118*I118*(1-N(J118)))</f>
        <v/>
      </c>
      <c r="L118" s="32"/>
      <c r="M118" s="34" t="str">
        <f aca="false">IF(OR(H118="",L118=""),"",H118*L118)</f>
        <v/>
      </c>
      <c r="N118" s="34" t="str">
        <f aca="false">IF(OR(K118="",M118=""),"",K118-M118)</f>
        <v/>
      </c>
      <c r="O118" s="35" t="str">
        <f aca="false">IF(OR(N118="",K118=""),"",IF(K118=0,"",N118/K118))</f>
        <v/>
      </c>
      <c r="P118" s="25"/>
      <c r="Q118" s="25"/>
      <c r="R118" s="25"/>
      <c r="S118" s="36" t="str">
        <f aca="false">IF(A118="","",YEAR(A118)+IF(AND(FYStart&gt;1,MONTH(A118)&gt;=FYStart),1,0))</f>
        <v/>
      </c>
      <c r="T118" s="36" t="str">
        <f aca="false">IF(A118="","",MOD(MONTH(A118)-FYStart,12)+1)</f>
        <v/>
      </c>
      <c r="U118" s="37" t="str">
        <f aca="false">IF(A118="","",TEXT(A118,"mmm"))</f>
        <v/>
      </c>
      <c r="V118" s="37" t="str">
        <f aca="false">IF(Q118="","",IFERROR(INDEX(Settings!$I$11:$I$15,MATCH(Q118,Settings!$H$11:$H$15,0)),"No"))</f>
        <v/>
      </c>
      <c r="W118" s="37" t="str">
        <f aca="false">IF(Q118="","",IFERROR(INDEX(Settings!$J$11:$J$15,MATCH(Q118,Settings!$H$11:$H$15,0)),"No"))</f>
        <v/>
      </c>
    </row>
    <row r="119" customFormat="false" ht="15" hidden="false" customHeight="false" outlineLevel="0" collapsed="false">
      <c r="A119" s="30"/>
      <c r="B119" s="25"/>
      <c r="C119" s="25"/>
      <c r="D119" s="25"/>
      <c r="E119" s="25"/>
      <c r="F119" s="25"/>
      <c r="G119" s="25"/>
      <c r="H119" s="31"/>
      <c r="I119" s="32"/>
      <c r="J119" s="33"/>
      <c r="K119" s="34" t="str">
        <f aca="false">IF(OR(H119="",I119=""),"",H119*I119*(1-N(J119)))</f>
        <v/>
      </c>
      <c r="L119" s="32"/>
      <c r="M119" s="34" t="str">
        <f aca="false">IF(OR(H119="",L119=""),"",H119*L119)</f>
        <v/>
      </c>
      <c r="N119" s="34" t="str">
        <f aca="false">IF(OR(K119="",M119=""),"",K119-M119)</f>
        <v/>
      </c>
      <c r="O119" s="35" t="str">
        <f aca="false">IF(OR(N119="",K119=""),"",IF(K119=0,"",N119/K119))</f>
        <v/>
      </c>
      <c r="P119" s="25"/>
      <c r="Q119" s="25"/>
      <c r="R119" s="25"/>
      <c r="S119" s="36" t="str">
        <f aca="false">IF(A119="","",YEAR(A119)+IF(AND(FYStart&gt;1,MONTH(A119)&gt;=FYStart),1,0))</f>
        <v/>
      </c>
      <c r="T119" s="36" t="str">
        <f aca="false">IF(A119="","",MOD(MONTH(A119)-FYStart,12)+1)</f>
        <v/>
      </c>
      <c r="U119" s="37" t="str">
        <f aca="false">IF(A119="","",TEXT(A119,"mmm"))</f>
        <v/>
      </c>
      <c r="V119" s="37" t="str">
        <f aca="false">IF(Q119="","",IFERROR(INDEX(Settings!$I$11:$I$15,MATCH(Q119,Settings!$H$11:$H$15,0)),"No"))</f>
        <v/>
      </c>
      <c r="W119" s="37" t="str">
        <f aca="false">IF(Q119="","",IFERROR(INDEX(Settings!$J$11:$J$15,MATCH(Q119,Settings!$H$11:$H$15,0)),"No"))</f>
        <v/>
      </c>
    </row>
    <row r="120" customFormat="false" ht="15" hidden="false" customHeight="false" outlineLevel="0" collapsed="false">
      <c r="A120" s="30"/>
      <c r="B120" s="25"/>
      <c r="C120" s="25"/>
      <c r="D120" s="25"/>
      <c r="E120" s="25"/>
      <c r="F120" s="25"/>
      <c r="G120" s="25"/>
      <c r="H120" s="31"/>
      <c r="I120" s="32"/>
      <c r="J120" s="33"/>
      <c r="K120" s="34" t="str">
        <f aca="false">IF(OR(H120="",I120=""),"",H120*I120*(1-N(J120)))</f>
        <v/>
      </c>
      <c r="L120" s="32"/>
      <c r="M120" s="34" t="str">
        <f aca="false">IF(OR(H120="",L120=""),"",H120*L120)</f>
        <v/>
      </c>
      <c r="N120" s="34" t="str">
        <f aca="false">IF(OR(K120="",M120=""),"",K120-M120)</f>
        <v/>
      </c>
      <c r="O120" s="35" t="str">
        <f aca="false">IF(OR(N120="",K120=""),"",IF(K120=0,"",N120/K120))</f>
        <v/>
      </c>
      <c r="P120" s="25"/>
      <c r="Q120" s="25"/>
      <c r="R120" s="25"/>
      <c r="S120" s="36" t="str">
        <f aca="false">IF(A120="","",YEAR(A120)+IF(AND(FYStart&gt;1,MONTH(A120)&gt;=FYStart),1,0))</f>
        <v/>
      </c>
      <c r="T120" s="36" t="str">
        <f aca="false">IF(A120="","",MOD(MONTH(A120)-FYStart,12)+1)</f>
        <v/>
      </c>
      <c r="U120" s="37" t="str">
        <f aca="false">IF(A120="","",TEXT(A120,"mmm"))</f>
        <v/>
      </c>
      <c r="V120" s="37" t="str">
        <f aca="false">IF(Q120="","",IFERROR(INDEX(Settings!$I$11:$I$15,MATCH(Q120,Settings!$H$11:$H$15,0)),"No"))</f>
        <v/>
      </c>
      <c r="W120" s="37" t="str">
        <f aca="false">IF(Q120="","",IFERROR(INDEX(Settings!$J$11:$J$15,MATCH(Q120,Settings!$H$11:$H$15,0)),"No"))</f>
        <v/>
      </c>
    </row>
    <row r="121" customFormat="false" ht="15" hidden="false" customHeight="false" outlineLevel="0" collapsed="false">
      <c r="A121" s="30"/>
      <c r="B121" s="25"/>
      <c r="C121" s="25"/>
      <c r="D121" s="25"/>
      <c r="E121" s="25"/>
      <c r="F121" s="25"/>
      <c r="G121" s="25"/>
      <c r="H121" s="31"/>
      <c r="I121" s="32"/>
      <c r="J121" s="33"/>
      <c r="K121" s="34" t="str">
        <f aca="false">IF(OR(H121="",I121=""),"",H121*I121*(1-N(J121)))</f>
        <v/>
      </c>
      <c r="L121" s="32"/>
      <c r="M121" s="34" t="str">
        <f aca="false">IF(OR(H121="",L121=""),"",H121*L121)</f>
        <v/>
      </c>
      <c r="N121" s="34" t="str">
        <f aca="false">IF(OR(K121="",M121=""),"",K121-M121)</f>
        <v/>
      </c>
      <c r="O121" s="35" t="str">
        <f aca="false">IF(OR(N121="",K121=""),"",IF(K121=0,"",N121/K121))</f>
        <v/>
      </c>
      <c r="P121" s="25"/>
      <c r="Q121" s="25"/>
      <c r="R121" s="25"/>
      <c r="S121" s="36" t="str">
        <f aca="false">IF(A121="","",YEAR(A121)+IF(AND(FYStart&gt;1,MONTH(A121)&gt;=FYStart),1,0))</f>
        <v/>
      </c>
      <c r="T121" s="36" t="str">
        <f aca="false">IF(A121="","",MOD(MONTH(A121)-FYStart,12)+1)</f>
        <v/>
      </c>
      <c r="U121" s="37" t="str">
        <f aca="false">IF(A121="","",TEXT(A121,"mmm"))</f>
        <v/>
      </c>
      <c r="V121" s="37" t="str">
        <f aca="false">IF(Q121="","",IFERROR(INDEX(Settings!$I$11:$I$15,MATCH(Q121,Settings!$H$11:$H$15,0)),"No"))</f>
        <v/>
      </c>
      <c r="W121" s="37" t="str">
        <f aca="false">IF(Q121="","",IFERROR(INDEX(Settings!$J$11:$J$15,MATCH(Q121,Settings!$H$11:$H$15,0)),"No"))</f>
        <v/>
      </c>
    </row>
    <row r="122" customFormat="false" ht="15" hidden="false" customHeight="false" outlineLevel="0" collapsed="false">
      <c r="A122" s="30"/>
      <c r="B122" s="25"/>
      <c r="C122" s="25"/>
      <c r="D122" s="25"/>
      <c r="E122" s="25"/>
      <c r="F122" s="25"/>
      <c r="G122" s="25"/>
      <c r="H122" s="31"/>
      <c r="I122" s="32"/>
      <c r="J122" s="33"/>
      <c r="K122" s="34" t="str">
        <f aca="false">IF(OR(H122="",I122=""),"",H122*I122*(1-N(J122)))</f>
        <v/>
      </c>
      <c r="L122" s="32"/>
      <c r="M122" s="34" t="str">
        <f aca="false">IF(OR(H122="",L122=""),"",H122*L122)</f>
        <v/>
      </c>
      <c r="N122" s="34" t="str">
        <f aca="false">IF(OR(K122="",M122=""),"",K122-M122)</f>
        <v/>
      </c>
      <c r="O122" s="35" t="str">
        <f aca="false">IF(OR(N122="",K122=""),"",IF(K122=0,"",N122/K122))</f>
        <v/>
      </c>
      <c r="P122" s="25"/>
      <c r="Q122" s="25"/>
      <c r="R122" s="25"/>
      <c r="S122" s="36" t="str">
        <f aca="false">IF(A122="","",YEAR(A122)+IF(AND(FYStart&gt;1,MONTH(A122)&gt;=FYStart),1,0))</f>
        <v/>
      </c>
      <c r="T122" s="36" t="str">
        <f aca="false">IF(A122="","",MOD(MONTH(A122)-FYStart,12)+1)</f>
        <v/>
      </c>
      <c r="U122" s="37" t="str">
        <f aca="false">IF(A122="","",TEXT(A122,"mmm"))</f>
        <v/>
      </c>
      <c r="V122" s="37" t="str">
        <f aca="false">IF(Q122="","",IFERROR(INDEX(Settings!$I$11:$I$15,MATCH(Q122,Settings!$H$11:$H$15,0)),"No"))</f>
        <v/>
      </c>
      <c r="W122" s="37" t="str">
        <f aca="false">IF(Q122="","",IFERROR(INDEX(Settings!$J$11:$J$15,MATCH(Q122,Settings!$H$11:$H$15,0)),"No"))</f>
        <v/>
      </c>
    </row>
    <row r="123" customFormat="false" ht="15" hidden="false" customHeight="false" outlineLevel="0" collapsed="false">
      <c r="A123" s="30"/>
      <c r="B123" s="25"/>
      <c r="C123" s="25"/>
      <c r="D123" s="25"/>
      <c r="E123" s="25"/>
      <c r="F123" s="25"/>
      <c r="G123" s="25"/>
      <c r="H123" s="31"/>
      <c r="I123" s="32"/>
      <c r="J123" s="33"/>
      <c r="K123" s="34" t="str">
        <f aca="false">IF(OR(H123="",I123=""),"",H123*I123*(1-N(J123)))</f>
        <v/>
      </c>
      <c r="L123" s="32"/>
      <c r="M123" s="34" t="str">
        <f aca="false">IF(OR(H123="",L123=""),"",H123*L123)</f>
        <v/>
      </c>
      <c r="N123" s="34" t="str">
        <f aca="false">IF(OR(K123="",M123=""),"",K123-M123)</f>
        <v/>
      </c>
      <c r="O123" s="35" t="str">
        <f aca="false">IF(OR(N123="",K123=""),"",IF(K123=0,"",N123/K123))</f>
        <v/>
      </c>
      <c r="P123" s="25"/>
      <c r="Q123" s="25"/>
      <c r="R123" s="25"/>
      <c r="S123" s="36" t="str">
        <f aca="false">IF(A123="","",YEAR(A123)+IF(AND(FYStart&gt;1,MONTH(A123)&gt;=FYStart),1,0))</f>
        <v/>
      </c>
      <c r="T123" s="36" t="str">
        <f aca="false">IF(A123="","",MOD(MONTH(A123)-FYStart,12)+1)</f>
        <v/>
      </c>
      <c r="U123" s="37" t="str">
        <f aca="false">IF(A123="","",TEXT(A123,"mmm"))</f>
        <v/>
      </c>
      <c r="V123" s="37" t="str">
        <f aca="false">IF(Q123="","",IFERROR(INDEX(Settings!$I$11:$I$15,MATCH(Q123,Settings!$H$11:$H$15,0)),"No"))</f>
        <v/>
      </c>
      <c r="W123" s="37" t="str">
        <f aca="false">IF(Q123="","",IFERROR(INDEX(Settings!$J$11:$J$15,MATCH(Q123,Settings!$H$11:$H$15,0)),"No"))</f>
        <v/>
      </c>
    </row>
    <row r="124" customFormat="false" ht="15" hidden="false" customHeight="false" outlineLevel="0" collapsed="false">
      <c r="A124" s="30"/>
      <c r="B124" s="25"/>
      <c r="C124" s="25"/>
      <c r="D124" s="25"/>
      <c r="E124" s="25"/>
      <c r="F124" s="25"/>
      <c r="G124" s="25"/>
      <c r="H124" s="31"/>
      <c r="I124" s="32"/>
      <c r="J124" s="33"/>
      <c r="K124" s="34" t="str">
        <f aca="false">IF(OR(H124="",I124=""),"",H124*I124*(1-N(J124)))</f>
        <v/>
      </c>
      <c r="L124" s="32"/>
      <c r="M124" s="34" t="str">
        <f aca="false">IF(OR(H124="",L124=""),"",H124*L124)</f>
        <v/>
      </c>
      <c r="N124" s="34" t="str">
        <f aca="false">IF(OR(K124="",M124=""),"",K124-M124)</f>
        <v/>
      </c>
      <c r="O124" s="35" t="str">
        <f aca="false">IF(OR(N124="",K124=""),"",IF(K124=0,"",N124/K124))</f>
        <v/>
      </c>
      <c r="P124" s="25"/>
      <c r="Q124" s="25"/>
      <c r="R124" s="25"/>
      <c r="S124" s="36" t="str">
        <f aca="false">IF(A124="","",YEAR(A124)+IF(AND(FYStart&gt;1,MONTH(A124)&gt;=FYStart),1,0))</f>
        <v/>
      </c>
      <c r="T124" s="36" t="str">
        <f aca="false">IF(A124="","",MOD(MONTH(A124)-FYStart,12)+1)</f>
        <v/>
      </c>
      <c r="U124" s="37" t="str">
        <f aca="false">IF(A124="","",TEXT(A124,"mmm"))</f>
        <v/>
      </c>
      <c r="V124" s="37" t="str">
        <f aca="false">IF(Q124="","",IFERROR(INDEX(Settings!$I$11:$I$15,MATCH(Q124,Settings!$H$11:$H$15,0)),"No"))</f>
        <v/>
      </c>
      <c r="W124" s="37" t="str">
        <f aca="false">IF(Q124="","",IFERROR(INDEX(Settings!$J$11:$J$15,MATCH(Q124,Settings!$H$11:$H$15,0)),"No"))</f>
        <v/>
      </c>
    </row>
    <row r="125" customFormat="false" ht="15" hidden="false" customHeight="false" outlineLevel="0" collapsed="false">
      <c r="A125" s="30"/>
      <c r="B125" s="25"/>
      <c r="C125" s="25"/>
      <c r="D125" s="25"/>
      <c r="E125" s="25"/>
      <c r="F125" s="25"/>
      <c r="G125" s="25"/>
      <c r="H125" s="31"/>
      <c r="I125" s="32"/>
      <c r="J125" s="33"/>
      <c r="K125" s="34" t="str">
        <f aca="false">IF(OR(H125="",I125=""),"",H125*I125*(1-N(J125)))</f>
        <v/>
      </c>
      <c r="L125" s="32"/>
      <c r="M125" s="34" t="str">
        <f aca="false">IF(OR(H125="",L125=""),"",H125*L125)</f>
        <v/>
      </c>
      <c r="N125" s="34" t="str">
        <f aca="false">IF(OR(K125="",M125=""),"",K125-M125)</f>
        <v/>
      </c>
      <c r="O125" s="35" t="str">
        <f aca="false">IF(OR(N125="",K125=""),"",IF(K125=0,"",N125/K125))</f>
        <v/>
      </c>
      <c r="P125" s="25"/>
      <c r="Q125" s="25"/>
      <c r="R125" s="25"/>
      <c r="S125" s="36" t="str">
        <f aca="false">IF(A125="","",YEAR(A125)+IF(AND(FYStart&gt;1,MONTH(A125)&gt;=FYStart),1,0))</f>
        <v/>
      </c>
      <c r="T125" s="36" t="str">
        <f aca="false">IF(A125="","",MOD(MONTH(A125)-FYStart,12)+1)</f>
        <v/>
      </c>
      <c r="U125" s="37" t="str">
        <f aca="false">IF(A125="","",TEXT(A125,"mmm"))</f>
        <v/>
      </c>
      <c r="V125" s="37" t="str">
        <f aca="false">IF(Q125="","",IFERROR(INDEX(Settings!$I$11:$I$15,MATCH(Q125,Settings!$H$11:$H$15,0)),"No"))</f>
        <v/>
      </c>
      <c r="W125" s="37" t="str">
        <f aca="false">IF(Q125="","",IFERROR(INDEX(Settings!$J$11:$J$15,MATCH(Q125,Settings!$H$11:$H$15,0)),"No"))</f>
        <v/>
      </c>
    </row>
    <row r="126" customFormat="false" ht="15" hidden="false" customHeight="false" outlineLevel="0" collapsed="false">
      <c r="A126" s="30"/>
      <c r="B126" s="25"/>
      <c r="C126" s="25"/>
      <c r="D126" s="25"/>
      <c r="E126" s="25"/>
      <c r="F126" s="25"/>
      <c r="G126" s="25"/>
      <c r="H126" s="31"/>
      <c r="I126" s="32"/>
      <c r="J126" s="33"/>
      <c r="K126" s="34" t="str">
        <f aca="false">IF(OR(H126="",I126=""),"",H126*I126*(1-N(J126)))</f>
        <v/>
      </c>
      <c r="L126" s="32"/>
      <c r="M126" s="34" t="str">
        <f aca="false">IF(OR(H126="",L126=""),"",H126*L126)</f>
        <v/>
      </c>
      <c r="N126" s="34" t="str">
        <f aca="false">IF(OR(K126="",M126=""),"",K126-M126)</f>
        <v/>
      </c>
      <c r="O126" s="35" t="str">
        <f aca="false">IF(OR(N126="",K126=""),"",IF(K126=0,"",N126/K126))</f>
        <v/>
      </c>
      <c r="P126" s="25"/>
      <c r="Q126" s="25"/>
      <c r="R126" s="25"/>
      <c r="S126" s="36" t="str">
        <f aca="false">IF(A126="","",YEAR(A126)+IF(AND(FYStart&gt;1,MONTH(A126)&gt;=FYStart),1,0))</f>
        <v/>
      </c>
      <c r="T126" s="36" t="str">
        <f aca="false">IF(A126="","",MOD(MONTH(A126)-FYStart,12)+1)</f>
        <v/>
      </c>
      <c r="U126" s="37" t="str">
        <f aca="false">IF(A126="","",TEXT(A126,"mmm"))</f>
        <v/>
      </c>
      <c r="V126" s="37" t="str">
        <f aca="false">IF(Q126="","",IFERROR(INDEX(Settings!$I$11:$I$15,MATCH(Q126,Settings!$H$11:$H$15,0)),"No"))</f>
        <v/>
      </c>
      <c r="W126" s="37" t="str">
        <f aca="false">IF(Q126="","",IFERROR(INDEX(Settings!$J$11:$J$15,MATCH(Q126,Settings!$H$11:$H$15,0)),"No"))</f>
        <v/>
      </c>
    </row>
    <row r="127" customFormat="false" ht="15" hidden="false" customHeight="false" outlineLevel="0" collapsed="false">
      <c r="A127" s="30"/>
      <c r="B127" s="25"/>
      <c r="C127" s="25"/>
      <c r="D127" s="25"/>
      <c r="E127" s="25"/>
      <c r="F127" s="25"/>
      <c r="G127" s="25"/>
      <c r="H127" s="31"/>
      <c r="I127" s="32"/>
      <c r="J127" s="33"/>
      <c r="K127" s="34" t="str">
        <f aca="false">IF(OR(H127="",I127=""),"",H127*I127*(1-N(J127)))</f>
        <v/>
      </c>
      <c r="L127" s="32"/>
      <c r="M127" s="34" t="str">
        <f aca="false">IF(OR(H127="",L127=""),"",H127*L127)</f>
        <v/>
      </c>
      <c r="N127" s="34" t="str">
        <f aca="false">IF(OR(K127="",M127=""),"",K127-M127)</f>
        <v/>
      </c>
      <c r="O127" s="35" t="str">
        <f aca="false">IF(OR(N127="",K127=""),"",IF(K127=0,"",N127/K127))</f>
        <v/>
      </c>
      <c r="P127" s="25"/>
      <c r="Q127" s="25"/>
      <c r="R127" s="25"/>
      <c r="S127" s="36" t="str">
        <f aca="false">IF(A127="","",YEAR(A127)+IF(AND(FYStart&gt;1,MONTH(A127)&gt;=FYStart),1,0))</f>
        <v/>
      </c>
      <c r="T127" s="36" t="str">
        <f aca="false">IF(A127="","",MOD(MONTH(A127)-FYStart,12)+1)</f>
        <v/>
      </c>
      <c r="U127" s="37" t="str">
        <f aca="false">IF(A127="","",TEXT(A127,"mmm"))</f>
        <v/>
      </c>
      <c r="V127" s="37" t="str">
        <f aca="false">IF(Q127="","",IFERROR(INDEX(Settings!$I$11:$I$15,MATCH(Q127,Settings!$H$11:$H$15,0)),"No"))</f>
        <v/>
      </c>
      <c r="W127" s="37" t="str">
        <f aca="false">IF(Q127="","",IFERROR(INDEX(Settings!$J$11:$J$15,MATCH(Q127,Settings!$H$11:$H$15,0)),"No"))</f>
        <v/>
      </c>
    </row>
    <row r="128" customFormat="false" ht="15" hidden="false" customHeight="false" outlineLevel="0" collapsed="false">
      <c r="A128" s="30"/>
      <c r="B128" s="25"/>
      <c r="C128" s="25"/>
      <c r="D128" s="25"/>
      <c r="E128" s="25"/>
      <c r="F128" s="25"/>
      <c r="G128" s="25"/>
      <c r="H128" s="31"/>
      <c r="I128" s="32"/>
      <c r="J128" s="33"/>
      <c r="K128" s="34" t="str">
        <f aca="false">IF(OR(H128="",I128=""),"",H128*I128*(1-N(J128)))</f>
        <v/>
      </c>
      <c r="L128" s="32"/>
      <c r="M128" s="34" t="str">
        <f aca="false">IF(OR(H128="",L128=""),"",H128*L128)</f>
        <v/>
      </c>
      <c r="N128" s="34" t="str">
        <f aca="false">IF(OR(K128="",M128=""),"",K128-M128)</f>
        <v/>
      </c>
      <c r="O128" s="35" t="str">
        <f aca="false">IF(OR(N128="",K128=""),"",IF(K128=0,"",N128/K128))</f>
        <v/>
      </c>
      <c r="P128" s="25"/>
      <c r="Q128" s="25"/>
      <c r="R128" s="25"/>
      <c r="S128" s="36" t="str">
        <f aca="false">IF(A128="","",YEAR(A128)+IF(AND(FYStart&gt;1,MONTH(A128)&gt;=FYStart),1,0))</f>
        <v/>
      </c>
      <c r="T128" s="36" t="str">
        <f aca="false">IF(A128="","",MOD(MONTH(A128)-FYStart,12)+1)</f>
        <v/>
      </c>
      <c r="U128" s="37" t="str">
        <f aca="false">IF(A128="","",TEXT(A128,"mmm"))</f>
        <v/>
      </c>
      <c r="V128" s="37" t="str">
        <f aca="false">IF(Q128="","",IFERROR(INDEX(Settings!$I$11:$I$15,MATCH(Q128,Settings!$H$11:$H$15,0)),"No"))</f>
        <v/>
      </c>
      <c r="W128" s="37" t="str">
        <f aca="false">IF(Q128="","",IFERROR(INDEX(Settings!$J$11:$J$15,MATCH(Q128,Settings!$H$11:$H$15,0)),"No"))</f>
        <v/>
      </c>
    </row>
    <row r="129" customFormat="false" ht="15" hidden="false" customHeight="false" outlineLevel="0" collapsed="false">
      <c r="A129" s="30"/>
      <c r="B129" s="25"/>
      <c r="C129" s="25"/>
      <c r="D129" s="25"/>
      <c r="E129" s="25"/>
      <c r="F129" s="25"/>
      <c r="G129" s="25"/>
      <c r="H129" s="31"/>
      <c r="I129" s="32"/>
      <c r="J129" s="33"/>
      <c r="K129" s="34" t="str">
        <f aca="false">IF(OR(H129="",I129=""),"",H129*I129*(1-N(J129)))</f>
        <v/>
      </c>
      <c r="L129" s="32"/>
      <c r="M129" s="34" t="str">
        <f aca="false">IF(OR(H129="",L129=""),"",H129*L129)</f>
        <v/>
      </c>
      <c r="N129" s="34" t="str">
        <f aca="false">IF(OR(K129="",M129=""),"",K129-M129)</f>
        <v/>
      </c>
      <c r="O129" s="35" t="str">
        <f aca="false">IF(OR(N129="",K129=""),"",IF(K129=0,"",N129/K129))</f>
        <v/>
      </c>
      <c r="P129" s="25"/>
      <c r="Q129" s="25"/>
      <c r="R129" s="25"/>
      <c r="S129" s="36" t="str">
        <f aca="false">IF(A129="","",YEAR(A129)+IF(AND(FYStart&gt;1,MONTH(A129)&gt;=FYStart),1,0))</f>
        <v/>
      </c>
      <c r="T129" s="36" t="str">
        <f aca="false">IF(A129="","",MOD(MONTH(A129)-FYStart,12)+1)</f>
        <v/>
      </c>
      <c r="U129" s="37" t="str">
        <f aca="false">IF(A129="","",TEXT(A129,"mmm"))</f>
        <v/>
      </c>
      <c r="V129" s="37" t="str">
        <f aca="false">IF(Q129="","",IFERROR(INDEX(Settings!$I$11:$I$15,MATCH(Q129,Settings!$H$11:$H$15,0)),"No"))</f>
        <v/>
      </c>
      <c r="W129" s="37" t="str">
        <f aca="false">IF(Q129="","",IFERROR(INDEX(Settings!$J$11:$J$15,MATCH(Q129,Settings!$H$11:$H$15,0)),"No"))</f>
        <v/>
      </c>
    </row>
    <row r="130" customFormat="false" ht="15" hidden="false" customHeight="false" outlineLevel="0" collapsed="false">
      <c r="A130" s="30"/>
      <c r="B130" s="25"/>
      <c r="C130" s="25"/>
      <c r="D130" s="25"/>
      <c r="E130" s="25"/>
      <c r="F130" s="25"/>
      <c r="G130" s="25"/>
      <c r="H130" s="31"/>
      <c r="I130" s="32"/>
      <c r="J130" s="33"/>
      <c r="K130" s="34" t="str">
        <f aca="false">IF(OR(H130="",I130=""),"",H130*I130*(1-N(J130)))</f>
        <v/>
      </c>
      <c r="L130" s="32"/>
      <c r="M130" s="34" t="str">
        <f aca="false">IF(OR(H130="",L130=""),"",H130*L130)</f>
        <v/>
      </c>
      <c r="N130" s="34" t="str">
        <f aca="false">IF(OR(K130="",M130=""),"",K130-M130)</f>
        <v/>
      </c>
      <c r="O130" s="35" t="str">
        <f aca="false">IF(OR(N130="",K130=""),"",IF(K130=0,"",N130/K130))</f>
        <v/>
      </c>
      <c r="P130" s="25"/>
      <c r="Q130" s="25"/>
      <c r="R130" s="25"/>
      <c r="S130" s="36" t="str">
        <f aca="false">IF(A130="","",YEAR(A130)+IF(AND(FYStart&gt;1,MONTH(A130)&gt;=FYStart),1,0))</f>
        <v/>
      </c>
      <c r="T130" s="36" t="str">
        <f aca="false">IF(A130="","",MOD(MONTH(A130)-FYStart,12)+1)</f>
        <v/>
      </c>
      <c r="U130" s="37" t="str">
        <f aca="false">IF(A130="","",TEXT(A130,"mmm"))</f>
        <v/>
      </c>
      <c r="V130" s="37" t="str">
        <f aca="false">IF(Q130="","",IFERROR(INDEX(Settings!$I$11:$I$15,MATCH(Q130,Settings!$H$11:$H$15,0)),"No"))</f>
        <v/>
      </c>
      <c r="W130" s="37" t="str">
        <f aca="false">IF(Q130="","",IFERROR(INDEX(Settings!$J$11:$J$15,MATCH(Q130,Settings!$H$11:$H$15,0)),"No"))</f>
        <v/>
      </c>
    </row>
    <row r="131" customFormat="false" ht="15" hidden="false" customHeight="false" outlineLevel="0" collapsed="false">
      <c r="A131" s="30"/>
      <c r="B131" s="25"/>
      <c r="C131" s="25"/>
      <c r="D131" s="25"/>
      <c r="E131" s="25"/>
      <c r="F131" s="25"/>
      <c r="G131" s="25"/>
      <c r="H131" s="31"/>
      <c r="I131" s="32"/>
      <c r="J131" s="33"/>
      <c r="K131" s="34" t="str">
        <f aca="false">IF(OR(H131="",I131=""),"",H131*I131*(1-N(J131)))</f>
        <v/>
      </c>
      <c r="L131" s="32"/>
      <c r="M131" s="34" t="str">
        <f aca="false">IF(OR(H131="",L131=""),"",H131*L131)</f>
        <v/>
      </c>
      <c r="N131" s="34" t="str">
        <f aca="false">IF(OR(K131="",M131=""),"",K131-M131)</f>
        <v/>
      </c>
      <c r="O131" s="35" t="str">
        <f aca="false">IF(OR(N131="",K131=""),"",IF(K131=0,"",N131/K131))</f>
        <v/>
      </c>
      <c r="P131" s="25"/>
      <c r="Q131" s="25"/>
      <c r="R131" s="25"/>
      <c r="S131" s="36" t="str">
        <f aca="false">IF(A131="","",YEAR(A131)+IF(AND(FYStart&gt;1,MONTH(A131)&gt;=FYStart),1,0))</f>
        <v/>
      </c>
      <c r="T131" s="36" t="str">
        <f aca="false">IF(A131="","",MOD(MONTH(A131)-FYStart,12)+1)</f>
        <v/>
      </c>
      <c r="U131" s="37" t="str">
        <f aca="false">IF(A131="","",TEXT(A131,"mmm"))</f>
        <v/>
      </c>
      <c r="V131" s="37" t="str">
        <f aca="false">IF(Q131="","",IFERROR(INDEX(Settings!$I$11:$I$15,MATCH(Q131,Settings!$H$11:$H$15,0)),"No"))</f>
        <v/>
      </c>
      <c r="W131" s="37" t="str">
        <f aca="false">IF(Q131="","",IFERROR(INDEX(Settings!$J$11:$J$15,MATCH(Q131,Settings!$H$11:$H$15,0)),"No"))</f>
        <v/>
      </c>
    </row>
    <row r="132" customFormat="false" ht="15" hidden="false" customHeight="false" outlineLevel="0" collapsed="false">
      <c r="A132" s="30"/>
      <c r="B132" s="25"/>
      <c r="C132" s="25"/>
      <c r="D132" s="25"/>
      <c r="E132" s="25"/>
      <c r="F132" s="25"/>
      <c r="G132" s="25"/>
      <c r="H132" s="31"/>
      <c r="I132" s="32"/>
      <c r="J132" s="33"/>
      <c r="K132" s="34" t="str">
        <f aca="false">IF(OR(H132="",I132=""),"",H132*I132*(1-N(J132)))</f>
        <v/>
      </c>
      <c r="L132" s="32"/>
      <c r="M132" s="34" t="str">
        <f aca="false">IF(OR(H132="",L132=""),"",H132*L132)</f>
        <v/>
      </c>
      <c r="N132" s="34" t="str">
        <f aca="false">IF(OR(K132="",M132=""),"",K132-M132)</f>
        <v/>
      </c>
      <c r="O132" s="35" t="str">
        <f aca="false">IF(OR(N132="",K132=""),"",IF(K132=0,"",N132/K132))</f>
        <v/>
      </c>
      <c r="P132" s="25"/>
      <c r="Q132" s="25"/>
      <c r="R132" s="25"/>
      <c r="S132" s="36" t="str">
        <f aca="false">IF(A132="","",YEAR(A132)+IF(AND(FYStart&gt;1,MONTH(A132)&gt;=FYStart),1,0))</f>
        <v/>
      </c>
      <c r="T132" s="36" t="str">
        <f aca="false">IF(A132="","",MOD(MONTH(A132)-FYStart,12)+1)</f>
        <v/>
      </c>
      <c r="U132" s="37" t="str">
        <f aca="false">IF(A132="","",TEXT(A132,"mmm"))</f>
        <v/>
      </c>
      <c r="V132" s="37" t="str">
        <f aca="false">IF(Q132="","",IFERROR(INDEX(Settings!$I$11:$I$15,MATCH(Q132,Settings!$H$11:$H$15,0)),"No"))</f>
        <v/>
      </c>
      <c r="W132" s="37" t="str">
        <f aca="false">IF(Q132="","",IFERROR(INDEX(Settings!$J$11:$J$15,MATCH(Q132,Settings!$H$11:$H$15,0)),"No"))</f>
        <v/>
      </c>
    </row>
    <row r="133" customFormat="false" ht="15" hidden="false" customHeight="false" outlineLevel="0" collapsed="false">
      <c r="A133" s="30"/>
      <c r="B133" s="25"/>
      <c r="C133" s="25"/>
      <c r="D133" s="25"/>
      <c r="E133" s="25"/>
      <c r="F133" s="25"/>
      <c r="G133" s="25"/>
      <c r="H133" s="31"/>
      <c r="I133" s="32"/>
      <c r="J133" s="33"/>
      <c r="K133" s="34" t="str">
        <f aca="false">IF(OR(H133="",I133=""),"",H133*I133*(1-N(J133)))</f>
        <v/>
      </c>
      <c r="L133" s="32"/>
      <c r="M133" s="34" t="str">
        <f aca="false">IF(OR(H133="",L133=""),"",H133*L133)</f>
        <v/>
      </c>
      <c r="N133" s="34" t="str">
        <f aca="false">IF(OR(K133="",M133=""),"",K133-M133)</f>
        <v/>
      </c>
      <c r="O133" s="35" t="str">
        <f aca="false">IF(OR(N133="",K133=""),"",IF(K133=0,"",N133/K133))</f>
        <v/>
      </c>
      <c r="P133" s="25"/>
      <c r="Q133" s="25"/>
      <c r="R133" s="25"/>
      <c r="S133" s="36" t="str">
        <f aca="false">IF(A133="","",YEAR(A133)+IF(AND(FYStart&gt;1,MONTH(A133)&gt;=FYStart),1,0))</f>
        <v/>
      </c>
      <c r="T133" s="36" t="str">
        <f aca="false">IF(A133="","",MOD(MONTH(A133)-FYStart,12)+1)</f>
        <v/>
      </c>
      <c r="U133" s="37" t="str">
        <f aca="false">IF(A133="","",TEXT(A133,"mmm"))</f>
        <v/>
      </c>
      <c r="V133" s="37" t="str">
        <f aca="false">IF(Q133="","",IFERROR(INDEX(Settings!$I$11:$I$15,MATCH(Q133,Settings!$H$11:$H$15,0)),"No"))</f>
        <v/>
      </c>
      <c r="W133" s="37" t="str">
        <f aca="false">IF(Q133="","",IFERROR(INDEX(Settings!$J$11:$J$15,MATCH(Q133,Settings!$H$11:$H$15,0)),"No"))</f>
        <v/>
      </c>
    </row>
    <row r="134" customFormat="false" ht="15" hidden="false" customHeight="false" outlineLevel="0" collapsed="false">
      <c r="A134" s="30"/>
      <c r="B134" s="25"/>
      <c r="C134" s="25"/>
      <c r="D134" s="25"/>
      <c r="E134" s="25"/>
      <c r="F134" s="25"/>
      <c r="G134" s="25"/>
      <c r="H134" s="31"/>
      <c r="I134" s="32"/>
      <c r="J134" s="33"/>
      <c r="K134" s="34" t="str">
        <f aca="false">IF(OR(H134="",I134=""),"",H134*I134*(1-N(J134)))</f>
        <v/>
      </c>
      <c r="L134" s="32"/>
      <c r="M134" s="34" t="str">
        <f aca="false">IF(OR(H134="",L134=""),"",H134*L134)</f>
        <v/>
      </c>
      <c r="N134" s="34" t="str">
        <f aca="false">IF(OR(K134="",M134=""),"",K134-M134)</f>
        <v/>
      </c>
      <c r="O134" s="35" t="str">
        <f aca="false">IF(OR(N134="",K134=""),"",IF(K134=0,"",N134/K134))</f>
        <v/>
      </c>
      <c r="P134" s="25"/>
      <c r="Q134" s="25"/>
      <c r="R134" s="25"/>
      <c r="S134" s="36" t="str">
        <f aca="false">IF(A134="","",YEAR(A134)+IF(AND(FYStart&gt;1,MONTH(A134)&gt;=FYStart),1,0))</f>
        <v/>
      </c>
      <c r="T134" s="36" t="str">
        <f aca="false">IF(A134="","",MOD(MONTH(A134)-FYStart,12)+1)</f>
        <v/>
      </c>
      <c r="U134" s="37" t="str">
        <f aca="false">IF(A134="","",TEXT(A134,"mmm"))</f>
        <v/>
      </c>
      <c r="V134" s="37" t="str">
        <f aca="false">IF(Q134="","",IFERROR(INDEX(Settings!$I$11:$I$15,MATCH(Q134,Settings!$H$11:$H$15,0)),"No"))</f>
        <v/>
      </c>
      <c r="W134" s="37" t="str">
        <f aca="false">IF(Q134="","",IFERROR(INDEX(Settings!$J$11:$J$15,MATCH(Q134,Settings!$H$11:$H$15,0)),"No"))</f>
        <v/>
      </c>
    </row>
    <row r="135" customFormat="false" ht="15" hidden="false" customHeight="false" outlineLevel="0" collapsed="false">
      <c r="A135" s="30"/>
      <c r="B135" s="25"/>
      <c r="C135" s="25"/>
      <c r="D135" s="25"/>
      <c r="E135" s="25"/>
      <c r="F135" s="25"/>
      <c r="G135" s="25"/>
      <c r="H135" s="31"/>
      <c r="I135" s="32"/>
      <c r="J135" s="33"/>
      <c r="K135" s="34" t="str">
        <f aca="false">IF(OR(H135="",I135=""),"",H135*I135*(1-N(J135)))</f>
        <v/>
      </c>
      <c r="L135" s="32"/>
      <c r="M135" s="34" t="str">
        <f aca="false">IF(OR(H135="",L135=""),"",H135*L135)</f>
        <v/>
      </c>
      <c r="N135" s="34" t="str">
        <f aca="false">IF(OR(K135="",M135=""),"",K135-M135)</f>
        <v/>
      </c>
      <c r="O135" s="35" t="str">
        <f aca="false">IF(OR(N135="",K135=""),"",IF(K135=0,"",N135/K135))</f>
        <v/>
      </c>
      <c r="P135" s="25"/>
      <c r="Q135" s="25"/>
      <c r="R135" s="25"/>
      <c r="S135" s="36" t="str">
        <f aca="false">IF(A135="","",YEAR(A135)+IF(AND(FYStart&gt;1,MONTH(A135)&gt;=FYStart),1,0))</f>
        <v/>
      </c>
      <c r="T135" s="36" t="str">
        <f aca="false">IF(A135="","",MOD(MONTH(A135)-FYStart,12)+1)</f>
        <v/>
      </c>
      <c r="U135" s="37" t="str">
        <f aca="false">IF(A135="","",TEXT(A135,"mmm"))</f>
        <v/>
      </c>
      <c r="V135" s="37" t="str">
        <f aca="false">IF(Q135="","",IFERROR(INDEX(Settings!$I$11:$I$15,MATCH(Q135,Settings!$H$11:$H$15,0)),"No"))</f>
        <v/>
      </c>
      <c r="W135" s="37" t="str">
        <f aca="false">IF(Q135="","",IFERROR(INDEX(Settings!$J$11:$J$15,MATCH(Q135,Settings!$H$11:$H$15,0)),"No"))</f>
        <v/>
      </c>
    </row>
    <row r="136" customFormat="false" ht="15" hidden="false" customHeight="false" outlineLevel="0" collapsed="false">
      <c r="A136" s="30"/>
      <c r="B136" s="25"/>
      <c r="C136" s="25"/>
      <c r="D136" s="25"/>
      <c r="E136" s="25"/>
      <c r="F136" s="25"/>
      <c r="G136" s="25"/>
      <c r="H136" s="31"/>
      <c r="I136" s="32"/>
      <c r="J136" s="33"/>
      <c r="K136" s="34" t="str">
        <f aca="false">IF(OR(H136="",I136=""),"",H136*I136*(1-N(J136)))</f>
        <v/>
      </c>
      <c r="L136" s="32"/>
      <c r="M136" s="34" t="str">
        <f aca="false">IF(OR(H136="",L136=""),"",H136*L136)</f>
        <v/>
      </c>
      <c r="N136" s="34" t="str">
        <f aca="false">IF(OR(K136="",M136=""),"",K136-M136)</f>
        <v/>
      </c>
      <c r="O136" s="35" t="str">
        <f aca="false">IF(OR(N136="",K136=""),"",IF(K136=0,"",N136/K136))</f>
        <v/>
      </c>
      <c r="P136" s="25"/>
      <c r="Q136" s="25"/>
      <c r="R136" s="25"/>
      <c r="S136" s="36" t="str">
        <f aca="false">IF(A136="","",YEAR(A136)+IF(AND(FYStart&gt;1,MONTH(A136)&gt;=FYStart),1,0))</f>
        <v/>
      </c>
      <c r="T136" s="36" t="str">
        <f aca="false">IF(A136="","",MOD(MONTH(A136)-FYStart,12)+1)</f>
        <v/>
      </c>
      <c r="U136" s="37" t="str">
        <f aca="false">IF(A136="","",TEXT(A136,"mmm"))</f>
        <v/>
      </c>
      <c r="V136" s="37" t="str">
        <f aca="false">IF(Q136="","",IFERROR(INDEX(Settings!$I$11:$I$15,MATCH(Q136,Settings!$H$11:$H$15,0)),"No"))</f>
        <v/>
      </c>
      <c r="W136" s="37" t="str">
        <f aca="false">IF(Q136="","",IFERROR(INDEX(Settings!$J$11:$J$15,MATCH(Q136,Settings!$H$11:$H$15,0)),"No"))</f>
        <v/>
      </c>
    </row>
    <row r="137" customFormat="false" ht="15" hidden="false" customHeight="false" outlineLevel="0" collapsed="false">
      <c r="A137" s="30"/>
      <c r="B137" s="25"/>
      <c r="C137" s="25"/>
      <c r="D137" s="25"/>
      <c r="E137" s="25"/>
      <c r="F137" s="25"/>
      <c r="G137" s="25"/>
      <c r="H137" s="31"/>
      <c r="I137" s="32"/>
      <c r="J137" s="33"/>
      <c r="K137" s="34" t="str">
        <f aca="false">IF(OR(H137="",I137=""),"",H137*I137*(1-N(J137)))</f>
        <v/>
      </c>
      <c r="L137" s="32"/>
      <c r="M137" s="34" t="str">
        <f aca="false">IF(OR(H137="",L137=""),"",H137*L137)</f>
        <v/>
      </c>
      <c r="N137" s="34" t="str">
        <f aca="false">IF(OR(K137="",M137=""),"",K137-M137)</f>
        <v/>
      </c>
      <c r="O137" s="35" t="str">
        <f aca="false">IF(OR(N137="",K137=""),"",IF(K137=0,"",N137/K137))</f>
        <v/>
      </c>
      <c r="P137" s="25"/>
      <c r="Q137" s="25"/>
      <c r="R137" s="25"/>
      <c r="S137" s="36" t="str">
        <f aca="false">IF(A137="","",YEAR(A137)+IF(AND(FYStart&gt;1,MONTH(A137)&gt;=FYStart),1,0))</f>
        <v/>
      </c>
      <c r="T137" s="36" t="str">
        <f aca="false">IF(A137="","",MOD(MONTH(A137)-FYStart,12)+1)</f>
        <v/>
      </c>
      <c r="U137" s="37" t="str">
        <f aca="false">IF(A137="","",TEXT(A137,"mmm"))</f>
        <v/>
      </c>
      <c r="V137" s="37" t="str">
        <f aca="false">IF(Q137="","",IFERROR(INDEX(Settings!$I$11:$I$15,MATCH(Q137,Settings!$H$11:$H$15,0)),"No"))</f>
        <v/>
      </c>
      <c r="W137" s="37" t="str">
        <f aca="false">IF(Q137="","",IFERROR(INDEX(Settings!$J$11:$J$15,MATCH(Q137,Settings!$H$11:$H$15,0)),"No"))</f>
        <v/>
      </c>
    </row>
    <row r="138" customFormat="false" ht="15" hidden="false" customHeight="false" outlineLevel="0" collapsed="false">
      <c r="A138" s="30"/>
      <c r="B138" s="25"/>
      <c r="C138" s="25"/>
      <c r="D138" s="25"/>
      <c r="E138" s="25"/>
      <c r="F138" s="25"/>
      <c r="G138" s="25"/>
      <c r="H138" s="31"/>
      <c r="I138" s="32"/>
      <c r="J138" s="33"/>
      <c r="K138" s="34" t="str">
        <f aca="false">IF(OR(H138="",I138=""),"",H138*I138*(1-N(J138)))</f>
        <v/>
      </c>
      <c r="L138" s="32"/>
      <c r="M138" s="34" t="str">
        <f aca="false">IF(OR(H138="",L138=""),"",H138*L138)</f>
        <v/>
      </c>
      <c r="N138" s="34" t="str">
        <f aca="false">IF(OR(K138="",M138=""),"",K138-M138)</f>
        <v/>
      </c>
      <c r="O138" s="35" t="str">
        <f aca="false">IF(OR(N138="",K138=""),"",IF(K138=0,"",N138/K138))</f>
        <v/>
      </c>
      <c r="P138" s="25"/>
      <c r="Q138" s="25"/>
      <c r="R138" s="25"/>
      <c r="S138" s="36" t="str">
        <f aca="false">IF(A138="","",YEAR(A138)+IF(AND(FYStart&gt;1,MONTH(A138)&gt;=FYStart),1,0))</f>
        <v/>
      </c>
      <c r="T138" s="36" t="str">
        <f aca="false">IF(A138="","",MOD(MONTH(A138)-FYStart,12)+1)</f>
        <v/>
      </c>
      <c r="U138" s="37" t="str">
        <f aca="false">IF(A138="","",TEXT(A138,"mmm"))</f>
        <v/>
      </c>
      <c r="V138" s="37" t="str">
        <f aca="false">IF(Q138="","",IFERROR(INDEX(Settings!$I$11:$I$15,MATCH(Q138,Settings!$H$11:$H$15,0)),"No"))</f>
        <v/>
      </c>
      <c r="W138" s="37" t="str">
        <f aca="false">IF(Q138="","",IFERROR(INDEX(Settings!$J$11:$J$15,MATCH(Q138,Settings!$H$11:$H$15,0)),"No"))</f>
        <v/>
      </c>
    </row>
    <row r="139" customFormat="false" ht="15" hidden="false" customHeight="false" outlineLevel="0" collapsed="false">
      <c r="A139" s="30"/>
      <c r="B139" s="25"/>
      <c r="C139" s="25"/>
      <c r="D139" s="25"/>
      <c r="E139" s="25"/>
      <c r="F139" s="25"/>
      <c r="G139" s="25"/>
      <c r="H139" s="31"/>
      <c r="I139" s="32"/>
      <c r="J139" s="33"/>
      <c r="K139" s="34" t="str">
        <f aca="false">IF(OR(H139="",I139=""),"",H139*I139*(1-N(J139)))</f>
        <v/>
      </c>
      <c r="L139" s="32"/>
      <c r="M139" s="34" t="str">
        <f aca="false">IF(OR(H139="",L139=""),"",H139*L139)</f>
        <v/>
      </c>
      <c r="N139" s="34" t="str">
        <f aca="false">IF(OR(K139="",M139=""),"",K139-M139)</f>
        <v/>
      </c>
      <c r="O139" s="35" t="str">
        <f aca="false">IF(OR(N139="",K139=""),"",IF(K139=0,"",N139/K139))</f>
        <v/>
      </c>
      <c r="P139" s="25"/>
      <c r="Q139" s="25"/>
      <c r="R139" s="25"/>
      <c r="S139" s="36" t="str">
        <f aca="false">IF(A139="","",YEAR(A139)+IF(AND(FYStart&gt;1,MONTH(A139)&gt;=FYStart),1,0))</f>
        <v/>
      </c>
      <c r="T139" s="36" t="str">
        <f aca="false">IF(A139="","",MOD(MONTH(A139)-FYStart,12)+1)</f>
        <v/>
      </c>
      <c r="U139" s="37" t="str">
        <f aca="false">IF(A139="","",TEXT(A139,"mmm"))</f>
        <v/>
      </c>
      <c r="V139" s="37" t="str">
        <f aca="false">IF(Q139="","",IFERROR(INDEX(Settings!$I$11:$I$15,MATCH(Q139,Settings!$H$11:$H$15,0)),"No"))</f>
        <v/>
      </c>
      <c r="W139" s="37" t="str">
        <f aca="false">IF(Q139="","",IFERROR(INDEX(Settings!$J$11:$J$15,MATCH(Q139,Settings!$H$11:$H$15,0)),"No"))</f>
        <v/>
      </c>
    </row>
    <row r="140" customFormat="false" ht="15" hidden="false" customHeight="false" outlineLevel="0" collapsed="false">
      <c r="A140" s="30"/>
      <c r="B140" s="25"/>
      <c r="C140" s="25"/>
      <c r="D140" s="25"/>
      <c r="E140" s="25"/>
      <c r="F140" s="25"/>
      <c r="G140" s="25"/>
      <c r="H140" s="31"/>
      <c r="I140" s="32"/>
      <c r="J140" s="33"/>
      <c r="K140" s="34" t="str">
        <f aca="false">IF(OR(H140="",I140=""),"",H140*I140*(1-N(J140)))</f>
        <v/>
      </c>
      <c r="L140" s="32"/>
      <c r="M140" s="34" t="str">
        <f aca="false">IF(OR(H140="",L140=""),"",H140*L140)</f>
        <v/>
      </c>
      <c r="N140" s="34" t="str">
        <f aca="false">IF(OR(K140="",M140=""),"",K140-M140)</f>
        <v/>
      </c>
      <c r="O140" s="35" t="str">
        <f aca="false">IF(OR(N140="",K140=""),"",IF(K140=0,"",N140/K140))</f>
        <v/>
      </c>
      <c r="P140" s="25"/>
      <c r="Q140" s="25"/>
      <c r="R140" s="25"/>
      <c r="S140" s="36" t="str">
        <f aca="false">IF(A140="","",YEAR(A140)+IF(AND(FYStart&gt;1,MONTH(A140)&gt;=FYStart),1,0))</f>
        <v/>
      </c>
      <c r="T140" s="36" t="str">
        <f aca="false">IF(A140="","",MOD(MONTH(A140)-FYStart,12)+1)</f>
        <v/>
      </c>
      <c r="U140" s="37" t="str">
        <f aca="false">IF(A140="","",TEXT(A140,"mmm"))</f>
        <v/>
      </c>
      <c r="V140" s="37" t="str">
        <f aca="false">IF(Q140="","",IFERROR(INDEX(Settings!$I$11:$I$15,MATCH(Q140,Settings!$H$11:$H$15,0)),"No"))</f>
        <v/>
      </c>
      <c r="W140" s="37" t="str">
        <f aca="false">IF(Q140="","",IFERROR(INDEX(Settings!$J$11:$J$15,MATCH(Q140,Settings!$H$11:$H$15,0)),"No"))</f>
        <v/>
      </c>
    </row>
    <row r="141" customFormat="false" ht="15" hidden="false" customHeight="false" outlineLevel="0" collapsed="false">
      <c r="A141" s="30"/>
      <c r="B141" s="25"/>
      <c r="C141" s="25"/>
      <c r="D141" s="25"/>
      <c r="E141" s="25"/>
      <c r="F141" s="25"/>
      <c r="G141" s="25"/>
      <c r="H141" s="31"/>
      <c r="I141" s="32"/>
      <c r="J141" s="33"/>
      <c r="K141" s="34" t="str">
        <f aca="false">IF(OR(H141="",I141=""),"",H141*I141*(1-N(J141)))</f>
        <v/>
      </c>
      <c r="L141" s="32"/>
      <c r="M141" s="34" t="str">
        <f aca="false">IF(OR(H141="",L141=""),"",H141*L141)</f>
        <v/>
      </c>
      <c r="N141" s="34" t="str">
        <f aca="false">IF(OR(K141="",M141=""),"",K141-M141)</f>
        <v/>
      </c>
      <c r="O141" s="35" t="str">
        <f aca="false">IF(OR(N141="",K141=""),"",IF(K141=0,"",N141/K141))</f>
        <v/>
      </c>
      <c r="P141" s="25"/>
      <c r="Q141" s="25"/>
      <c r="R141" s="25"/>
      <c r="S141" s="36" t="str">
        <f aca="false">IF(A141="","",YEAR(A141)+IF(AND(FYStart&gt;1,MONTH(A141)&gt;=FYStart),1,0))</f>
        <v/>
      </c>
      <c r="T141" s="36" t="str">
        <f aca="false">IF(A141="","",MOD(MONTH(A141)-FYStart,12)+1)</f>
        <v/>
      </c>
      <c r="U141" s="37" t="str">
        <f aca="false">IF(A141="","",TEXT(A141,"mmm"))</f>
        <v/>
      </c>
      <c r="V141" s="37" t="str">
        <f aca="false">IF(Q141="","",IFERROR(INDEX(Settings!$I$11:$I$15,MATCH(Q141,Settings!$H$11:$H$15,0)),"No"))</f>
        <v/>
      </c>
      <c r="W141" s="37" t="str">
        <f aca="false">IF(Q141="","",IFERROR(INDEX(Settings!$J$11:$J$15,MATCH(Q141,Settings!$H$11:$H$15,0)),"No"))</f>
        <v/>
      </c>
    </row>
    <row r="142" customFormat="false" ht="15" hidden="false" customHeight="false" outlineLevel="0" collapsed="false">
      <c r="A142" s="30"/>
      <c r="B142" s="25"/>
      <c r="C142" s="25"/>
      <c r="D142" s="25"/>
      <c r="E142" s="25"/>
      <c r="F142" s="25"/>
      <c r="G142" s="25"/>
      <c r="H142" s="31"/>
      <c r="I142" s="32"/>
      <c r="J142" s="33"/>
      <c r="K142" s="34" t="str">
        <f aca="false">IF(OR(H142="",I142=""),"",H142*I142*(1-N(J142)))</f>
        <v/>
      </c>
      <c r="L142" s="32"/>
      <c r="M142" s="34" t="str">
        <f aca="false">IF(OR(H142="",L142=""),"",H142*L142)</f>
        <v/>
      </c>
      <c r="N142" s="34" t="str">
        <f aca="false">IF(OR(K142="",M142=""),"",K142-M142)</f>
        <v/>
      </c>
      <c r="O142" s="35" t="str">
        <f aca="false">IF(OR(N142="",K142=""),"",IF(K142=0,"",N142/K142))</f>
        <v/>
      </c>
      <c r="P142" s="25"/>
      <c r="Q142" s="25"/>
      <c r="R142" s="25"/>
      <c r="S142" s="36" t="str">
        <f aca="false">IF(A142="","",YEAR(A142)+IF(AND(FYStart&gt;1,MONTH(A142)&gt;=FYStart),1,0))</f>
        <v/>
      </c>
      <c r="T142" s="36" t="str">
        <f aca="false">IF(A142="","",MOD(MONTH(A142)-FYStart,12)+1)</f>
        <v/>
      </c>
      <c r="U142" s="37" t="str">
        <f aca="false">IF(A142="","",TEXT(A142,"mmm"))</f>
        <v/>
      </c>
      <c r="V142" s="37" t="str">
        <f aca="false">IF(Q142="","",IFERROR(INDEX(Settings!$I$11:$I$15,MATCH(Q142,Settings!$H$11:$H$15,0)),"No"))</f>
        <v/>
      </c>
      <c r="W142" s="37" t="str">
        <f aca="false">IF(Q142="","",IFERROR(INDEX(Settings!$J$11:$J$15,MATCH(Q142,Settings!$H$11:$H$15,0)),"No"))</f>
        <v/>
      </c>
    </row>
    <row r="143" customFormat="false" ht="15" hidden="false" customHeight="false" outlineLevel="0" collapsed="false">
      <c r="A143" s="30"/>
      <c r="B143" s="25"/>
      <c r="C143" s="25"/>
      <c r="D143" s="25"/>
      <c r="E143" s="25"/>
      <c r="F143" s="25"/>
      <c r="G143" s="25"/>
      <c r="H143" s="31"/>
      <c r="I143" s="32"/>
      <c r="J143" s="33"/>
      <c r="K143" s="34" t="str">
        <f aca="false">IF(OR(H143="",I143=""),"",H143*I143*(1-N(J143)))</f>
        <v/>
      </c>
      <c r="L143" s="32"/>
      <c r="M143" s="34" t="str">
        <f aca="false">IF(OR(H143="",L143=""),"",H143*L143)</f>
        <v/>
      </c>
      <c r="N143" s="34" t="str">
        <f aca="false">IF(OR(K143="",M143=""),"",K143-M143)</f>
        <v/>
      </c>
      <c r="O143" s="35" t="str">
        <f aca="false">IF(OR(N143="",K143=""),"",IF(K143=0,"",N143/K143))</f>
        <v/>
      </c>
      <c r="P143" s="25"/>
      <c r="Q143" s="25"/>
      <c r="R143" s="25"/>
      <c r="S143" s="36" t="str">
        <f aca="false">IF(A143="","",YEAR(A143)+IF(AND(FYStart&gt;1,MONTH(A143)&gt;=FYStart),1,0))</f>
        <v/>
      </c>
      <c r="T143" s="36" t="str">
        <f aca="false">IF(A143="","",MOD(MONTH(A143)-FYStart,12)+1)</f>
        <v/>
      </c>
      <c r="U143" s="37" t="str">
        <f aca="false">IF(A143="","",TEXT(A143,"mmm"))</f>
        <v/>
      </c>
      <c r="V143" s="37" t="str">
        <f aca="false">IF(Q143="","",IFERROR(INDEX(Settings!$I$11:$I$15,MATCH(Q143,Settings!$H$11:$H$15,0)),"No"))</f>
        <v/>
      </c>
      <c r="W143" s="37" t="str">
        <f aca="false">IF(Q143="","",IFERROR(INDEX(Settings!$J$11:$J$15,MATCH(Q143,Settings!$H$11:$H$15,0)),"No"))</f>
        <v/>
      </c>
    </row>
    <row r="144" customFormat="false" ht="15" hidden="false" customHeight="false" outlineLevel="0" collapsed="false">
      <c r="A144" s="30"/>
      <c r="B144" s="25"/>
      <c r="C144" s="25"/>
      <c r="D144" s="25"/>
      <c r="E144" s="25"/>
      <c r="F144" s="25"/>
      <c r="G144" s="25"/>
      <c r="H144" s="31"/>
      <c r="I144" s="32"/>
      <c r="J144" s="33"/>
      <c r="K144" s="34" t="str">
        <f aca="false">IF(OR(H144="",I144=""),"",H144*I144*(1-N(J144)))</f>
        <v/>
      </c>
      <c r="L144" s="32"/>
      <c r="M144" s="34" t="str">
        <f aca="false">IF(OR(H144="",L144=""),"",H144*L144)</f>
        <v/>
      </c>
      <c r="N144" s="34" t="str">
        <f aca="false">IF(OR(K144="",M144=""),"",K144-M144)</f>
        <v/>
      </c>
      <c r="O144" s="35" t="str">
        <f aca="false">IF(OR(N144="",K144=""),"",IF(K144=0,"",N144/K144))</f>
        <v/>
      </c>
      <c r="P144" s="25"/>
      <c r="Q144" s="25"/>
      <c r="R144" s="25"/>
      <c r="S144" s="36" t="str">
        <f aca="false">IF(A144="","",YEAR(A144)+IF(AND(FYStart&gt;1,MONTH(A144)&gt;=FYStart),1,0))</f>
        <v/>
      </c>
      <c r="T144" s="36" t="str">
        <f aca="false">IF(A144="","",MOD(MONTH(A144)-FYStart,12)+1)</f>
        <v/>
      </c>
      <c r="U144" s="37" t="str">
        <f aca="false">IF(A144="","",TEXT(A144,"mmm"))</f>
        <v/>
      </c>
      <c r="V144" s="37" t="str">
        <f aca="false">IF(Q144="","",IFERROR(INDEX(Settings!$I$11:$I$15,MATCH(Q144,Settings!$H$11:$H$15,0)),"No"))</f>
        <v/>
      </c>
      <c r="W144" s="37" t="str">
        <f aca="false">IF(Q144="","",IFERROR(INDEX(Settings!$J$11:$J$15,MATCH(Q144,Settings!$H$11:$H$15,0)),"No"))</f>
        <v/>
      </c>
    </row>
    <row r="145" customFormat="false" ht="15" hidden="false" customHeight="false" outlineLevel="0" collapsed="false">
      <c r="A145" s="30"/>
      <c r="B145" s="25"/>
      <c r="C145" s="25"/>
      <c r="D145" s="25"/>
      <c r="E145" s="25"/>
      <c r="F145" s="25"/>
      <c r="G145" s="25"/>
      <c r="H145" s="31"/>
      <c r="I145" s="32"/>
      <c r="J145" s="33"/>
      <c r="K145" s="34" t="str">
        <f aca="false">IF(OR(H145="",I145=""),"",H145*I145*(1-N(J145)))</f>
        <v/>
      </c>
      <c r="L145" s="32"/>
      <c r="M145" s="34" t="str">
        <f aca="false">IF(OR(H145="",L145=""),"",H145*L145)</f>
        <v/>
      </c>
      <c r="N145" s="34" t="str">
        <f aca="false">IF(OR(K145="",M145=""),"",K145-M145)</f>
        <v/>
      </c>
      <c r="O145" s="35" t="str">
        <f aca="false">IF(OR(N145="",K145=""),"",IF(K145=0,"",N145/K145))</f>
        <v/>
      </c>
      <c r="P145" s="25"/>
      <c r="Q145" s="25"/>
      <c r="R145" s="25"/>
      <c r="S145" s="36" t="str">
        <f aca="false">IF(A145="","",YEAR(A145)+IF(AND(FYStart&gt;1,MONTH(A145)&gt;=FYStart),1,0))</f>
        <v/>
      </c>
      <c r="T145" s="36" t="str">
        <f aca="false">IF(A145="","",MOD(MONTH(A145)-FYStart,12)+1)</f>
        <v/>
      </c>
      <c r="U145" s="37" t="str">
        <f aca="false">IF(A145="","",TEXT(A145,"mmm"))</f>
        <v/>
      </c>
      <c r="V145" s="37" t="str">
        <f aca="false">IF(Q145="","",IFERROR(INDEX(Settings!$I$11:$I$15,MATCH(Q145,Settings!$H$11:$H$15,0)),"No"))</f>
        <v/>
      </c>
      <c r="W145" s="37" t="str">
        <f aca="false">IF(Q145="","",IFERROR(INDEX(Settings!$J$11:$J$15,MATCH(Q145,Settings!$H$11:$H$15,0)),"No"))</f>
        <v/>
      </c>
    </row>
    <row r="146" customFormat="false" ht="15" hidden="false" customHeight="false" outlineLevel="0" collapsed="false">
      <c r="A146" s="30"/>
      <c r="B146" s="25"/>
      <c r="C146" s="25"/>
      <c r="D146" s="25"/>
      <c r="E146" s="25"/>
      <c r="F146" s="25"/>
      <c r="G146" s="25"/>
      <c r="H146" s="31"/>
      <c r="I146" s="32"/>
      <c r="J146" s="33"/>
      <c r="K146" s="34" t="str">
        <f aca="false">IF(OR(H146="",I146=""),"",H146*I146*(1-N(J146)))</f>
        <v/>
      </c>
      <c r="L146" s="32"/>
      <c r="M146" s="34" t="str">
        <f aca="false">IF(OR(H146="",L146=""),"",H146*L146)</f>
        <v/>
      </c>
      <c r="N146" s="34" t="str">
        <f aca="false">IF(OR(K146="",M146=""),"",K146-M146)</f>
        <v/>
      </c>
      <c r="O146" s="35" t="str">
        <f aca="false">IF(OR(N146="",K146=""),"",IF(K146=0,"",N146/K146))</f>
        <v/>
      </c>
      <c r="P146" s="25"/>
      <c r="Q146" s="25"/>
      <c r="R146" s="25"/>
      <c r="S146" s="36" t="str">
        <f aca="false">IF(A146="","",YEAR(A146)+IF(AND(FYStart&gt;1,MONTH(A146)&gt;=FYStart),1,0))</f>
        <v/>
      </c>
      <c r="T146" s="36" t="str">
        <f aca="false">IF(A146="","",MOD(MONTH(A146)-FYStart,12)+1)</f>
        <v/>
      </c>
      <c r="U146" s="37" t="str">
        <f aca="false">IF(A146="","",TEXT(A146,"mmm"))</f>
        <v/>
      </c>
      <c r="V146" s="37" t="str">
        <f aca="false">IF(Q146="","",IFERROR(INDEX(Settings!$I$11:$I$15,MATCH(Q146,Settings!$H$11:$H$15,0)),"No"))</f>
        <v/>
      </c>
      <c r="W146" s="37" t="str">
        <f aca="false">IF(Q146="","",IFERROR(INDEX(Settings!$J$11:$J$15,MATCH(Q146,Settings!$H$11:$H$15,0)),"No"))</f>
        <v/>
      </c>
    </row>
    <row r="147" customFormat="false" ht="15" hidden="false" customHeight="false" outlineLevel="0" collapsed="false">
      <c r="A147" s="30"/>
      <c r="B147" s="25"/>
      <c r="C147" s="25"/>
      <c r="D147" s="25"/>
      <c r="E147" s="25"/>
      <c r="F147" s="25"/>
      <c r="G147" s="25"/>
      <c r="H147" s="31"/>
      <c r="I147" s="32"/>
      <c r="J147" s="33"/>
      <c r="K147" s="34" t="str">
        <f aca="false">IF(OR(H147="",I147=""),"",H147*I147*(1-N(J147)))</f>
        <v/>
      </c>
      <c r="L147" s="32"/>
      <c r="M147" s="34" t="str">
        <f aca="false">IF(OR(H147="",L147=""),"",H147*L147)</f>
        <v/>
      </c>
      <c r="N147" s="34" t="str">
        <f aca="false">IF(OR(K147="",M147=""),"",K147-M147)</f>
        <v/>
      </c>
      <c r="O147" s="35" t="str">
        <f aca="false">IF(OR(N147="",K147=""),"",IF(K147=0,"",N147/K147))</f>
        <v/>
      </c>
      <c r="P147" s="25"/>
      <c r="Q147" s="25"/>
      <c r="R147" s="25"/>
      <c r="S147" s="36" t="str">
        <f aca="false">IF(A147="","",YEAR(A147)+IF(AND(FYStart&gt;1,MONTH(A147)&gt;=FYStart),1,0))</f>
        <v/>
      </c>
      <c r="T147" s="36" t="str">
        <f aca="false">IF(A147="","",MOD(MONTH(A147)-FYStart,12)+1)</f>
        <v/>
      </c>
      <c r="U147" s="37" t="str">
        <f aca="false">IF(A147="","",TEXT(A147,"mmm"))</f>
        <v/>
      </c>
      <c r="V147" s="37" t="str">
        <f aca="false">IF(Q147="","",IFERROR(INDEX(Settings!$I$11:$I$15,MATCH(Q147,Settings!$H$11:$H$15,0)),"No"))</f>
        <v/>
      </c>
      <c r="W147" s="37" t="str">
        <f aca="false">IF(Q147="","",IFERROR(INDEX(Settings!$J$11:$J$15,MATCH(Q147,Settings!$H$11:$H$15,0)),"No"))</f>
        <v/>
      </c>
    </row>
    <row r="148" customFormat="false" ht="15" hidden="false" customHeight="false" outlineLevel="0" collapsed="false">
      <c r="A148" s="30"/>
      <c r="B148" s="25"/>
      <c r="C148" s="25"/>
      <c r="D148" s="25"/>
      <c r="E148" s="25"/>
      <c r="F148" s="25"/>
      <c r="G148" s="25"/>
      <c r="H148" s="31"/>
      <c r="I148" s="32"/>
      <c r="J148" s="33"/>
      <c r="K148" s="34" t="str">
        <f aca="false">IF(OR(H148="",I148=""),"",H148*I148*(1-N(J148)))</f>
        <v/>
      </c>
      <c r="L148" s="32"/>
      <c r="M148" s="34" t="str">
        <f aca="false">IF(OR(H148="",L148=""),"",H148*L148)</f>
        <v/>
      </c>
      <c r="N148" s="34" t="str">
        <f aca="false">IF(OR(K148="",M148=""),"",K148-M148)</f>
        <v/>
      </c>
      <c r="O148" s="35" t="str">
        <f aca="false">IF(OR(N148="",K148=""),"",IF(K148=0,"",N148/K148))</f>
        <v/>
      </c>
      <c r="P148" s="25"/>
      <c r="Q148" s="25"/>
      <c r="R148" s="25"/>
      <c r="S148" s="36" t="str">
        <f aca="false">IF(A148="","",YEAR(A148)+IF(AND(FYStart&gt;1,MONTH(A148)&gt;=FYStart),1,0))</f>
        <v/>
      </c>
      <c r="T148" s="36" t="str">
        <f aca="false">IF(A148="","",MOD(MONTH(A148)-FYStart,12)+1)</f>
        <v/>
      </c>
      <c r="U148" s="37" t="str">
        <f aca="false">IF(A148="","",TEXT(A148,"mmm"))</f>
        <v/>
      </c>
      <c r="V148" s="37" t="str">
        <f aca="false">IF(Q148="","",IFERROR(INDEX(Settings!$I$11:$I$15,MATCH(Q148,Settings!$H$11:$H$15,0)),"No"))</f>
        <v/>
      </c>
      <c r="W148" s="37" t="str">
        <f aca="false">IF(Q148="","",IFERROR(INDEX(Settings!$J$11:$J$15,MATCH(Q148,Settings!$H$11:$H$15,0)),"No"))</f>
        <v/>
      </c>
    </row>
    <row r="149" customFormat="false" ht="15" hidden="false" customHeight="false" outlineLevel="0" collapsed="false">
      <c r="A149" s="30"/>
      <c r="B149" s="25"/>
      <c r="C149" s="25"/>
      <c r="D149" s="25"/>
      <c r="E149" s="25"/>
      <c r="F149" s="25"/>
      <c r="G149" s="25"/>
      <c r="H149" s="31"/>
      <c r="I149" s="32"/>
      <c r="J149" s="33"/>
      <c r="K149" s="34" t="str">
        <f aca="false">IF(OR(H149="",I149=""),"",H149*I149*(1-N(J149)))</f>
        <v/>
      </c>
      <c r="L149" s="32"/>
      <c r="M149" s="34" t="str">
        <f aca="false">IF(OR(H149="",L149=""),"",H149*L149)</f>
        <v/>
      </c>
      <c r="N149" s="34" t="str">
        <f aca="false">IF(OR(K149="",M149=""),"",K149-M149)</f>
        <v/>
      </c>
      <c r="O149" s="35" t="str">
        <f aca="false">IF(OR(N149="",K149=""),"",IF(K149=0,"",N149/K149))</f>
        <v/>
      </c>
      <c r="P149" s="25"/>
      <c r="Q149" s="25"/>
      <c r="R149" s="25"/>
      <c r="S149" s="36" t="str">
        <f aca="false">IF(A149="","",YEAR(A149)+IF(AND(FYStart&gt;1,MONTH(A149)&gt;=FYStart),1,0))</f>
        <v/>
      </c>
      <c r="T149" s="36" t="str">
        <f aca="false">IF(A149="","",MOD(MONTH(A149)-FYStart,12)+1)</f>
        <v/>
      </c>
      <c r="U149" s="37" t="str">
        <f aca="false">IF(A149="","",TEXT(A149,"mmm"))</f>
        <v/>
      </c>
      <c r="V149" s="37" t="str">
        <f aca="false">IF(Q149="","",IFERROR(INDEX(Settings!$I$11:$I$15,MATCH(Q149,Settings!$H$11:$H$15,0)),"No"))</f>
        <v/>
      </c>
      <c r="W149" s="37" t="str">
        <f aca="false">IF(Q149="","",IFERROR(INDEX(Settings!$J$11:$J$15,MATCH(Q149,Settings!$H$11:$H$15,0)),"No"))</f>
        <v/>
      </c>
    </row>
    <row r="150" customFormat="false" ht="15" hidden="false" customHeight="false" outlineLevel="0" collapsed="false">
      <c r="A150" s="30"/>
      <c r="B150" s="25"/>
      <c r="C150" s="25"/>
      <c r="D150" s="25"/>
      <c r="E150" s="25"/>
      <c r="F150" s="25"/>
      <c r="G150" s="25"/>
      <c r="H150" s="31"/>
      <c r="I150" s="32"/>
      <c r="J150" s="33"/>
      <c r="K150" s="34" t="str">
        <f aca="false">IF(OR(H150="",I150=""),"",H150*I150*(1-N(J150)))</f>
        <v/>
      </c>
      <c r="L150" s="32"/>
      <c r="M150" s="34" t="str">
        <f aca="false">IF(OR(H150="",L150=""),"",H150*L150)</f>
        <v/>
      </c>
      <c r="N150" s="34" t="str">
        <f aca="false">IF(OR(K150="",M150=""),"",K150-M150)</f>
        <v/>
      </c>
      <c r="O150" s="35" t="str">
        <f aca="false">IF(OR(N150="",K150=""),"",IF(K150=0,"",N150/K150))</f>
        <v/>
      </c>
      <c r="P150" s="25"/>
      <c r="Q150" s="25"/>
      <c r="R150" s="25"/>
      <c r="S150" s="36" t="str">
        <f aca="false">IF(A150="","",YEAR(A150)+IF(AND(FYStart&gt;1,MONTH(A150)&gt;=FYStart),1,0))</f>
        <v/>
      </c>
      <c r="T150" s="36" t="str">
        <f aca="false">IF(A150="","",MOD(MONTH(A150)-FYStart,12)+1)</f>
        <v/>
      </c>
      <c r="U150" s="37" t="str">
        <f aca="false">IF(A150="","",TEXT(A150,"mmm"))</f>
        <v/>
      </c>
      <c r="V150" s="37" t="str">
        <f aca="false">IF(Q150="","",IFERROR(INDEX(Settings!$I$11:$I$15,MATCH(Q150,Settings!$H$11:$H$15,0)),"No"))</f>
        <v/>
      </c>
      <c r="W150" s="37" t="str">
        <f aca="false">IF(Q150="","",IFERROR(INDEX(Settings!$J$11:$J$15,MATCH(Q150,Settings!$H$11:$H$15,0)),"No"))</f>
        <v/>
      </c>
    </row>
    <row r="151" customFormat="false" ht="15" hidden="false" customHeight="false" outlineLevel="0" collapsed="false">
      <c r="A151" s="30"/>
      <c r="B151" s="25"/>
      <c r="C151" s="25"/>
      <c r="D151" s="25"/>
      <c r="E151" s="25"/>
      <c r="F151" s="25"/>
      <c r="G151" s="25"/>
      <c r="H151" s="31"/>
      <c r="I151" s="32"/>
      <c r="J151" s="33"/>
      <c r="K151" s="34" t="str">
        <f aca="false">IF(OR(H151="",I151=""),"",H151*I151*(1-N(J151)))</f>
        <v/>
      </c>
      <c r="L151" s="32"/>
      <c r="M151" s="34" t="str">
        <f aca="false">IF(OR(H151="",L151=""),"",H151*L151)</f>
        <v/>
      </c>
      <c r="N151" s="34" t="str">
        <f aca="false">IF(OR(K151="",M151=""),"",K151-M151)</f>
        <v/>
      </c>
      <c r="O151" s="35" t="str">
        <f aca="false">IF(OR(N151="",K151=""),"",IF(K151=0,"",N151/K151))</f>
        <v/>
      </c>
      <c r="P151" s="25"/>
      <c r="Q151" s="25"/>
      <c r="R151" s="25"/>
      <c r="S151" s="36" t="str">
        <f aca="false">IF(A151="","",YEAR(A151)+IF(AND(FYStart&gt;1,MONTH(A151)&gt;=FYStart),1,0))</f>
        <v/>
      </c>
      <c r="T151" s="36" t="str">
        <f aca="false">IF(A151="","",MOD(MONTH(A151)-FYStart,12)+1)</f>
        <v/>
      </c>
      <c r="U151" s="37" t="str">
        <f aca="false">IF(A151="","",TEXT(A151,"mmm"))</f>
        <v/>
      </c>
      <c r="V151" s="37" t="str">
        <f aca="false">IF(Q151="","",IFERROR(INDEX(Settings!$I$11:$I$15,MATCH(Q151,Settings!$H$11:$H$15,0)),"No"))</f>
        <v/>
      </c>
      <c r="W151" s="37" t="str">
        <f aca="false">IF(Q151="","",IFERROR(INDEX(Settings!$J$11:$J$15,MATCH(Q151,Settings!$H$11:$H$15,0)),"No"))</f>
        <v/>
      </c>
    </row>
    <row r="152" customFormat="false" ht="15" hidden="false" customHeight="false" outlineLevel="0" collapsed="false">
      <c r="A152" s="30"/>
      <c r="B152" s="25"/>
      <c r="C152" s="25"/>
      <c r="D152" s="25"/>
      <c r="E152" s="25"/>
      <c r="F152" s="25"/>
      <c r="G152" s="25"/>
      <c r="H152" s="31"/>
      <c r="I152" s="32"/>
      <c r="J152" s="33"/>
      <c r="K152" s="34" t="str">
        <f aca="false">IF(OR(H152="",I152=""),"",H152*I152*(1-N(J152)))</f>
        <v/>
      </c>
      <c r="L152" s="32"/>
      <c r="M152" s="34" t="str">
        <f aca="false">IF(OR(H152="",L152=""),"",H152*L152)</f>
        <v/>
      </c>
      <c r="N152" s="34" t="str">
        <f aca="false">IF(OR(K152="",M152=""),"",K152-M152)</f>
        <v/>
      </c>
      <c r="O152" s="35" t="str">
        <f aca="false">IF(OR(N152="",K152=""),"",IF(K152=0,"",N152/K152))</f>
        <v/>
      </c>
      <c r="P152" s="25"/>
      <c r="Q152" s="25"/>
      <c r="R152" s="25"/>
      <c r="S152" s="36" t="str">
        <f aca="false">IF(A152="","",YEAR(A152)+IF(AND(FYStart&gt;1,MONTH(A152)&gt;=FYStart),1,0))</f>
        <v/>
      </c>
      <c r="T152" s="36" t="str">
        <f aca="false">IF(A152="","",MOD(MONTH(A152)-FYStart,12)+1)</f>
        <v/>
      </c>
      <c r="U152" s="37" t="str">
        <f aca="false">IF(A152="","",TEXT(A152,"mmm"))</f>
        <v/>
      </c>
      <c r="V152" s="37" t="str">
        <f aca="false">IF(Q152="","",IFERROR(INDEX(Settings!$I$11:$I$15,MATCH(Q152,Settings!$H$11:$H$15,0)),"No"))</f>
        <v/>
      </c>
      <c r="W152" s="37" t="str">
        <f aca="false">IF(Q152="","",IFERROR(INDEX(Settings!$J$11:$J$15,MATCH(Q152,Settings!$H$11:$H$15,0)),"No"))</f>
        <v/>
      </c>
    </row>
    <row r="153" customFormat="false" ht="15" hidden="false" customHeight="false" outlineLevel="0" collapsed="false">
      <c r="A153" s="30"/>
      <c r="B153" s="25"/>
      <c r="C153" s="25"/>
      <c r="D153" s="25"/>
      <c r="E153" s="25"/>
      <c r="F153" s="25"/>
      <c r="G153" s="25"/>
      <c r="H153" s="31"/>
      <c r="I153" s="32"/>
      <c r="J153" s="33"/>
      <c r="K153" s="34" t="str">
        <f aca="false">IF(OR(H153="",I153=""),"",H153*I153*(1-N(J153)))</f>
        <v/>
      </c>
      <c r="L153" s="32"/>
      <c r="M153" s="34" t="str">
        <f aca="false">IF(OR(H153="",L153=""),"",H153*L153)</f>
        <v/>
      </c>
      <c r="N153" s="34" t="str">
        <f aca="false">IF(OR(K153="",M153=""),"",K153-M153)</f>
        <v/>
      </c>
      <c r="O153" s="35" t="str">
        <f aca="false">IF(OR(N153="",K153=""),"",IF(K153=0,"",N153/K153))</f>
        <v/>
      </c>
      <c r="P153" s="25"/>
      <c r="Q153" s="25"/>
      <c r="R153" s="25"/>
      <c r="S153" s="36" t="str">
        <f aca="false">IF(A153="","",YEAR(A153)+IF(AND(FYStart&gt;1,MONTH(A153)&gt;=FYStart),1,0))</f>
        <v/>
      </c>
      <c r="T153" s="36" t="str">
        <f aca="false">IF(A153="","",MOD(MONTH(A153)-FYStart,12)+1)</f>
        <v/>
      </c>
      <c r="U153" s="37" t="str">
        <f aca="false">IF(A153="","",TEXT(A153,"mmm"))</f>
        <v/>
      </c>
      <c r="V153" s="37" t="str">
        <f aca="false">IF(Q153="","",IFERROR(INDEX(Settings!$I$11:$I$15,MATCH(Q153,Settings!$H$11:$H$15,0)),"No"))</f>
        <v/>
      </c>
      <c r="W153" s="37" t="str">
        <f aca="false">IF(Q153="","",IFERROR(INDEX(Settings!$J$11:$J$15,MATCH(Q153,Settings!$H$11:$H$15,0)),"No"))</f>
        <v/>
      </c>
    </row>
    <row r="154" customFormat="false" ht="15" hidden="false" customHeight="false" outlineLevel="0" collapsed="false">
      <c r="A154" s="30"/>
      <c r="B154" s="25"/>
      <c r="C154" s="25"/>
      <c r="D154" s="25"/>
      <c r="E154" s="25"/>
      <c r="F154" s="25"/>
      <c r="G154" s="25"/>
      <c r="H154" s="31"/>
      <c r="I154" s="32"/>
      <c r="J154" s="33"/>
      <c r="K154" s="34" t="str">
        <f aca="false">IF(OR(H154="",I154=""),"",H154*I154*(1-N(J154)))</f>
        <v/>
      </c>
      <c r="L154" s="32"/>
      <c r="M154" s="34" t="str">
        <f aca="false">IF(OR(H154="",L154=""),"",H154*L154)</f>
        <v/>
      </c>
      <c r="N154" s="34" t="str">
        <f aca="false">IF(OR(K154="",M154=""),"",K154-M154)</f>
        <v/>
      </c>
      <c r="O154" s="35" t="str">
        <f aca="false">IF(OR(N154="",K154=""),"",IF(K154=0,"",N154/K154))</f>
        <v/>
      </c>
      <c r="P154" s="25"/>
      <c r="Q154" s="25"/>
      <c r="R154" s="25"/>
      <c r="S154" s="36" t="str">
        <f aca="false">IF(A154="","",YEAR(A154)+IF(AND(FYStart&gt;1,MONTH(A154)&gt;=FYStart),1,0))</f>
        <v/>
      </c>
      <c r="T154" s="36" t="str">
        <f aca="false">IF(A154="","",MOD(MONTH(A154)-FYStart,12)+1)</f>
        <v/>
      </c>
      <c r="U154" s="37" t="str">
        <f aca="false">IF(A154="","",TEXT(A154,"mmm"))</f>
        <v/>
      </c>
      <c r="V154" s="37" t="str">
        <f aca="false">IF(Q154="","",IFERROR(INDEX(Settings!$I$11:$I$15,MATCH(Q154,Settings!$H$11:$H$15,0)),"No"))</f>
        <v/>
      </c>
      <c r="W154" s="37" t="str">
        <f aca="false">IF(Q154="","",IFERROR(INDEX(Settings!$J$11:$J$15,MATCH(Q154,Settings!$H$11:$H$15,0)),"No"))</f>
        <v/>
      </c>
    </row>
    <row r="155" customFormat="false" ht="15" hidden="false" customHeight="false" outlineLevel="0" collapsed="false">
      <c r="A155" s="30"/>
      <c r="B155" s="25"/>
      <c r="C155" s="25"/>
      <c r="D155" s="25"/>
      <c r="E155" s="25"/>
      <c r="F155" s="25"/>
      <c r="G155" s="25"/>
      <c r="H155" s="31"/>
      <c r="I155" s="32"/>
      <c r="J155" s="33"/>
      <c r="K155" s="34" t="str">
        <f aca="false">IF(OR(H155="",I155=""),"",H155*I155*(1-N(J155)))</f>
        <v/>
      </c>
      <c r="L155" s="32"/>
      <c r="M155" s="34" t="str">
        <f aca="false">IF(OR(H155="",L155=""),"",H155*L155)</f>
        <v/>
      </c>
      <c r="N155" s="34" t="str">
        <f aca="false">IF(OR(K155="",M155=""),"",K155-M155)</f>
        <v/>
      </c>
      <c r="O155" s="35" t="str">
        <f aca="false">IF(OR(N155="",K155=""),"",IF(K155=0,"",N155/K155))</f>
        <v/>
      </c>
      <c r="P155" s="25"/>
      <c r="Q155" s="25"/>
      <c r="R155" s="25"/>
      <c r="S155" s="36" t="str">
        <f aca="false">IF(A155="","",YEAR(A155)+IF(AND(FYStart&gt;1,MONTH(A155)&gt;=FYStart),1,0))</f>
        <v/>
      </c>
      <c r="T155" s="36" t="str">
        <f aca="false">IF(A155="","",MOD(MONTH(A155)-FYStart,12)+1)</f>
        <v/>
      </c>
      <c r="U155" s="37" t="str">
        <f aca="false">IF(A155="","",TEXT(A155,"mmm"))</f>
        <v/>
      </c>
      <c r="V155" s="37" t="str">
        <f aca="false">IF(Q155="","",IFERROR(INDEX(Settings!$I$11:$I$15,MATCH(Q155,Settings!$H$11:$H$15,0)),"No"))</f>
        <v/>
      </c>
      <c r="W155" s="37" t="str">
        <f aca="false">IF(Q155="","",IFERROR(INDEX(Settings!$J$11:$J$15,MATCH(Q155,Settings!$H$11:$H$15,0)),"No"))</f>
        <v/>
      </c>
    </row>
    <row r="156" customFormat="false" ht="15" hidden="false" customHeight="false" outlineLevel="0" collapsed="false">
      <c r="A156" s="30"/>
      <c r="B156" s="25"/>
      <c r="C156" s="25"/>
      <c r="D156" s="25"/>
      <c r="E156" s="25"/>
      <c r="F156" s="25"/>
      <c r="G156" s="25"/>
      <c r="H156" s="31"/>
      <c r="I156" s="32"/>
      <c r="J156" s="33"/>
      <c r="K156" s="34" t="str">
        <f aca="false">IF(OR(H156="",I156=""),"",H156*I156*(1-N(J156)))</f>
        <v/>
      </c>
      <c r="L156" s="32"/>
      <c r="M156" s="34" t="str">
        <f aca="false">IF(OR(H156="",L156=""),"",H156*L156)</f>
        <v/>
      </c>
      <c r="N156" s="34" t="str">
        <f aca="false">IF(OR(K156="",M156=""),"",K156-M156)</f>
        <v/>
      </c>
      <c r="O156" s="35" t="str">
        <f aca="false">IF(OR(N156="",K156=""),"",IF(K156=0,"",N156/K156))</f>
        <v/>
      </c>
      <c r="P156" s="25"/>
      <c r="Q156" s="25"/>
      <c r="R156" s="25"/>
      <c r="S156" s="36" t="str">
        <f aca="false">IF(A156="","",YEAR(A156)+IF(AND(FYStart&gt;1,MONTH(A156)&gt;=FYStart),1,0))</f>
        <v/>
      </c>
      <c r="T156" s="36" t="str">
        <f aca="false">IF(A156="","",MOD(MONTH(A156)-FYStart,12)+1)</f>
        <v/>
      </c>
      <c r="U156" s="37" t="str">
        <f aca="false">IF(A156="","",TEXT(A156,"mmm"))</f>
        <v/>
      </c>
      <c r="V156" s="37" t="str">
        <f aca="false">IF(Q156="","",IFERROR(INDEX(Settings!$I$11:$I$15,MATCH(Q156,Settings!$H$11:$H$15,0)),"No"))</f>
        <v/>
      </c>
      <c r="W156" s="37" t="str">
        <f aca="false">IF(Q156="","",IFERROR(INDEX(Settings!$J$11:$J$15,MATCH(Q156,Settings!$H$11:$H$15,0)),"No"))</f>
        <v/>
      </c>
    </row>
    <row r="157" customFormat="false" ht="15" hidden="false" customHeight="false" outlineLevel="0" collapsed="false">
      <c r="A157" s="30"/>
      <c r="B157" s="25"/>
      <c r="C157" s="25"/>
      <c r="D157" s="25"/>
      <c r="E157" s="25"/>
      <c r="F157" s="25"/>
      <c r="G157" s="25"/>
      <c r="H157" s="31"/>
      <c r="I157" s="32"/>
      <c r="J157" s="33"/>
      <c r="K157" s="34" t="str">
        <f aca="false">IF(OR(H157="",I157=""),"",H157*I157*(1-N(J157)))</f>
        <v/>
      </c>
      <c r="L157" s="32"/>
      <c r="M157" s="34" t="str">
        <f aca="false">IF(OR(H157="",L157=""),"",H157*L157)</f>
        <v/>
      </c>
      <c r="N157" s="34" t="str">
        <f aca="false">IF(OR(K157="",M157=""),"",K157-M157)</f>
        <v/>
      </c>
      <c r="O157" s="35" t="str">
        <f aca="false">IF(OR(N157="",K157=""),"",IF(K157=0,"",N157/K157))</f>
        <v/>
      </c>
      <c r="P157" s="25"/>
      <c r="Q157" s="25"/>
      <c r="R157" s="25"/>
      <c r="S157" s="36" t="str">
        <f aca="false">IF(A157="","",YEAR(A157)+IF(AND(FYStart&gt;1,MONTH(A157)&gt;=FYStart),1,0))</f>
        <v/>
      </c>
      <c r="T157" s="36" t="str">
        <f aca="false">IF(A157="","",MOD(MONTH(A157)-FYStart,12)+1)</f>
        <v/>
      </c>
      <c r="U157" s="37" t="str">
        <f aca="false">IF(A157="","",TEXT(A157,"mmm"))</f>
        <v/>
      </c>
      <c r="V157" s="37" t="str">
        <f aca="false">IF(Q157="","",IFERROR(INDEX(Settings!$I$11:$I$15,MATCH(Q157,Settings!$H$11:$H$15,0)),"No"))</f>
        <v/>
      </c>
      <c r="W157" s="37" t="str">
        <f aca="false">IF(Q157="","",IFERROR(INDEX(Settings!$J$11:$J$15,MATCH(Q157,Settings!$H$11:$H$15,0)),"No"))</f>
        <v/>
      </c>
    </row>
    <row r="158" customFormat="false" ht="15" hidden="false" customHeight="false" outlineLevel="0" collapsed="false">
      <c r="A158" s="30"/>
      <c r="B158" s="25"/>
      <c r="C158" s="25"/>
      <c r="D158" s="25"/>
      <c r="E158" s="25"/>
      <c r="F158" s="25"/>
      <c r="G158" s="25"/>
      <c r="H158" s="31"/>
      <c r="I158" s="32"/>
      <c r="J158" s="33"/>
      <c r="K158" s="34" t="str">
        <f aca="false">IF(OR(H158="",I158=""),"",H158*I158*(1-N(J158)))</f>
        <v/>
      </c>
      <c r="L158" s="32"/>
      <c r="M158" s="34" t="str">
        <f aca="false">IF(OR(H158="",L158=""),"",H158*L158)</f>
        <v/>
      </c>
      <c r="N158" s="34" t="str">
        <f aca="false">IF(OR(K158="",M158=""),"",K158-M158)</f>
        <v/>
      </c>
      <c r="O158" s="35" t="str">
        <f aca="false">IF(OR(N158="",K158=""),"",IF(K158=0,"",N158/K158))</f>
        <v/>
      </c>
      <c r="P158" s="25"/>
      <c r="Q158" s="25"/>
      <c r="R158" s="25"/>
      <c r="S158" s="36" t="str">
        <f aca="false">IF(A158="","",YEAR(A158)+IF(AND(FYStart&gt;1,MONTH(A158)&gt;=FYStart),1,0))</f>
        <v/>
      </c>
      <c r="T158" s="36" t="str">
        <f aca="false">IF(A158="","",MOD(MONTH(A158)-FYStart,12)+1)</f>
        <v/>
      </c>
      <c r="U158" s="37" t="str">
        <f aca="false">IF(A158="","",TEXT(A158,"mmm"))</f>
        <v/>
      </c>
      <c r="V158" s="37" t="str">
        <f aca="false">IF(Q158="","",IFERROR(INDEX(Settings!$I$11:$I$15,MATCH(Q158,Settings!$H$11:$H$15,0)),"No"))</f>
        <v/>
      </c>
      <c r="W158" s="37" t="str">
        <f aca="false">IF(Q158="","",IFERROR(INDEX(Settings!$J$11:$J$15,MATCH(Q158,Settings!$H$11:$H$15,0)),"No"))</f>
        <v/>
      </c>
    </row>
    <row r="159" customFormat="false" ht="15" hidden="false" customHeight="false" outlineLevel="0" collapsed="false">
      <c r="A159" s="30"/>
      <c r="B159" s="25"/>
      <c r="C159" s="25"/>
      <c r="D159" s="25"/>
      <c r="E159" s="25"/>
      <c r="F159" s="25"/>
      <c r="G159" s="25"/>
      <c r="H159" s="31"/>
      <c r="I159" s="32"/>
      <c r="J159" s="33"/>
      <c r="K159" s="34" t="str">
        <f aca="false">IF(OR(H159="",I159=""),"",H159*I159*(1-N(J159)))</f>
        <v/>
      </c>
      <c r="L159" s="32"/>
      <c r="M159" s="34" t="str">
        <f aca="false">IF(OR(H159="",L159=""),"",H159*L159)</f>
        <v/>
      </c>
      <c r="N159" s="34" t="str">
        <f aca="false">IF(OR(K159="",M159=""),"",K159-M159)</f>
        <v/>
      </c>
      <c r="O159" s="35" t="str">
        <f aca="false">IF(OR(N159="",K159=""),"",IF(K159=0,"",N159/K159))</f>
        <v/>
      </c>
      <c r="P159" s="25"/>
      <c r="Q159" s="25"/>
      <c r="R159" s="25"/>
      <c r="S159" s="36" t="str">
        <f aca="false">IF(A159="","",YEAR(A159)+IF(AND(FYStart&gt;1,MONTH(A159)&gt;=FYStart),1,0))</f>
        <v/>
      </c>
      <c r="T159" s="36" t="str">
        <f aca="false">IF(A159="","",MOD(MONTH(A159)-FYStart,12)+1)</f>
        <v/>
      </c>
      <c r="U159" s="37" t="str">
        <f aca="false">IF(A159="","",TEXT(A159,"mmm"))</f>
        <v/>
      </c>
      <c r="V159" s="37" t="str">
        <f aca="false">IF(Q159="","",IFERROR(INDEX(Settings!$I$11:$I$15,MATCH(Q159,Settings!$H$11:$H$15,0)),"No"))</f>
        <v/>
      </c>
      <c r="W159" s="37" t="str">
        <f aca="false">IF(Q159="","",IFERROR(INDEX(Settings!$J$11:$J$15,MATCH(Q159,Settings!$H$11:$H$15,0)),"No"))</f>
        <v/>
      </c>
    </row>
    <row r="160" customFormat="false" ht="15" hidden="false" customHeight="false" outlineLevel="0" collapsed="false">
      <c r="A160" s="30"/>
      <c r="B160" s="25"/>
      <c r="C160" s="25"/>
      <c r="D160" s="25"/>
      <c r="E160" s="25"/>
      <c r="F160" s="25"/>
      <c r="G160" s="25"/>
      <c r="H160" s="31"/>
      <c r="I160" s="32"/>
      <c r="J160" s="33"/>
      <c r="K160" s="34" t="str">
        <f aca="false">IF(OR(H160="",I160=""),"",H160*I160*(1-N(J160)))</f>
        <v/>
      </c>
      <c r="L160" s="32"/>
      <c r="M160" s="34" t="str">
        <f aca="false">IF(OR(H160="",L160=""),"",H160*L160)</f>
        <v/>
      </c>
      <c r="N160" s="34" t="str">
        <f aca="false">IF(OR(K160="",M160=""),"",K160-M160)</f>
        <v/>
      </c>
      <c r="O160" s="35" t="str">
        <f aca="false">IF(OR(N160="",K160=""),"",IF(K160=0,"",N160/K160))</f>
        <v/>
      </c>
      <c r="P160" s="25"/>
      <c r="Q160" s="25"/>
      <c r="R160" s="25"/>
      <c r="S160" s="36" t="str">
        <f aca="false">IF(A160="","",YEAR(A160)+IF(AND(FYStart&gt;1,MONTH(A160)&gt;=FYStart),1,0))</f>
        <v/>
      </c>
      <c r="T160" s="36" t="str">
        <f aca="false">IF(A160="","",MOD(MONTH(A160)-FYStart,12)+1)</f>
        <v/>
      </c>
      <c r="U160" s="37" t="str">
        <f aca="false">IF(A160="","",TEXT(A160,"mmm"))</f>
        <v/>
      </c>
      <c r="V160" s="37" t="str">
        <f aca="false">IF(Q160="","",IFERROR(INDEX(Settings!$I$11:$I$15,MATCH(Q160,Settings!$H$11:$H$15,0)),"No"))</f>
        <v/>
      </c>
      <c r="W160" s="37" t="str">
        <f aca="false">IF(Q160="","",IFERROR(INDEX(Settings!$J$11:$J$15,MATCH(Q160,Settings!$H$11:$H$15,0)),"No"))</f>
        <v/>
      </c>
    </row>
    <row r="161" customFormat="false" ht="15" hidden="false" customHeight="false" outlineLevel="0" collapsed="false">
      <c r="A161" s="30"/>
      <c r="B161" s="25"/>
      <c r="C161" s="25"/>
      <c r="D161" s="25"/>
      <c r="E161" s="25"/>
      <c r="F161" s="25"/>
      <c r="G161" s="25"/>
      <c r="H161" s="31"/>
      <c r="I161" s="32"/>
      <c r="J161" s="33"/>
      <c r="K161" s="34" t="str">
        <f aca="false">IF(OR(H161="",I161=""),"",H161*I161*(1-N(J161)))</f>
        <v/>
      </c>
      <c r="L161" s="32"/>
      <c r="M161" s="34" t="str">
        <f aca="false">IF(OR(H161="",L161=""),"",H161*L161)</f>
        <v/>
      </c>
      <c r="N161" s="34" t="str">
        <f aca="false">IF(OR(K161="",M161=""),"",K161-M161)</f>
        <v/>
      </c>
      <c r="O161" s="35" t="str">
        <f aca="false">IF(OR(N161="",K161=""),"",IF(K161=0,"",N161/K161))</f>
        <v/>
      </c>
      <c r="P161" s="25"/>
      <c r="Q161" s="25"/>
      <c r="R161" s="25"/>
      <c r="S161" s="36" t="str">
        <f aca="false">IF(A161="","",YEAR(A161)+IF(AND(FYStart&gt;1,MONTH(A161)&gt;=FYStart),1,0))</f>
        <v/>
      </c>
      <c r="T161" s="36" t="str">
        <f aca="false">IF(A161="","",MOD(MONTH(A161)-FYStart,12)+1)</f>
        <v/>
      </c>
      <c r="U161" s="37" t="str">
        <f aca="false">IF(A161="","",TEXT(A161,"mmm"))</f>
        <v/>
      </c>
      <c r="V161" s="37" t="str">
        <f aca="false">IF(Q161="","",IFERROR(INDEX(Settings!$I$11:$I$15,MATCH(Q161,Settings!$H$11:$H$15,0)),"No"))</f>
        <v/>
      </c>
      <c r="W161" s="37" t="str">
        <f aca="false">IF(Q161="","",IFERROR(INDEX(Settings!$J$11:$J$15,MATCH(Q161,Settings!$H$11:$H$15,0)),"No"))</f>
        <v/>
      </c>
    </row>
    <row r="162" customFormat="false" ht="15" hidden="false" customHeight="false" outlineLevel="0" collapsed="false">
      <c r="A162" s="30"/>
      <c r="B162" s="25"/>
      <c r="C162" s="25"/>
      <c r="D162" s="25"/>
      <c r="E162" s="25"/>
      <c r="F162" s="25"/>
      <c r="G162" s="25"/>
      <c r="H162" s="31"/>
      <c r="I162" s="32"/>
      <c r="J162" s="33"/>
      <c r="K162" s="34" t="str">
        <f aca="false">IF(OR(H162="",I162=""),"",H162*I162*(1-N(J162)))</f>
        <v/>
      </c>
      <c r="L162" s="32"/>
      <c r="M162" s="34" t="str">
        <f aca="false">IF(OR(H162="",L162=""),"",H162*L162)</f>
        <v/>
      </c>
      <c r="N162" s="34" t="str">
        <f aca="false">IF(OR(K162="",M162=""),"",K162-M162)</f>
        <v/>
      </c>
      <c r="O162" s="35" t="str">
        <f aca="false">IF(OR(N162="",K162=""),"",IF(K162=0,"",N162/K162))</f>
        <v/>
      </c>
      <c r="P162" s="25"/>
      <c r="Q162" s="25"/>
      <c r="R162" s="25"/>
      <c r="S162" s="36" t="str">
        <f aca="false">IF(A162="","",YEAR(A162)+IF(AND(FYStart&gt;1,MONTH(A162)&gt;=FYStart),1,0))</f>
        <v/>
      </c>
      <c r="T162" s="36" t="str">
        <f aca="false">IF(A162="","",MOD(MONTH(A162)-FYStart,12)+1)</f>
        <v/>
      </c>
      <c r="U162" s="37" t="str">
        <f aca="false">IF(A162="","",TEXT(A162,"mmm"))</f>
        <v/>
      </c>
      <c r="V162" s="37" t="str">
        <f aca="false">IF(Q162="","",IFERROR(INDEX(Settings!$I$11:$I$15,MATCH(Q162,Settings!$H$11:$H$15,0)),"No"))</f>
        <v/>
      </c>
      <c r="W162" s="37" t="str">
        <f aca="false">IF(Q162="","",IFERROR(INDEX(Settings!$J$11:$J$15,MATCH(Q162,Settings!$H$11:$H$15,0)),"No"))</f>
        <v/>
      </c>
    </row>
    <row r="163" customFormat="false" ht="15" hidden="false" customHeight="false" outlineLevel="0" collapsed="false">
      <c r="A163" s="30"/>
      <c r="B163" s="25"/>
      <c r="C163" s="25"/>
      <c r="D163" s="25"/>
      <c r="E163" s="25"/>
      <c r="F163" s="25"/>
      <c r="G163" s="25"/>
      <c r="H163" s="31"/>
      <c r="I163" s="32"/>
      <c r="J163" s="33"/>
      <c r="K163" s="34" t="str">
        <f aca="false">IF(OR(H163="",I163=""),"",H163*I163*(1-N(J163)))</f>
        <v/>
      </c>
      <c r="L163" s="32"/>
      <c r="M163" s="34" t="str">
        <f aca="false">IF(OR(H163="",L163=""),"",H163*L163)</f>
        <v/>
      </c>
      <c r="N163" s="34" t="str">
        <f aca="false">IF(OR(K163="",M163=""),"",K163-M163)</f>
        <v/>
      </c>
      <c r="O163" s="35" t="str">
        <f aca="false">IF(OR(N163="",K163=""),"",IF(K163=0,"",N163/K163))</f>
        <v/>
      </c>
      <c r="P163" s="25"/>
      <c r="Q163" s="25"/>
      <c r="R163" s="25"/>
      <c r="S163" s="36" t="str">
        <f aca="false">IF(A163="","",YEAR(A163)+IF(AND(FYStart&gt;1,MONTH(A163)&gt;=FYStart),1,0))</f>
        <v/>
      </c>
      <c r="T163" s="36" t="str">
        <f aca="false">IF(A163="","",MOD(MONTH(A163)-FYStart,12)+1)</f>
        <v/>
      </c>
      <c r="U163" s="37" t="str">
        <f aca="false">IF(A163="","",TEXT(A163,"mmm"))</f>
        <v/>
      </c>
      <c r="V163" s="37" t="str">
        <f aca="false">IF(Q163="","",IFERROR(INDEX(Settings!$I$11:$I$15,MATCH(Q163,Settings!$H$11:$H$15,0)),"No"))</f>
        <v/>
      </c>
      <c r="W163" s="37" t="str">
        <f aca="false">IF(Q163="","",IFERROR(INDEX(Settings!$J$11:$J$15,MATCH(Q163,Settings!$H$11:$H$15,0)),"No"))</f>
        <v/>
      </c>
    </row>
    <row r="164" customFormat="false" ht="15" hidden="false" customHeight="false" outlineLevel="0" collapsed="false">
      <c r="A164" s="30"/>
      <c r="B164" s="25"/>
      <c r="C164" s="25"/>
      <c r="D164" s="25"/>
      <c r="E164" s="25"/>
      <c r="F164" s="25"/>
      <c r="G164" s="25"/>
      <c r="H164" s="31"/>
      <c r="I164" s="32"/>
      <c r="J164" s="33"/>
      <c r="K164" s="34" t="str">
        <f aca="false">IF(OR(H164="",I164=""),"",H164*I164*(1-N(J164)))</f>
        <v/>
      </c>
      <c r="L164" s="32"/>
      <c r="M164" s="34" t="str">
        <f aca="false">IF(OR(H164="",L164=""),"",H164*L164)</f>
        <v/>
      </c>
      <c r="N164" s="34" t="str">
        <f aca="false">IF(OR(K164="",M164=""),"",K164-M164)</f>
        <v/>
      </c>
      <c r="O164" s="35" t="str">
        <f aca="false">IF(OR(N164="",K164=""),"",IF(K164=0,"",N164/K164))</f>
        <v/>
      </c>
      <c r="P164" s="25"/>
      <c r="Q164" s="25"/>
      <c r="R164" s="25"/>
      <c r="S164" s="36" t="str">
        <f aca="false">IF(A164="","",YEAR(A164)+IF(AND(FYStart&gt;1,MONTH(A164)&gt;=FYStart),1,0))</f>
        <v/>
      </c>
      <c r="T164" s="36" t="str">
        <f aca="false">IF(A164="","",MOD(MONTH(A164)-FYStart,12)+1)</f>
        <v/>
      </c>
      <c r="U164" s="37" t="str">
        <f aca="false">IF(A164="","",TEXT(A164,"mmm"))</f>
        <v/>
      </c>
      <c r="V164" s="37" t="str">
        <f aca="false">IF(Q164="","",IFERROR(INDEX(Settings!$I$11:$I$15,MATCH(Q164,Settings!$H$11:$H$15,0)),"No"))</f>
        <v/>
      </c>
      <c r="W164" s="37" t="str">
        <f aca="false">IF(Q164="","",IFERROR(INDEX(Settings!$J$11:$J$15,MATCH(Q164,Settings!$H$11:$H$15,0)),"No"))</f>
        <v/>
      </c>
    </row>
    <row r="165" customFormat="false" ht="15" hidden="false" customHeight="false" outlineLevel="0" collapsed="false">
      <c r="A165" s="30"/>
      <c r="B165" s="25"/>
      <c r="C165" s="25"/>
      <c r="D165" s="25"/>
      <c r="E165" s="25"/>
      <c r="F165" s="25"/>
      <c r="G165" s="25"/>
      <c r="H165" s="31"/>
      <c r="I165" s="32"/>
      <c r="J165" s="33"/>
      <c r="K165" s="34" t="str">
        <f aca="false">IF(OR(H165="",I165=""),"",H165*I165*(1-N(J165)))</f>
        <v/>
      </c>
      <c r="L165" s="32"/>
      <c r="M165" s="34" t="str">
        <f aca="false">IF(OR(H165="",L165=""),"",H165*L165)</f>
        <v/>
      </c>
      <c r="N165" s="34" t="str">
        <f aca="false">IF(OR(K165="",M165=""),"",K165-M165)</f>
        <v/>
      </c>
      <c r="O165" s="35" t="str">
        <f aca="false">IF(OR(N165="",K165=""),"",IF(K165=0,"",N165/K165))</f>
        <v/>
      </c>
      <c r="P165" s="25"/>
      <c r="Q165" s="25"/>
      <c r="R165" s="25"/>
      <c r="S165" s="36" t="str">
        <f aca="false">IF(A165="","",YEAR(A165)+IF(AND(FYStart&gt;1,MONTH(A165)&gt;=FYStart),1,0))</f>
        <v/>
      </c>
      <c r="T165" s="36" t="str">
        <f aca="false">IF(A165="","",MOD(MONTH(A165)-FYStart,12)+1)</f>
        <v/>
      </c>
      <c r="U165" s="37" t="str">
        <f aca="false">IF(A165="","",TEXT(A165,"mmm"))</f>
        <v/>
      </c>
      <c r="V165" s="37" t="str">
        <f aca="false">IF(Q165="","",IFERROR(INDEX(Settings!$I$11:$I$15,MATCH(Q165,Settings!$H$11:$H$15,0)),"No"))</f>
        <v/>
      </c>
      <c r="W165" s="37" t="str">
        <f aca="false">IF(Q165="","",IFERROR(INDEX(Settings!$J$11:$J$15,MATCH(Q165,Settings!$H$11:$H$15,0)),"No"))</f>
        <v/>
      </c>
    </row>
    <row r="166" customFormat="false" ht="15" hidden="false" customHeight="false" outlineLevel="0" collapsed="false">
      <c r="A166" s="30"/>
      <c r="B166" s="25"/>
      <c r="C166" s="25"/>
      <c r="D166" s="25"/>
      <c r="E166" s="25"/>
      <c r="F166" s="25"/>
      <c r="G166" s="25"/>
      <c r="H166" s="31"/>
      <c r="I166" s="32"/>
      <c r="J166" s="33"/>
      <c r="K166" s="34" t="str">
        <f aca="false">IF(OR(H166="",I166=""),"",H166*I166*(1-N(J166)))</f>
        <v/>
      </c>
      <c r="L166" s="32"/>
      <c r="M166" s="34" t="str">
        <f aca="false">IF(OR(H166="",L166=""),"",H166*L166)</f>
        <v/>
      </c>
      <c r="N166" s="34" t="str">
        <f aca="false">IF(OR(K166="",M166=""),"",K166-M166)</f>
        <v/>
      </c>
      <c r="O166" s="35" t="str">
        <f aca="false">IF(OR(N166="",K166=""),"",IF(K166=0,"",N166/K166))</f>
        <v/>
      </c>
      <c r="P166" s="25"/>
      <c r="Q166" s="25"/>
      <c r="R166" s="25"/>
      <c r="S166" s="36" t="str">
        <f aca="false">IF(A166="","",YEAR(A166)+IF(AND(FYStart&gt;1,MONTH(A166)&gt;=FYStart),1,0))</f>
        <v/>
      </c>
      <c r="T166" s="36" t="str">
        <f aca="false">IF(A166="","",MOD(MONTH(A166)-FYStart,12)+1)</f>
        <v/>
      </c>
      <c r="U166" s="37" t="str">
        <f aca="false">IF(A166="","",TEXT(A166,"mmm"))</f>
        <v/>
      </c>
      <c r="V166" s="37" t="str">
        <f aca="false">IF(Q166="","",IFERROR(INDEX(Settings!$I$11:$I$15,MATCH(Q166,Settings!$H$11:$H$15,0)),"No"))</f>
        <v/>
      </c>
      <c r="W166" s="37" t="str">
        <f aca="false">IF(Q166="","",IFERROR(INDEX(Settings!$J$11:$J$15,MATCH(Q166,Settings!$H$11:$H$15,0)),"No"))</f>
        <v/>
      </c>
    </row>
    <row r="167" customFormat="false" ht="15" hidden="false" customHeight="false" outlineLevel="0" collapsed="false">
      <c r="A167" s="30"/>
      <c r="B167" s="25"/>
      <c r="C167" s="25"/>
      <c r="D167" s="25"/>
      <c r="E167" s="25"/>
      <c r="F167" s="25"/>
      <c r="G167" s="25"/>
      <c r="H167" s="31"/>
      <c r="I167" s="32"/>
      <c r="J167" s="33"/>
      <c r="K167" s="34" t="str">
        <f aca="false">IF(OR(H167="",I167=""),"",H167*I167*(1-N(J167)))</f>
        <v/>
      </c>
      <c r="L167" s="32"/>
      <c r="M167" s="34" t="str">
        <f aca="false">IF(OR(H167="",L167=""),"",H167*L167)</f>
        <v/>
      </c>
      <c r="N167" s="34" t="str">
        <f aca="false">IF(OR(K167="",M167=""),"",K167-M167)</f>
        <v/>
      </c>
      <c r="O167" s="35" t="str">
        <f aca="false">IF(OR(N167="",K167=""),"",IF(K167=0,"",N167/K167))</f>
        <v/>
      </c>
      <c r="P167" s="25"/>
      <c r="Q167" s="25"/>
      <c r="R167" s="25"/>
      <c r="S167" s="36" t="str">
        <f aca="false">IF(A167="","",YEAR(A167)+IF(AND(FYStart&gt;1,MONTH(A167)&gt;=FYStart),1,0))</f>
        <v/>
      </c>
      <c r="T167" s="36" t="str">
        <f aca="false">IF(A167="","",MOD(MONTH(A167)-FYStart,12)+1)</f>
        <v/>
      </c>
      <c r="U167" s="37" t="str">
        <f aca="false">IF(A167="","",TEXT(A167,"mmm"))</f>
        <v/>
      </c>
      <c r="V167" s="37" t="str">
        <f aca="false">IF(Q167="","",IFERROR(INDEX(Settings!$I$11:$I$15,MATCH(Q167,Settings!$H$11:$H$15,0)),"No"))</f>
        <v/>
      </c>
      <c r="W167" s="37" t="str">
        <f aca="false">IF(Q167="","",IFERROR(INDEX(Settings!$J$11:$J$15,MATCH(Q167,Settings!$H$11:$H$15,0)),"No"))</f>
        <v/>
      </c>
    </row>
    <row r="168" customFormat="false" ht="15" hidden="false" customHeight="false" outlineLevel="0" collapsed="false">
      <c r="A168" s="30"/>
      <c r="B168" s="25"/>
      <c r="C168" s="25"/>
      <c r="D168" s="25"/>
      <c r="E168" s="25"/>
      <c r="F168" s="25"/>
      <c r="G168" s="25"/>
      <c r="H168" s="31"/>
      <c r="I168" s="32"/>
      <c r="J168" s="33"/>
      <c r="K168" s="34" t="str">
        <f aca="false">IF(OR(H168="",I168=""),"",H168*I168*(1-N(J168)))</f>
        <v/>
      </c>
      <c r="L168" s="32"/>
      <c r="M168" s="34" t="str">
        <f aca="false">IF(OR(H168="",L168=""),"",H168*L168)</f>
        <v/>
      </c>
      <c r="N168" s="34" t="str">
        <f aca="false">IF(OR(K168="",M168=""),"",K168-M168)</f>
        <v/>
      </c>
      <c r="O168" s="35" t="str">
        <f aca="false">IF(OR(N168="",K168=""),"",IF(K168=0,"",N168/K168))</f>
        <v/>
      </c>
      <c r="P168" s="25"/>
      <c r="Q168" s="25"/>
      <c r="R168" s="25"/>
      <c r="S168" s="36" t="str">
        <f aca="false">IF(A168="","",YEAR(A168)+IF(AND(FYStart&gt;1,MONTH(A168)&gt;=FYStart),1,0))</f>
        <v/>
      </c>
      <c r="T168" s="36" t="str">
        <f aca="false">IF(A168="","",MOD(MONTH(A168)-FYStart,12)+1)</f>
        <v/>
      </c>
      <c r="U168" s="37" t="str">
        <f aca="false">IF(A168="","",TEXT(A168,"mmm"))</f>
        <v/>
      </c>
      <c r="V168" s="37" t="str">
        <f aca="false">IF(Q168="","",IFERROR(INDEX(Settings!$I$11:$I$15,MATCH(Q168,Settings!$H$11:$H$15,0)),"No"))</f>
        <v/>
      </c>
      <c r="W168" s="37" t="str">
        <f aca="false">IF(Q168="","",IFERROR(INDEX(Settings!$J$11:$J$15,MATCH(Q168,Settings!$H$11:$H$15,0)),"No"))</f>
        <v/>
      </c>
    </row>
    <row r="169" customFormat="false" ht="15" hidden="false" customHeight="false" outlineLevel="0" collapsed="false">
      <c r="A169" s="30"/>
      <c r="B169" s="25"/>
      <c r="C169" s="25"/>
      <c r="D169" s="25"/>
      <c r="E169" s="25"/>
      <c r="F169" s="25"/>
      <c r="G169" s="25"/>
      <c r="H169" s="31"/>
      <c r="I169" s="32"/>
      <c r="J169" s="33"/>
      <c r="K169" s="34" t="str">
        <f aca="false">IF(OR(H169="",I169=""),"",H169*I169*(1-N(J169)))</f>
        <v/>
      </c>
      <c r="L169" s="32"/>
      <c r="M169" s="34" t="str">
        <f aca="false">IF(OR(H169="",L169=""),"",H169*L169)</f>
        <v/>
      </c>
      <c r="N169" s="34" t="str">
        <f aca="false">IF(OR(K169="",M169=""),"",K169-M169)</f>
        <v/>
      </c>
      <c r="O169" s="35" t="str">
        <f aca="false">IF(OR(N169="",K169=""),"",IF(K169=0,"",N169/K169))</f>
        <v/>
      </c>
      <c r="P169" s="25"/>
      <c r="Q169" s="25"/>
      <c r="R169" s="25"/>
      <c r="S169" s="36" t="str">
        <f aca="false">IF(A169="","",YEAR(A169)+IF(AND(FYStart&gt;1,MONTH(A169)&gt;=FYStart),1,0))</f>
        <v/>
      </c>
      <c r="T169" s="36" t="str">
        <f aca="false">IF(A169="","",MOD(MONTH(A169)-FYStart,12)+1)</f>
        <v/>
      </c>
      <c r="U169" s="37" t="str">
        <f aca="false">IF(A169="","",TEXT(A169,"mmm"))</f>
        <v/>
      </c>
      <c r="V169" s="37" t="str">
        <f aca="false">IF(Q169="","",IFERROR(INDEX(Settings!$I$11:$I$15,MATCH(Q169,Settings!$H$11:$H$15,0)),"No"))</f>
        <v/>
      </c>
      <c r="W169" s="37" t="str">
        <f aca="false">IF(Q169="","",IFERROR(INDEX(Settings!$J$11:$J$15,MATCH(Q169,Settings!$H$11:$H$15,0)),"No"))</f>
        <v/>
      </c>
    </row>
    <row r="170" customFormat="false" ht="15" hidden="false" customHeight="false" outlineLevel="0" collapsed="false">
      <c r="A170" s="30"/>
      <c r="B170" s="25"/>
      <c r="C170" s="25"/>
      <c r="D170" s="25"/>
      <c r="E170" s="25"/>
      <c r="F170" s="25"/>
      <c r="G170" s="25"/>
      <c r="H170" s="31"/>
      <c r="I170" s="32"/>
      <c r="J170" s="33"/>
      <c r="K170" s="34" t="str">
        <f aca="false">IF(OR(H170="",I170=""),"",H170*I170*(1-N(J170)))</f>
        <v/>
      </c>
      <c r="L170" s="32"/>
      <c r="M170" s="34" t="str">
        <f aca="false">IF(OR(H170="",L170=""),"",H170*L170)</f>
        <v/>
      </c>
      <c r="N170" s="34" t="str">
        <f aca="false">IF(OR(K170="",M170=""),"",K170-M170)</f>
        <v/>
      </c>
      <c r="O170" s="35" t="str">
        <f aca="false">IF(OR(N170="",K170=""),"",IF(K170=0,"",N170/K170))</f>
        <v/>
      </c>
      <c r="P170" s="25"/>
      <c r="Q170" s="25"/>
      <c r="R170" s="25"/>
      <c r="S170" s="36" t="str">
        <f aca="false">IF(A170="","",YEAR(A170)+IF(AND(FYStart&gt;1,MONTH(A170)&gt;=FYStart),1,0))</f>
        <v/>
      </c>
      <c r="T170" s="36" t="str">
        <f aca="false">IF(A170="","",MOD(MONTH(A170)-FYStart,12)+1)</f>
        <v/>
      </c>
      <c r="U170" s="37" t="str">
        <f aca="false">IF(A170="","",TEXT(A170,"mmm"))</f>
        <v/>
      </c>
      <c r="V170" s="37" t="str">
        <f aca="false">IF(Q170="","",IFERROR(INDEX(Settings!$I$11:$I$15,MATCH(Q170,Settings!$H$11:$H$15,0)),"No"))</f>
        <v/>
      </c>
      <c r="W170" s="37" t="str">
        <f aca="false">IF(Q170="","",IFERROR(INDEX(Settings!$J$11:$J$15,MATCH(Q170,Settings!$H$11:$H$15,0)),"No"))</f>
        <v/>
      </c>
    </row>
    <row r="171" customFormat="false" ht="15" hidden="false" customHeight="false" outlineLevel="0" collapsed="false">
      <c r="A171" s="30"/>
      <c r="B171" s="25"/>
      <c r="C171" s="25"/>
      <c r="D171" s="25"/>
      <c r="E171" s="25"/>
      <c r="F171" s="25"/>
      <c r="G171" s="25"/>
      <c r="H171" s="31"/>
      <c r="I171" s="32"/>
      <c r="J171" s="33"/>
      <c r="K171" s="34" t="str">
        <f aca="false">IF(OR(H171="",I171=""),"",H171*I171*(1-N(J171)))</f>
        <v/>
      </c>
      <c r="L171" s="32"/>
      <c r="M171" s="34" t="str">
        <f aca="false">IF(OR(H171="",L171=""),"",H171*L171)</f>
        <v/>
      </c>
      <c r="N171" s="34" t="str">
        <f aca="false">IF(OR(K171="",M171=""),"",K171-M171)</f>
        <v/>
      </c>
      <c r="O171" s="35" t="str">
        <f aca="false">IF(OR(N171="",K171=""),"",IF(K171=0,"",N171/K171))</f>
        <v/>
      </c>
      <c r="P171" s="25"/>
      <c r="Q171" s="25"/>
      <c r="R171" s="25"/>
      <c r="S171" s="36" t="str">
        <f aca="false">IF(A171="","",YEAR(A171)+IF(AND(FYStart&gt;1,MONTH(A171)&gt;=FYStart),1,0))</f>
        <v/>
      </c>
      <c r="T171" s="36" t="str">
        <f aca="false">IF(A171="","",MOD(MONTH(A171)-FYStart,12)+1)</f>
        <v/>
      </c>
      <c r="U171" s="37" t="str">
        <f aca="false">IF(A171="","",TEXT(A171,"mmm"))</f>
        <v/>
      </c>
      <c r="V171" s="37" t="str">
        <f aca="false">IF(Q171="","",IFERROR(INDEX(Settings!$I$11:$I$15,MATCH(Q171,Settings!$H$11:$H$15,0)),"No"))</f>
        <v/>
      </c>
      <c r="W171" s="37" t="str">
        <f aca="false">IF(Q171="","",IFERROR(INDEX(Settings!$J$11:$J$15,MATCH(Q171,Settings!$H$11:$H$15,0)),"No"))</f>
        <v/>
      </c>
    </row>
    <row r="172" customFormat="false" ht="15" hidden="false" customHeight="false" outlineLevel="0" collapsed="false">
      <c r="A172" s="30"/>
      <c r="B172" s="25"/>
      <c r="C172" s="25"/>
      <c r="D172" s="25"/>
      <c r="E172" s="25"/>
      <c r="F172" s="25"/>
      <c r="G172" s="25"/>
      <c r="H172" s="31"/>
      <c r="I172" s="32"/>
      <c r="J172" s="33"/>
      <c r="K172" s="34" t="str">
        <f aca="false">IF(OR(H172="",I172=""),"",H172*I172*(1-N(J172)))</f>
        <v/>
      </c>
      <c r="L172" s="32"/>
      <c r="M172" s="34" t="str">
        <f aca="false">IF(OR(H172="",L172=""),"",H172*L172)</f>
        <v/>
      </c>
      <c r="N172" s="34" t="str">
        <f aca="false">IF(OR(K172="",M172=""),"",K172-M172)</f>
        <v/>
      </c>
      <c r="O172" s="35" t="str">
        <f aca="false">IF(OR(N172="",K172=""),"",IF(K172=0,"",N172/K172))</f>
        <v/>
      </c>
      <c r="P172" s="25"/>
      <c r="Q172" s="25"/>
      <c r="R172" s="25"/>
      <c r="S172" s="36" t="str">
        <f aca="false">IF(A172="","",YEAR(A172)+IF(AND(FYStart&gt;1,MONTH(A172)&gt;=FYStart),1,0))</f>
        <v/>
      </c>
      <c r="T172" s="36" t="str">
        <f aca="false">IF(A172="","",MOD(MONTH(A172)-FYStart,12)+1)</f>
        <v/>
      </c>
      <c r="U172" s="37" t="str">
        <f aca="false">IF(A172="","",TEXT(A172,"mmm"))</f>
        <v/>
      </c>
      <c r="V172" s="37" t="str">
        <f aca="false">IF(Q172="","",IFERROR(INDEX(Settings!$I$11:$I$15,MATCH(Q172,Settings!$H$11:$H$15,0)),"No"))</f>
        <v/>
      </c>
      <c r="W172" s="37" t="str">
        <f aca="false">IF(Q172="","",IFERROR(INDEX(Settings!$J$11:$J$15,MATCH(Q172,Settings!$H$11:$H$15,0)),"No"))</f>
        <v/>
      </c>
    </row>
    <row r="173" customFormat="false" ht="15" hidden="false" customHeight="false" outlineLevel="0" collapsed="false">
      <c r="A173" s="30"/>
      <c r="B173" s="25"/>
      <c r="C173" s="25"/>
      <c r="D173" s="25"/>
      <c r="E173" s="25"/>
      <c r="F173" s="25"/>
      <c r="G173" s="25"/>
      <c r="H173" s="31"/>
      <c r="I173" s="32"/>
      <c r="J173" s="33"/>
      <c r="K173" s="34" t="str">
        <f aca="false">IF(OR(H173="",I173=""),"",H173*I173*(1-N(J173)))</f>
        <v/>
      </c>
      <c r="L173" s="32"/>
      <c r="M173" s="34" t="str">
        <f aca="false">IF(OR(H173="",L173=""),"",H173*L173)</f>
        <v/>
      </c>
      <c r="N173" s="34" t="str">
        <f aca="false">IF(OR(K173="",M173=""),"",K173-M173)</f>
        <v/>
      </c>
      <c r="O173" s="35" t="str">
        <f aca="false">IF(OR(N173="",K173=""),"",IF(K173=0,"",N173/K173))</f>
        <v/>
      </c>
      <c r="P173" s="25"/>
      <c r="Q173" s="25"/>
      <c r="R173" s="25"/>
      <c r="S173" s="36" t="str">
        <f aca="false">IF(A173="","",YEAR(A173)+IF(AND(FYStart&gt;1,MONTH(A173)&gt;=FYStart),1,0))</f>
        <v/>
      </c>
      <c r="T173" s="36" t="str">
        <f aca="false">IF(A173="","",MOD(MONTH(A173)-FYStart,12)+1)</f>
        <v/>
      </c>
      <c r="U173" s="37" t="str">
        <f aca="false">IF(A173="","",TEXT(A173,"mmm"))</f>
        <v/>
      </c>
      <c r="V173" s="37" t="str">
        <f aca="false">IF(Q173="","",IFERROR(INDEX(Settings!$I$11:$I$15,MATCH(Q173,Settings!$H$11:$H$15,0)),"No"))</f>
        <v/>
      </c>
      <c r="W173" s="37" t="str">
        <f aca="false">IF(Q173="","",IFERROR(INDEX(Settings!$J$11:$J$15,MATCH(Q173,Settings!$H$11:$H$15,0)),"No"))</f>
        <v/>
      </c>
    </row>
    <row r="174" customFormat="false" ht="15" hidden="false" customHeight="false" outlineLevel="0" collapsed="false">
      <c r="A174" s="30"/>
      <c r="B174" s="25"/>
      <c r="C174" s="25"/>
      <c r="D174" s="25"/>
      <c r="E174" s="25"/>
      <c r="F174" s="25"/>
      <c r="G174" s="25"/>
      <c r="H174" s="31"/>
      <c r="I174" s="32"/>
      <c r="J174" s="33"/>
      <c r="K174" s="34" t="str">
        <f aca="false">IF(OR(H174="",I174=""),"",H174*I174*(1-N(J174)))</f>
        <v/>
      </c>
      <c r="L174" s="32"/>
      <c r="M174" s="34" t="str">
        <f aca="false">IF(OR(H174="",L174=""),"",H174*L174)</f>
        <v/>
      </c>
      <c r="N174" s="34" t="str">
        <f aca="false">IF(OR(K174="",M174=""),"",K174-M174)</f>
        <v/>
      </c>
      <c r="O174" s="35" t="str">
        <f aca="false">IF(OR(N174="",K174=""),"",IF(K174=0,"",N174/K174))</f>
        <v/>
      </c>
      <c r="P174" s="25"/>
      <c r="Q174" s="25"/>
      <c r="R174" s="25"/>
      <c r="S174" s="36" t="str">
        <f aca="false">IF(A174="","",YEAR(A174)+IF(AND(FYStart&gt;1,MONTH(A174)&gt;=FYStart),1,0))</f>
        <v/>
      </c>
      <c r="T174" s="36" t="str">
        <f aca="false">IF(A174="","",MOD(MONTH(A174)-FYStart,12)+1)</f>
        <v/>
      </c>
      <c r="U174" s="37" t="str">
        <f aca="false">IF(A174="","",TEXT(A174,"mmm"))</f>
        <v/>
      </c>
      <c r="V174" s="37" t="str">
        <f aca="false">IF(Q174="","",IFERROR(INDEX(Settings!$I$11:$I$15,MATCH(Q174,Settings!$H$11:$H$15,0)),"No"))</f>
        <v/>
      </c>
      <c r="W174" s="37" t="str">
        <f aca="false">IF(Q174="","",IFERROR(INDEX(Settings!$J$11:$J$15,MATCH(Q174,Settings!$H$11:$H$15,0)),"No"))</f>
        <v/>
      </c>
    </row>
    <row r="175" customFormat="false" ht="15" hidden="false" customHeight="false" outlineLevel="0" collapsed="false">
      <c r="A175" s="30"/>
      <c r="B175" s="25"/>
      <c r="C175" s="25"/>
      <c r="D175" s="25"/>
      <c r="E175" s="25"/>
      <c r="F175" s="25"/>
      <c r="G175" s="25"/>
      <c r="H175" s="31"/>
      <c r="I175" s="32"/>
      <c r="J175" s="33"/>
      <c r="K175" s="34" t="str">
        <f aca="false">IF(OR(H175="",I175=""),"",H175*I175*(1-N(J175)))</f>
        <v/>
      </c>
      <c r="L175" s="32"/>
      <c r="M175" s="34" t="str">
        <f aca="false">IF(OR(H175="",L175=""),"",H175*L175)</f>
        <v/>
      </c>
      <c r="N175" s="34" t="str">
        <f aca="false">IF(OR(K175="",M175=""),"",K175-M175)</f>
        <v/>
      </c>
      <c r="O175" s="35" t="str">
        <f aca="false">IF(OR(N175="",K175=""),"",IF(K175=0,"",N175/K175))</f>
        <v/>
      </c>
      <c r="P175" s="25"/>
      <c r="Q175" s="25"/>
      <c r="R175" s="25"/>
      <c r="S175" s="36" t="str">
        <f aca="false">IF(A175="","",YEAR(A175)+IF(AND(FYStart&gt;1,MONTH(A175)&gt;=FYStart),1,0))</f>
        <v/>
      </c>
      <c r="T175" s="36" t="str">
        <f aca="false">IF(A175="","",MOD(MONTH(A175)-FYStart,12)+1)</f>
        <v/>
      </c>
      <c r="U175" s="37" t="str">
        <f aca="false">IF(A175="","",TEXT(A175,"mmm"))</f>
        <v/>
      </c>
      <c r="V175" s="37" t="str">
        <f aca="false">IF(Q175="","",IFERROR(INDEX(Settings!$I$11:$I$15,MATCH(Q175,Settings!$H$11:$H$15,0)),"No"))</f>
        <v/>
      </c>
      <c r="W175" s="37" t="str">
        <f aca="false">IF(Q175="","",IFERROR(INDEX(Settings!$J$11:$J$15,MATCH(Q175,Settings!$H$11:$H$15,0)),"No"))</f>
        <v/>
      </c>
    </row>
    <row r="176" customFormat="false" ht="15" hidden="false" customHeight="false" outlineLevel="0" collapsed="false">
      <c r="A176" s="30"/>
      <c r="B176" s="25"/>
      <c r="C176" s="25"/>
      <c r="D176" s="25"/>
      <c r="E176" s="25"/>
      <c r="F176" s="25"/>
      <c r="G176" s="25"/>
      <c r="H176" s="31"/>
      <c r="I176" s="32"/>
      <c r="J176" s="33"/>
      <c r="K176" s="34" t="str">
        <f aca="false">IF(OR(H176="",I176=""),"",H176*I176*(1-N(J176)))</f>
        <v/>
      </c>
      <c r="L176" s="32"/>
      <c r="M176" s="34" t="str">
        <f aca="false">IF(OR(H176="",L176=""),"",H176*L176)</f>
        <v/>
      </c>
      <c r="N176" s="34" t="str">
        <f aca="false">IF(OR(K176="",M176=""),"",K176-M176)</f>
        <v/>
      </c>
      <c r="O176" s="35" t="str">
        <f aca="false">IF(OR(N176="",K176=""),"",IF(K176=0,"",N176/K176))</f>
        <v/>
      </c>
      <c r="P176" s="25"/>
      <c r="Q176" s="25"/>
      <c r="R176" s="25"/>
      <c r="S176" s="36" t="str">
        <f aca="false">IF(A176="","",YEAR(A176)+IF(AND(FYStart&gt;1,MONTH(A176)&gt;=FYStart),1,0))</f>
        <v/>
      </c>
      <c r="T176" s="36" t="str">
        <f aca="false">IF(A176="","",MOD(MONTH(A176)-FYStart,12)+1)</f>
        <v/>
      </c>
      <c r="U176" s="37" t="str">
        <f aca="false">IF(A176="","",TEXT(A176,"mmm"))</f>
        <v/>
      </c>
      <c r="V176" s="37" t="str">
        <f aca="false">IF(Q176="","",IFERROR(INDEX(Settings!$I$11:$I$15,MATCH(Q176,Settings!$H$11:$H$15,0)),"No"))</f>
        <v/>
      </c>
      <c r="W176" s="37" t="str">
        <f aca="false">IF(Q176="","",IFERROR(INDEX(Settings!$J$11:$J$15,MATCH(Q176,Settings!$H$11:$H$15,0)),"No"))</f>
        <v/>
      </c>
    </row>
    <row r="177" customFormat="false" ht="15" hidden="false" customHeight="false" outlineLevel="0" collapsed="false">
      <c r="A177" s="30"/>
      <c r="B177" s="25"/>
      <c r="C177" s="25"/>
      <c r="D177" s="25"/>
      <c r="E177" s="25"/>
      <c r="F177" s="25"/>
      <c r="G177" s="25"/>
      <c r="H177" s="31"/>
      <c r="I177" s="32"/>
      <c r="J177" s="33"/>
      <c r="K177" s="34" t="str">
        <f aca="false">IF(OR(H177="",I177=""),"",H177*I177*(1-N(J177)))</f>
        <v/>
      </c>
      <c r="L177" s="32"/>
      <c r="M177" s="34" t="str">
        <f aca="false">IF(OR(H177="",L177=""),"",H177*L177)</f>
        <v/>
      </c>
      <c r="N177" s="34" t="str">
        <f aca="false">IF(OR(K177="",M177=""),"",K177-M177)</f>
        <v/>
      </c>
      <c r="O177" s="35" t="str">
        <f aca="false">IF(OR(N177="",K177=""),"",IF(K177=0,"",N177/K177))</f>
        <v/>
      </c>
      <c r="P177" s="25"/>
      <c r="Q177" s="25"/>
      <c r="R177" s="25"/>
      <c r="S177" s="36" t="str">
        <f aca="false">IF(A177="","",YEAR(A177)+IF(AND(FYStart&gt;1,MONTH(A177)&gt;=FYStart),1,0))</f>
        <v/>
      </c>
      <c r="T177" s="36" t="str">
        <f aca="false">IF(A177="","",MOD(MONTH(A177)-FYStart,12)+1)</f>
        <v/>
      </c>
      <c r="U177" s="37" t="str">
        <f aca="false">IF(A177="","",TEXT(A177,"mmm"))</f>
        <v/>
      </c>
      <c r="V177" s="37" t="str">
        <f aca="false">IF(Q177="","",IFERROR(INDEX(Settings!$I$11:$I$15,MATCH(Q177,Settings!$H$11:$H$15,0)),"No"))</f>
        <v/>
      </c>
      <c r="W177" s="37" t="str">
        <f aca="false">IF(Q177="","",IFERROR(INDEX(Settings!$J$11:$J$15,MATCH(Q177,Settings!$H$11:$H$15,0)),"No"))</f>
        <v/>
      </c>
    </row>
    <row r="178" customFormat="false" ht="15" hidden="false" customHeight="false" outlineLevel="0" collapsed="false">
      <c r="A178" s="30"/>
      <c r="B178" s="25"/>
      <c r="C178" s="25"/>
      <c r="D178" s="25"/>
      <c r="E178" s="25"/>
      <c r="F178" s="25"/>
      <c r="G178" s="25"/>
      <c r="H178" s="31"/>
      <c r="I178" s="32"/>
      <c r="J178" s="33"/>
      <c r="K178" s="34" t="str">
        <f aca="false">IF(OR(H178="",I178=""),"",H178*I178*(1-N(J178)))</f>
        <v/>
      </c>
      <c r="L178" s="32"/>
      <c r="M178" s="34" t="str">
        <f aca="false">IF(OR(H178="",L178=""),"",H178*L178)</f>
        <v/>
      </c>
      <c r="N178" s="34" t="str">
        <f aca="false">IF(OR(K178="",M178=""),"",K178-M178)</f>
        <v/>
      </c>
      <c r="O178" s="35" t="str">
        <f aca="false">IF(OR(N178="",K178=""),"",IF(K178=0,"",N178/K178))</f>
        <v/>
      </c>
      <c r="P178" s="25"/>
      <c r="Q178" s="25"/>
      <c r="R178" s="25"/>
      <c r="S178" s="36" t="str">
        <f aca="false">IF(A178="","",YEAR(A178)+IF(AND(FYStart&gt;1,MONTH(A178)&gt;=FYStart),1,0))</f>
        <v/>
      </c>
      <c r="T178" s="36" t="str">
        <f aca="false">IF(A178="","",MOD(MONTH(A178)-FYStart,12)+1)</f>
        <v/>
      </c>
      <c r="U178" s="37" t="str">
        <f aca="false">IF(A178="","",TEXT(A178,"mmm"))</f>
        <v/>
      </c>
      <c r="V178" s="37" t="str">
        <f aca="false">IF(Q178="","",IFERROR(INDEX(Settings!$I$11:$I$15,MATCH(Q178,Settings!$H$11:$H$15,0)),"No"))</f>
        <v/>
      </c>
      <c r="W178" s="37" t="str">
        <f aca="false">IF(Q178="","",IFERROR(INDEX(Settings!$J$11:$J$15,MATCH(Q178,Settings!$H$11:$H$15,0)),"No"))</f>
        <v/>
      </c>
    </row>
    <row r="179" customFormat="false" ht="15" hidden="false" customHeight="false" outlineLevel="0" collapsed="false">
      <c r="A179" s="30"/>
      <c r="B179" s="25"/>
      <c r="C179" s="25"/>
      <c r="D179" s="25"/>
      <c r="E179" s="25"/>
      <c r="F179" s="25"/>
      <c r="G179" s="25"/>
      <c r="H179" s="31"/>
      <c r="I179" s="32"/>
      <c r="J179" s="33"/>
      <c r="K179" s="34" t="str">
        <f aca="false">IF(OR(H179="",I179=""),"",H179*I179*(1-N(J179)))</f>
        <v/>
      </c>
      <c r="L179" s="32"/>
      <c r="M179" s="34" t="str">
        <f aca="false">IF(OR(H179="",L179=""),"",H179*L179)</f>
        <v/>
      </c>
      <c r="N179" s="34" t="str">
        <f aca="false">IF(OR(K179="",M179=""),"",K179-M179)</f>
        <v/>
      </c>
      <c r="O179" s="35" t="str">
        <f aca="false">IF(OR(N179="",K179=""),"",IF(K179=0,"",N179/K179))</f>
        <v/>
      </c>
      <c r="P179" s="25"/>
      <c r="Q179" s="25"/>
      <c r="R179" s="25"/>
      <c r="S179" s="36" t="str">
        <f aca="false">IF(A179="","",YEAR(A179)+IF(AND(FYStart&gt;1,MONTH(A179)&gt;=FYStart),1,0))</f>
        <v/>
      </c>
      <c r="T179" s="36" t="str">
        <f aca="false">IF(A179="","",MOD(MONTH(A179)-FYStart,12)+1)</f>
        <v/>
      </c>
      <c r="U179" s="37" t="str">
        <f aca="false">IF(A179="","",TEXT(A179,"mmm"))</f>
        <v/>
      </c>
      <c r="V179" s="37" t="str">
        <f aca="false">IF(Q179="","",IFERROR(INDEX(Settings!$I$11:$I$15,MATCH(Q179,Settings!$H$11:$H$15,0)),"No"))</f>
        <v/>
      </c>
      <c r="W179" s="37" t="str">
        <f aca="false">IF(Q179="","",IFERROR(INDEX(Settings!$J$11:$J$15,MATCH(Q179,Settings!$H$11:$H$15,0)),"No"))</f>
        <v/>
      </c>
    </row>
    <row r="180" customFormat="false" ht="15" hidden="false" customHeight="false" outlineLevel="0" collapsed="false">
      <c r="A180" s="30"/>
      <c r="B180" s="25"/>
      <c r="C180" s="25"/>
      <c r="D180" s="25"/>
      <c r="E180" s="25"/>
      <c r="F180" s="25"/>
      <c r="G180" s="25"/>
      <c r="H180" s="31"/>
      <c r="I180" s="32"/>
      <c r="J180" s="33"/>
      <c r="K180" s="34" t="str">
        <f aca="false">IF(OR(H180="",I180=""),"",H180*I180*(1-N(J180)))</f>
        <v/>
      </c>
      <c r="L180" s="32"/>
      <c r="M180" s="34" t="str">
        <f aca="false">IF(OR(H180="",L180=""),"",H180*L180)</f>
        <v/>
      </c>
      <c r="N180" s="34" t="str">
        <f aca="false">IF(OR(K180="",M180=""),"",K180-M180)</f>
        <v/>
      </c>
      <c r="O180" s="35" t="str">
        <f aca="false">IF(OR(N180="",K180=""),"",IF(K180=0,"",N180/K180))</f>
        <v/>
      </c>
      <c r="P180" s="25"/>
      <c r="Q180" s="25"/>
      <c r="R180" s="25"/>
      <c r="S180" s="36" t="str">
        <f aca="false">IF(A180="","",YEAR(A180)+IF(AND(FYStart&gt;1,MONTH(A180)&gt;=FYStart),1,0))</f>
        <v/>
      </c>
      <c r="T180" s="36" t="str">
        <f aca="false">IF(A180="","",MOD(MONTH(A180)-FYStart,12)+1)</f>
        <v/>
      </c>
      <c r="U180" s="37" t="str">
        <f aca="false">IF(A180="","",TEXT(A180,"mmm"))</f>
        <v/>
      </c>
      <c r="V180" s="37" t="str">
        <f aca="false">IF(Q180="","",IFERROR(INDEX(Settings!$I$11:$I$15,MATCH(Q180,Settings!$H$11:$H$15,0)),"No"))</f>
        <v/>
      </c>
      <c r="W180" s="37" t="str">
        <f aca="false">IF(Q180="","",IFERROR(INDEX(Settings!$J$11:$J$15,MATCH(Q180,Settings!$H$11:$H$15,0)),"No"))</f>
        <v/>
      </c>
    </row>
    <row r="181" customFormat="false" ht="15" hidden="false" customHeight="false" outlineLevel="0" collapsed="false">
      <c r="A181" s="30"/>
      <c r="B181" s="25"/>
      <c r="C181" s="25"/>
      <c r="D181" s="25"/>
      <c r="E181" s="25"/>
      <c r="F181" s="25"/>
      <c r="G181" s="25"/>
      <c r="H181" s="31"/>
      <c r="I181" s="32"/>
      <c r="J181" s="33"/>
      <c r="K181" s="34" t="str">
        <f aca="false">IF(OR(H181="",I181=""),"",H181*I181*(1-N(J181)))</f>
        <v/>
      </c>
      <c r="L181" s="32"/>
      <c r="M181" s="34" t="str">
        <f aca="false">IF(OR(H181="",L181=""),"",H181*L181)</f>
        <v/>
      </c>
      <c r="N181" s="34" t="str">
        <f aca="false">IF(OR(K181="",M181=""),"",K181-M181)</f>
        <v/>
      </c>
      <c r="O181" s="35" t="str">
        <f aca="false">IF(OR(N181="",K181=""),"",IF(K181=0,"",N181/K181))</f>
        <v/>
      </c>
      <c r="P181" s="25"/>
      <c r="Q181" s="25"/>
      <c r="R181" s="25"/>
      <c r="S181" s="36" t="str">
        <f aca="false">IF(A181="","",YEAR(A181)+IF(AND(FYStart&gt;1,MONTH(A181)&gt;=FYStart),1,0))</f>
        <v/>
      </c>
      <c r="T181" s="36" t="str">
        <f aca="false">IF(A181="","",MOD(MONTH(A181)-FYStart,12)+1)</f>
        <v/>
      </c>
      <c r="U181" s="37" t="str">
        <f aca="false">IF(A181="","",TEXT(A181,"mmm"))</f>
        <v/>
      </c>
      <c r="V181" s="37" t="str">
        <f aca="false">IF(Q181="","",IFERROR(INDEX(Settings!$I$11:$I$15,MATCH(Q181,Settings!$H$11:$H$15,0)),"No"))</f>
        <v/>
      </c>
      <c r="W181" s="37" t="str">
        <f aca="false">IF(Q181="","",IFERROR(INDEX(Settings!$J$11:$J$15,MATCH(Q181,Settings!$H$11:$H$15,0)),"No"))</f>
        <v/>
      </c>
    </row>
    <row r="182" customFormat="false" ht="15" hidden="false" customHeight="false" outlineLevel="0" collapsed="false">
      <c r="A182" s="30"/>
      <c r="B182" s="25"/>
      <c r="C182" s="25"/>
      <c r="D182" s="25"/>
      <c r="E182" s="25"/>
      <c r="F182" s="25"/>
      <c r="G182" s="25"/>
      <c r="H182" s="31"/>
      <c r="I182" s="32"/>
      <c r="J182" s="33"/>
      <c r="K182" s="34" t="str">
        <f aca="false">IF(OR(H182="",I182=""),"",H182*I182*(1-N(J182)))</f>
        <v/>
      </c>
      <c r="L182" s="32"/>
      <c r="M182" s="34" t="str">
        <f aca="false">IF(OR(H182="",L182=""),"",H182*L182)</f>
        <v/>
      </c>
      <c r="N182" s="34" t="str">
        <f aca="false">IF(OR(K182="",M182=""),"",K182-M182)</f>
        <v/>
      </c>
      <c r="O182" s="35" t="str">
        <f aca="false">IF(OR(N182="",K182=""),"",IF(K182=0,"",N182/K182))</f>
        <v/>
      </c>
      <c r="P182" s="25"/>
      <c r="Q182" s="25"/>
      <c r="R182" s="25"/>
      <c r="S182" s="36" t="str">
        <f aca="false">IF(A182="","",YEAR(A182)+IF(AND(FYStart&gt;1,MONTH(A182)&gt;=FYStart),1,0))</f>
        <v/>
      </c>
      <c r="T182" s="36" t="str">
        <f aca="false">IF(A182="","",MOD(MONTH(A182)-FYStart,12)+1)</f>
        <v/>
      </c>
      <c r="U182" s="37" t="str">
        <f aca="false">IF(A182="","",TEXT(A182,"mmm"))</f>
        <v/>
      </c>
      <c r="V182" s="37" t="str">
        <f aca="false">IF(Q182="","",IFERROR(INDEX(Settings!$I$11:$I$15,MATCH(Q182,Settings!$H$11:$H$15,0)),"No"))</f>
        <v/>
      </c>
      <c r="W182" s="37" t="str">
        <f aca="false">IF(Q182="","",IFERROR(INDEX(Settings!$J$11:$J$15,MATCH(Q182,Settings!$H$11:$H$15,0)),"No"))</f>
        <v/>
      </c>
    </row>
    <row r="183" customFormat="false" ht="15" hidden="false" customHeight="false" outlineLevel="0" collapsed="false">
      <c r="A183" s="30"/>
      <c r="B183" s="25"/>
      <c r="C183" s="25"/>
      <c r="D183" s="25"/>
      <c r="E183" s="25"/>
      <c r="F183" s="25"/>
      <c r="G183" s="25"/>
      <c r="H183" s="31"/>
      <c r="I183" s="32"/>
      <c r="J183" s="33"/>
      <c r="K183" s="34" t="str">
        <f aca="false">IF(OR(H183="",I183=""),"",H183*I183*(1-N(J183)))</f>
        <v/>
      </c>
      <c r="L183" s="32"/>
      <c r="M183" s="34" t="str">
        <f aca="false">IF(OR(H183="",L183=""),"",H183*L183)</f>
        <v/>
      </c>
      <c r="N183" s="34" t="str">
        <f aca="false">IF(OR(K183="",M183=""),"",K183-M183)</f>
        <v/>
      </c>
      <c r="O183" s="35" t="str">
        <f aca="false">IF(OR(N183="",K183=""),"",IF(K183=0,"",N183/K183))</f>
        <v/>
      </c>
      <c r="P183" s="25"/>
      <c r="Q183" s="25"/>
      <c r="R183" s="25"/>
      <c r="S183" s="36" t="str">
        <f aca="false">IF(A183="","",YEAR(A183)+IF(AND(FYStart&gt;1,MONTH(A183)&gt;=FYStart),1,0))</f>
        <v/>
      </c>
      <c r="T183" s="36" t="str">
        <f aca="false">IF(A183="","",MOD(MONTH(A183)-FYStart,12)+1)</f>
        <v/>
      </c>
      <c r="U183" s="37" t="str">
        <f aca="false">IF(A183="","",TEXT(A183,"mmm"))</f>
        <v/>
      </c>
      <c r="V183" s="37" t="str">
        <f aca="false">IF(Q183="","",IFERROR(INDEX(Settings!$I$11:$I$15,MATCH(Q183,Settings!$H$11:$H$15,0)),"No"))</f>
        <v/>
      </c>
      <c r="W183" s="37" t="str">
        <f aca="false">IF(Q183="","",IFERROR(INDEX(Settings!$J$11:$J$15,MATCH(Q183,Settings!$H$11:$H$15,0)),"No"))</f>
        <v/>
      </c>
    </row>
    <row r="184" customFormat="false" ht="15" hidden="false" customHeight="false" outlineLevel="0" collapsed="false">
      <c r="A184" s="30"/>
      <c r="B184" s="25"/>
      <c r="C184" s="25"/>
      <c r="D184" s="25"/>
      <c r="E184" s="25"/>
      <c r="F184" s="25"/>
      <c r="G184" s="25"/>
      <c r="H184" s="31"/>
      <c r="I184" s="32"/>
      <c r="J184" s="33"/>
      <c r="K184" s="34" t="str">
        <f aca="false">IF(OR(H184="",I184=""),"",H184*I184*(1-N(J184)))</f>
        <v/>
      </c>
      <c r="L184" s="32"/>
      <c r="M184" s="34" t="str">
        <f aca="false">IF(OR(H184="",L184=""),"",H184*L184)</f>
        <v/>
      </c>
      <c r="N184" s="34" t="str">
        <f aca="false">IF(OR(K184="",M184=""),"",K184-M184)</f>
        <v/>
      </c>
      <c r="O184" s="35" t="str">
        <f aca="false">IF(OR(N184="",K184=""),"",IF(K184=0,"",N184/K184))</f>
        <v/>
      </c>
      <c r="P184" s="25"/>
      <c r="Q184" s="25"/>
      <c r="R184" s="25"/>
      <c r="S184" s="36" t="str">
        <f aca="false">IF(A184="","",YEAR(A184)+IF(AND(FYStart&gt;1,MONTH(A184)&gt;=FYStart),1,0))</f>
        <v/>
      </c>
      <c r="T184" s="36" t="str">
        <f aca="false">IF(A184="","",MOD(MONTH(A184)-FYStart,12)+1)</f>
        <v/>
      </c>
      <c r="U184" s="37" t="str">
        <f aca="false">IF(A184="","",TEXT(A184,"mmm"))</f>
        <v/>
      </c>
      <c r="V184" s="37" t="str">
        <f aca="false">IF(Q184="","",IFERROR(INDEX(Settings!$I$11:$I$15,MATCH(Q184,Settings!$H$11:$H$15,0)),"No"))</f>
        <v/>
      </c>
      <c r="W184" s="37" t="str">
        <f aca="false">IF(Q184="","",IFERROR(INDEX(Settings!$J$11:$J$15,MATCH(Q184,Settings!$H$11:$H$15,0)),"No"))</f>
        <v/>
      </c>
    </row>
    <row r="185" customFormat="false" ht="15" hidden="false" customHeight="false" outlineLevel="0" collapsed="false">
      <c r="A185" s="30"/>
      <c r="B185" s="25"/>
      <c r="C185" s="25"/>
      <c r="D185" s="25"/>
      <c r="E185" s="25"/>
      <c r="F185" s="25"/>
      <c r="G185" s="25"/>
      <c r="H185" s="31"/>
      <c r="I185" s="32"/>
      <c r="J185" s="33"/>
      <c r="K185" s="34" t="str">
        <f aca="false">IF(OR(H185="",I185=""),"",H185*I185*(1-N(J185)))</f>
        <v/>
      </c>
      <c r="L185" s="32"/>
      <c r="M185" s="34" t="str">
        <f aca="false">IF(OR(H185="",L185=""),"",H185*L185)</f>
        <v/>
      </c>
      <c r="N185" s="34" t="str">
        <f aca="false">IF(OR(K185="",M185=""),"",K185-M185)</f>
        <v/>
      </c>
      <c r="O185" s="35" t="str">
        <f aca="false">IF(OR(N185="",K185=""),"",IF(K185=0,"",N185/K185))</f>
        <v/>
      </c>
      <c r="P185" s="25"/>
      <c r="Q185" s="25"/>
      <c r="R185" s="25"/>
      <c r="S185" s="36" t="str">
        <f aca="false">IF(A185="","",YEAR(A185)+IF(AND(FYStart&gt;1,MONTH(A185)&gt;=FYStart),1,0))</f>
        <v/>
      </c>
      <c r="T185" s="36" t="str">
        <f aca="false">IF(A185="","",MOD(MONTH(A185)-FYStart,12)+1)</f>
        <v/>
      </c>
      <c r="U185" s="37" t="str">
        <f aca="false">IF(A185="","",TEXT(A185,"mmm"))</f>
        <v/>
      </c>
      <c r="V185" s="37" t="str">
        <f aca="false">IF(Q185="","",IFERROR(INDEX(Settings!$I$11:$I$15,MATCH(Q185,Settings!$H$11:$H$15,0)),"No"))</f>
        <v/>
      </c>
      <c r="W185" s="37" t="str">
        <f aca="false">IF(Q185="","",IFERROR(INDEX(Settings!$J$11:$J$15,MATCH(Q185,Settings!$H$11:$H$15,0)),"No"))</f>
        <v/>
      </c>
    </row>
    <row r="186" customFormat="false" ht="15" hidden="false" customHeight="false" outlineLevel="0" collapsed="false">
      <c r="A186" s="30"/>
      <c r="B186" s="25"/>
      <c r="C186" s="25"/>
      <c r="D186" s="25"/>
      <c r="E186" s="25"/>
      <c r="F186" s="25"/>
      <c r="G186" s="25"/>
      <c r="H186" s="31"/>
      <c r="I186" s="32"/>
      <c r="J186" s="33"/>
      <c r="K186" s="34" t="str">
        <f aca="false">IF(OR(H186="",I186=""),"",H186*I186*(1-N(J186)))</f>
        <v/>
      </c>
      <c r="L186" s="32"/>
      <c r="M186" s="34" t="str">
        <f aca="false">IF(OR(H186="",L186=""),"",H186*L186)</f>
        <v/>
      </c>
      <c r="N186" s="34" t="str">
        <f aca="false">IF(OR(K186="",M186=""),"",K186-M186)</f>
        <v/>
      </c>
      <c r="O186" s="35" t="str">
        <f aca="false">IF(OR(N186="",K186=""),"",IF(K186=0,"",N186/K186))</f>
        <v/>
      </c>
      <c r="P186" s="25"/>
      <c r="Q186" s="25"/>
      <c r="R186" s="25"/>
      <c r="S186" s="36" t="str">
        <f aca="false">IF(A186="","",YEAR(A186)+IF(AND(FYStart&gt;1,MONTH(A186)&gt;=FYStart),1,0))</f>
        <v/>
      </c>
      <c r="T186" s="36" t="str">
        <f aca="false">IF(A186="","",MOD(MONTH(A186)-FYStart,12)+1)</f>
        <v/>
      </c>
      <c r="U186" s="37" t="str">
        <f aca="false">IF(A186="","",TEXT(A186,"mmm"))</f>
        <v/>
      </c>
      <c r="V186" s="37" t="str">
        <f aca="false">IF(Q186="","",IFERROR(INDEX(Settings!$I$11:$I$15,MATCH(Q186,Settings!$H$11:$H$15,0)),"No"))</f>
        <v/>
      </c>
      <c r="W186" s="37" t="str">
        <f aca="false">IF(Q186="","",IFERROR(INDEX(Settings!$J$11:$J$15,MATCH(Q186,Settings!$H$11:$H$15,0)),"No"))</f>
        <v/>
      </c>
    </row>
    <row r="187" customFormat="false" ht="15" hidden="false" customHeight="false" outlineLevel="0" collapsed="false">
      <c r="A187" s="30"/>
      <c r="B187" s="25"/>
      <c r="C187" s="25"/>
      <c r="D187" s="25"/>
      <c r="E187" s="25"/>
      <c r="F187" s="25"/>
      <c r="G187" s="25"/>
      <c r="H187" s="31"/>
      <c r="I187" s="32"/>
      <c r="J187" s="33"/>
      <c r="K187" s="34" t="str">
        <f aca="false">IF(OR(H187="",I187=""),"",H187*I187*(1-N(J187)))</f>
        <v/>
      </c>
      <c r="L187" s="32"/>
      <c r="M187" s="34" t="str">
        <f aca="false">IF(OR(H187="",L187=""),"",H187*L187)</f>
        <v/>
      </c>
      <c r="N187" s="34" t="str">
        <f aca="false">IF(OR(K187="",M187=""),"",K187-M187)</f>
        <v/>
      </c>
      <c r="O187" s="35" t="str">
        <f aca="false">IF(OR(N187="",K187=""),"",IF(K187=0,"",N187/K187))</f>
        <v/>
      </c>
      <c r="P187" s="25"/>
      <c r="Q187" s="25"/>
      <c r="R187" s="25"/>
      <c r="S187" s="36" t="str">
        <f aca="false">IF(A187="","",YEAR(A187)+IF(AND(FYStart&gt;1,MONTH(A187)&gt;=FYStart),1,0))</f>
        <v/>
      </c>
      <c r="T187" s="36" t="str">
        <f aca="false">IF(A187="","",MOD(MONTH(A187)-FYStart,12)+1)</f>
        <v/>
      </c>
      <c r="U187" s="37" t="str">
        <f aca="false">IF(A187="","",TEXT(A187,"mmm"))</f>
        <v/>
      </c>
      <c r="V187" s="37" t="str">
        <f aca="false">IF(Q187="","",IFERROR(INDEX(Settings!$I$11:$I$15,MATCH(Q187,Settings!$H$11:$H$15,0)),"No"))</f>
        <v/>
      </c>
      <c r="W187" s="37" t="str">
        <f aca="false">IF(Q187="","",IFERROR(INDEX(Settings!$J$11:$J$15,MATCH(Q187,Settings!$H$11:$H$15,0)),"No"))</f>
        <v/>
      </c>
    </row>
    <row r="188" customFormat="false" ht="15" hidden="false" customHeight="false" outlineLevel="0" collapsed="false">
      <c r="A188" s="30"/>
      <c r="B188" s="25"/>
      <c r="C188" s="25"/>
      <c r="D188" s="25"/>
      <c r="E188" s="25"/>
      <c r="F188" s="25"/>
      <c r="G188" s="25"/>
      <c r="H188" s="31"/>
      <c r="I188" s="32"/>
      <c r="J188" s="33"/>
      <c r="K188" s="34" t="str">
        <f aca="false">IF(OR(H188="",I188=""),"",H188*I188*(1-N(J188)))</f>
        <v/>
      </c>
      <c r="L188" s="32"/>
      <c r="M188" s="34" t="str">
        <f aca="false">IF(OR(H188="",L188=""),"",H188*L188)</f>
        <v/>
      </c>
      <c r="N188" s="34" t="str">
        <f aca="false">IF(OR(K188="",M188=""),"",K188-M188)</f>
        <v/>
      </c>
      <c r="O188" s="35" t="str">
        <f aca="false">IF(OR(N188="",K188=""),"",IF(K188=0,"",N188/K188))</f>
        <v/>
      </c>
      <c r="P188" s="25"/>
      <c r="Q188" s="25"/>
      <c r="R188" s="25"/>
      <c r="S188" s="36" t="str">
        <f aca="false">IF(A188="","",YEAR(A188)+IF(AND(FYStart&gt;1,MONTH(A188)&gt;=FYStart),1,0))</f>
        <v/>
      </c>
      <c r="T188" s="36" t="str">
        <f aca="false">IF(A188="","",MOD(MONTH(A188)-FYStart,12)+1)</f>
        <v/>
      </c>
      <c r="U188" s="37" t="str">
        <f aca="false">IF(A188="","",TEXT(A188,"mmm"))</f>
        <v/>
      </c>
      <c r="V188" s="37" t="str">
        <f aca="false">IF(Q188="","",IFERROR(INDEX(Settings!$I$11:$I$15,MATCH(Q188,Settings!$H$11:$H$15,0)),"No"))</f>
        <v/>
      </c>
      <c r="W188" s="37" t="str">
        <f aca="false">IF(Q188="","",IFERROR(INDEX(Settings!$J$11:$J$15,MATCH(Q188,Settings!$H$11:$H$15,0)),"No"))</f>
        <v/>
      </c>
    </row>
    <row r="189" customFormat="false" ht="15" hidden="false" customHeight="false" outlineLevel="0" collapsed="false">
      <c r="A189" s="30"/>
      <c r="B189" s="25"/>
      <c r="C189" s="25"/>
      <c r="D189" s="25"/>
      <c r="E189" s="25"/>
      <c r="F189" s="25"/>
      <c r="G189" s="25"/>
      <c r="H189" s="31"/>
      <c r="I189" s="32"/>
      <c r="J189" s="33"/>
      <c r="K189" s="34" t="str">
        <f aca="false">IF(OR(H189="",I189=""),"",H189*I189*(1-N(J189)))</f>
        <v/>
      </c>
      <c r="L189" s="32"/>
      <c r="M189" s="34" t="str">
        <f aca="false">IF(OR(H189="",L189=""),"",H189*L189)</f>
        <v/>
      </c>
      <c r="N189" s="34" t="str">
        <f aca="false">IF(OR(K189="",M189=""),"",K189-M189)</f>
        <v/>
      </c>
      <c r="O189" s="35" t="str">
        <f aca="false">IF(OR(N189="",K189=""),"",IF(K189=0,"",N189/K189))</f>
        <v/>
      </c>
      <c r="P189" s="25"/>
      <c r="Q189" s="25"/>
      <c r="R189" s="25"/>
      <c r="S189" s="36" t="str">
        <f aca="false">IF(A189="","",YEAR(A189)+IF(AND(FYStart&gt;1,MONTH(A189)&gt;=FYStart),1,0))</f>
        <v/>
      </c>
      <c r="T189" s="36" t="str">
        <f aca="false">IF(A189="","",MOD(MONTH(A189)-FYStart,12)+1)</f>
        <v/>
      </c>
      <c r="U189" s="37" t="str">
        <f aca="false">IF(A189="","",TEXT(A189,"mmm"))</f>
        <v/>
      </c>
      <c r="V189" s="37" t="str">
        <f aca="false">IF(Q189="","",IFERROR(INDEX(Settings!$I$11:$I$15,MATCH(Q189,Settings!$H$11:$H$15,0)),"No"))</f>
        <v/>
      </c>
      <c r="W189" s="37" t="str">
        <f aca="false">IF(Q189="","",IFERROR(INDEX(Settings!$J$11:$J$15,MATCH(Q189,Settings!$H$11:$H$15,0)),"No"))</f>
        <v/>
      </c>
    </row>
    <row r="190" customFormat="false" ht="15" hidden="false" customHeight="false" outlineLevel="0" collapsed="false">
      <c r="A190" s="30"/>
      <c r="B190" s="25"/>
      <c r="C190" s="25"/>
      <c r="D190" s="25"/>
      <c r="E190" s="25"/>
      <c r="F190" s="25"/>
      <c r="G190" s="25"/>
      <c r="H190" s="31"/>
      <c r="I190" s="32"/>
      <c r="J190" s="33"/>
      <c r="K190" s="34" t="str">
        <f aca="false">IF(OR(H190="",I190=""),"",H190*I190*(1-N(J190)))</f>
        <v/>
      </c>
      <c r="L190" s="32"/>
      <c r="M190" s="34" t="str">
        <f aca="false">IF(OR(H190="",L190=""),"",H190*L190)</f>
        <v/>
      </c>
      <c r="N190" s="34" t="str">
        <f aca="false">IF(OR(K190="",M190=""),"",K190-M190)</f>
        <v/>
      </c>
      <c r="O190" s="35" t="str">
        <f aca="false">IF(OR(N190="",K190=""),"",IF(K190=0,"",N190/K190))</f>
        <v/>
      </c>
      <c r="P190" s="25"/>
      <c r="Q190" s="25"/>
      <c r="R190" s="25"/>
      <c r="S190" s="36" t="str">
        <f aca="false">IF(A190="","",YEAR(A190)+IF(AND(FYStart&gt;1,MONTH(A190)&gt;=FYStart),1,0))</f>
        <v/>
      </c>
      <c r="T190" s="36" t="str">
        <f aca="false">IF(A190="","",MOD(MONTH(A190)-FYStart,12)+1)</f>
        <v/>
      </c>
      <c r="U190" s="37" t="str">
        <f aca="false">IF(A190="","",TEXT(A190,"mmm"))</f>
        <v/>
      </c>
      <c r="V190" s="37" t="str">
        <f aca="false">IF(Q190="","",IFERROR(INDEX(Settings!$I$11:$I$15,MATCH(Q190,Settings!$H$11:$H$15,0)),"No"))</f>
        <v/>
      </c>
      <c r="W190" s="37" t="str">
        <f aca="false">IF(Q190="","",IFERROR(INDEX(Settings!$J$11:$J$15,MATCH(Q190,Settings!$H$11:$H$15,0)),"No"))</f>
        <v/>
      </c>
    </row>
    <row r="191" customFormat="false" ht="15" hidden="false" customHeight="false" outlineLevel="0" collapsed="false">
      <c r="A191" s="30"/>
      <c r="B191" s="25"/>
      <c r="C191" s="25"/>
      <c r="D191" s="25"/>
      <c r="E191" s="25"/>
      <c r="F191" s="25"/>
      <c r="G191" s="25"/>
      <c r="H191" s="31"/>
      <c r="I191" s="32"/>
      <c r="J191" s="33"/>
      <c r="K191" s="34" t="str">
        <f aca="false">IF(OR(H191="",I191=""),"",H191*I191*(1-N(J191)))</f>
        <v/>
      </c>
      <c r="L191" s="32"/>
      <c r="M191" s="34" t="str">
        <f aca="false">IF(OR(H191="",L191=""),"",H191*L191)</f>
        <v/>
      </c>
      <c r="N191" s="34" t="str">
        <f aca="false">IF(OR(K191="",M191=""),"",K191-M191)</f>
        <v/>
      </c>
      <c r="O191" s="35" t="str">
        <f aca="false">IF(OR(N191="",K191=""),"",IF(K191=0,"",N191/K191))</f>
        <v/>
      </c>
      <c r="P191" s="25"/>
      <c r="Q191" s="25"/>
      <c r="R191" s="25"/>
      <c r="S191" s="36" t="str">
        <f aca="false">IF(A191="","",YEAR(A191)+IF(AND(FYStart&gt;1,MONTH(A191)&gt;=FYStart),1,0))</f>
        <v/>
      </c>
      <c r="T191" s="36" t="str">
        <f aca="false">IF(A191="","",MOD(MONTH(A191)-FYStart,12)+1)</f>
        <v/>
      </c>
      <c r="U191" s="37" t="str">
        <f aca="false">IF(A191="","",TEXT(A191,"mmm"))</f>
        <v/>
      </c>
      <c r="V191" s="37" t="str">
        <f aca="false">IF(Q191="","",IFERROR(INDEX(Settings!$I$11:$I$15,MATCH(Q191,Settings!$H$11:$H$15,0)),"No"))</f>
        <v/>
      </c>
      <c r="W191" s="37" t="str">
        <f aca="false">IF(Q191="","",IFERROR(INDEX(Settings!$J$11:$J$15,MATCH(Q191,Settings!$H$11:$H$15,0)),"No"))</f>
        <v/>
      </c>
    </row>
    <row r="192" customFormat="false" ht="15" hidden="false" customHeight="false" outlineLevel="0" collapsed="false">
      <c r="A192" s="30"/>
      <c r="B192" s="25"/>
      <c r="C192" s="25"/>
      <c r="D192" s="25"/>
      <c r="E192" s="25"/>
      <c r="F192" s="25"/>
      <c r="G192" s="25"/>
      <c r="H192" s="31"/>
      <c r="I192" s="32"/>
      <c r="J192" s="33"/>
      <c r="K192" s="34" t="str">
        <f aca="false">IF(OR(H192="",I192=""),"",H192*I192*(1-N(J192)))</f>
        <v/>
      </c>
      <c r="L192" s="32"/>
      <c r="M192" s="34" t="str">
        <f aca="false">IF(OR(H192="",L192=""),"",H192*L192)</f>
        <v/>
      </c>
      <c r="N192" s="34" t="str">
        <f aca="false">IF(OR(K192="",M192=""),"",K192-M192)</f>
        <v/>
      </c>
      <c r="O192" s="35" t="str">
        <f aca="false">IF(OR(N192="",K192=""),"",IF(K192=0,"",N192/K192))</f>
        <v/>
      </c>
      <c r="P192" s="25"/>
      <c r="Q192" s="25"/>
      <c r="R192" s="25"/>
      <c r="S192" s="36" t="str">
        <f aca="false">IF(A192="","",YEAR(A192)+IF(AND(FYStart&gt;1,MONTH(A192)&gt;=FYStart),1,0))</f>
        <v/>
      </c>
      <c r="T192" s="36" t="str">
        <f aca="false">IF(A192="","",MOD(MONTH(A192)-FYStart,12)+1)</f>
        <v/>
      </c>
      <c r="U192" s="37" t="str">
        <f aca="false">IF(A192="","",TEXT(A192,"mmm"))</f>
        <v/>
      </c>
      <c r="V192" s="37" t="str">
        <f aca="false">IF(Q192="","",IFERROR(INDEX(Settings!$I$11:$I$15,MATCH(Q192,Settings!$H$11:$H$15,0)),"No"))</f>
        <v/>
      </c>
      <c r="W192" s="37" t="str">
        <f aca="false">IF(Q192="","",IFERROR(INDEX(Settings!$J$11:$J$15,MATCH(Q192,Settings!$H$11:$H$15,0)),"No"))</f>
        <v/>
      </c>
    </row>
    <row r="193" customFormat="false" ht="15" hidden="false" customHeight="false" outlineLevel="0" collapsed="false">
      <c r="A193" s="30"/>
      <c r="B193" s="25"/>
      <c r="C193" s="25"/>
      <c r="D193" s="25"/>
      <c r="E193" s="25"/>
      <c r="F193" s="25"/>
      <c r="G193" s="25"/>
      <c r="H193" s="31"/>
      <c r="I193" s="32"/>
      <c r="J193" s="33"/>
      <c r="K193" s="34" t="str">
        <f aca="false">IF(OR(H193="",I193=""),"",H193*I193*(1-N(J193)))</f>
        <v/>
      </c>
      <c r="L193" s="32"/>
      <c r="M193" s="34" t="str">
        <f aca="false">IF(OR(H193="",L193=""),"",H193*L193)</f>
        <v/>
      </c>
      <c r="N193" s="34" t="str">
        <f aca="false">IF(OR(K193="",M193=""),"",K193-M193)</f>
        <v/>
      </c>
      <c r="O193" s="35" t="str">
        <f aca="false">IF(OR(N193="",K193=""),"",IF(K193=0,"",N193/K193))</f>
        <v/>
      </c>
      <c r="P193" s="25"/>
      <c r="Q193" s="25"/>
      <c r="R193" s="25"/>
      <c r="S193" s="36" t="str">
        <f aca="false">IF(A193="","",YEAR(A193)+IF(AND(FYStart&gt;1,MONTH(A193)&gt;=FYStart),1,0))</f>
        <v/>
      </c>
      <c r="T193" s="36" t="str">
        <f aca="false">IF(A193="","",MOD(MONTH(A193)-FYStart,12)+1)</f>
        <v/>
      </c>
      <c r="U193" s="37" t="str">
        <f aca="false">IF(A193="","",TEXT(A193,"mmm"))</f>
        <v/>
      </c>
      <c r="V193" s="37" t="str">
        <f aca="false">IF(Q193="","",IFERROR(INDEX(Settings!$I$11:$I$15,MATCH(Q193,Settings!$H$11:$H$15,0)),"No"))</f>
        <v/>
      </c>
      <c r="W193" s="37" t="str">
        <f aca="false">IF(Q193="","",IFERROR(INDEX(Settings!$J$11:$J$15,MATCH(Q193,Settings!$H$11:$H$15,0)),"No"))</f>
        <v/>
      </c>
    </row>
    <row r="194" customFormat="false" ht="15" hidden="false" customHeight="false" outlineLevel="0" collapsed="false">
      <c r="A194" s="30"/>
      <c r="B194" s="25"/>
      <c r="C194" s="25"/>
      <c r="D194" s="25"/>
      <c r="E194" s="25"/>
      <c r="F194" s="25"/>
      <c r="G194" s="25"/>
      <c r="H194" s="31"/>
      <c r="I194" s="32"/>
      <c r="J194" s="33"/>
      <c r="K194" s="34" t="str">
        <f aca="false">IF(OR(H194="",I194=""),"",H194*I194*(1-N(J194)))</f>
        <v/>
      </c>
      <c r="L194" s="32"/>
      <c r="M194" s="34" t="str">
        <f aca="false">IF(OR(H194="",L194=""),"",H194*L194)</f>
        <v/>
      </c>
      <c r="N194" s="34" t="str">
        <f aca="false">IF(OR(K194="",M194=""),"",K194-M194)</f>
        <v/>
      </c>
      <c r="O194" s="35" t="str">
        <f aca="false">IF(OR(N194="",K194=""),"",IF(K194=0,"",N194/K194))</f>
        <v/>
      </c>
      <c r="P194" s="25"/>
      <c r="Q194" s="25"/>
      <c r="R194" s="25"/>
      <c r="S194" s="36" t="str">
        <f aca="false">IF(A194="","",YEAR(A194)+IF(AND(FYStart&gt;1,MONTH(A194)&gt;=FYStart),1,0))</f>
        <v/>
      </c>
      <c r="T194" s="36" t="str">
        <f aca="false">IF(A194="","",MOD(MONTH(A194)-FYStart,12)+1)</f>
        <v/>
      </c>
      <c r="U194" s="37" t="str">
        <f aca="false">IF(A194="","",TEXT(A194,"mmm"))</f>
        <v/>
      </c>
      <c r="V194" s="37" t="str">
        <f aca="false">IF(Q194="","",IFERROR(INDEX(Settings!$I$11:$I$15,MATCH(Q194,Settings!$H$11:$H$15,0)),"No"))</f>
        <v/>
      </c>
      <c r="W194" s="37" t="str">
        <f aca="false">IF(Q194="","",IFERROR(INDEX(Settings!$J$11:$J$15,MATCH(Q194,Settings!$H$11:$H$15,0)),"No"))</f>
        <v/>
      </c>
    </row>
    <row r="195" customFormat="false" ht="15" hidden="false" customHeight="false" outlineLevel="0" collapsed="false">
      <c r="A195" s="30"/>
      <c r="B195" s="25"/>
      <c r="C195" s="25"/>
      <c r="D195" s="25"/>
      <c r="E195" s="25"/>
      <c r="F195" s="25"/>
      <c r="G195" s="25"/>
      <c r="H195" s="31"/>
      <c r="I195" s="32"/>
      <c r="J195" s="33"/>
      <c r="K195" s="34" t="str">
        <f aca="false">IF(OR(H195="",I195=""),"",H195*I195*(1-N(J195)))</f>
        <v/>
      </c>
      <c r="L195" s="32"/>
      <c r="M195" s="34" t="str">
        <f aca="false">IF(OR(H195="",L195=""),"",H195*L195)</f>
        <v/>
      </c>
      <c r="N195" s="34" t="str">
        <f aca="false">IF(OR(K195="",M195=""),"",K195-M195)</f>
        <v/>
      </c>
      <c r="O195" s="35" t="str">
        <f aca="false">IF(OR(N195="",K195=""),"",IF(K195=0,"",N195/K195))</f>
        <v/>
      </c>
      <c r="P195" s="25"/>
      <c r="Q195" s="25"/>
      <c r="R195" s="25"/>
      <c r="S195" s="36" t="str">
        <f aca="false">IF(A195="","",YEAR(A195)+IF(AND(FYStart&gt;1,MONTH(A195)&gt;=FYStart),1,0))</f>
        <v/>
      </c>
      <c r="T195" s="36" t="str">
        <f aca="false">IF(A195="","",MOD(MONTH(A195)-FYStart,12)+1)</f>
        <v/>
      </c>
      <c r="U195" s="37" t="str">
        <f aca="false">IF(A195="","",TEXT(A195,"mmm"))</f>
        <v/>
      </c>
      <c r="V195" s="37" t="str">
        <f aca="false">IF(Q195="","",IFERROR(INDEX(Settings!$I$11:$I$15,MATCH(Q195,Settings!$H$11:$H$15,0)),"No"))</f>
        <v/>
      </c>
      <c r="W195" s="37" t="str">
        <f aca="false">IF(Q195="","",IFERROR(INDEX(Settings!$J$11:$J$15,MATCH(Q195,Settings!$H$11:$H$15,0)),"No"))</f>
        <v/>
      </c>
    </row>
    <row r="196" customFormat="false" ht="15" hidden="false" customHeight="false" outlineLevel="0" collapsed="false">
      <c r="A196" s="30"/>
      <c r="B196" s="25"/>
      <c r="C196" s="25"/>
      <c r="D196" s="25"/>
      <c r="E196" s="25"/>
      <c r="F196" s="25"/>
      <c r="G196" s="25"/>
      <c r="H196" s="31"/>
      <c r="I196" s="32"/>
      <c r="J196" s="33"/>
      <c r="K196" s="34" t="str">
        <f aca="false">IF(OR(H196="",I196=""),"",H196*I196*(1-N(J196)))</f>
        <v/>
      </c>
      <c r="L196" s="32"/>
      <c r="M196" s="34" t="str">
        <f aca="false">IF(OR(H196="",L196=""),"",H196*L196)</f>
        <v/>
      </c>
      <c r="N196" s="34" t="str">
        <f aca="false">IF(OR(K196="",M196=""),"",K196-M196)</f>
        <v/>
      </c>
      <c r="O196" s="35" t="str">
        <f aca="false">IF(OR(N196="",K196=""),"",IF(K196=0,"",N196/K196))</f>
        <v/>
      </c>
      <c r="P196" s="25"/>
      <c r="Q196" s="25"/>
      <c r="R196" s="25"/>
      <c r="S196" s="36" t="str">
        <f aca="false">IF(A196="","",YEAR(A196)+IF(AND(FYStart&gt;1,MONTH(A196)&gt;=FYStart),1,0))</f>
        <v/>
      </c>
      <c r="T196" s="36" t="str">
        <f aca="false">IF(A196="","",MOD(MONTH(A196)-FYStart,12)+1)</f>
        <v/>
      </c>
      <c r="U196" s="37" t="str">
        <f aca="false">IF(A196="","",TEXT(A196,"mmm"))</f>
        <v/>
      </c>
      <c r="V196" s="37" t="str">
        <f aca="false">IF(Q196="","",IFERROR(INDEX(Settings!$I$11:$I$15,MATCH(Q196,Settings!$H$11:$H$15,0)),"No"))</f>
        <v/>
      </c>
      <c r="W196" s="37" t="str">
        <f aca="false">IF(Q196="","",IFERROR(INDEX(Settings!$J$11:$J$15,MATCH(Q196,Settings!$H$11:$H$15,0)),"No"))</f>
        <v/>
      </c>
    </row>
    <row r="197" customFormat="false" ht="15" hidden="false" customHeight="false" outlineLevel="0" collapsed="false">
      <c r="A197" s="30"/>
      <c r="B197" s="25"/>
      <c r="C197" s="25"/>
      <c r="D197" s="25"/>
      <c r="E197" s="25"/>
      <c r="F197" s="25"/>
      <c r="G197" s="25"/>
      <c r="H197" s="31"/>
      <c r="I197" s="32"/>
      <c r="J197" s="33"/>
      <c r="K197" s="34" t="str">
        <f aca="false">IF(OR(H197="",I197=""),"",H197*I197*(1-N(J197)))</f>
        <v/>
      </c>
      <c r="L197" s="32"/>
      <c r="M197" s="34" t="str">
        <f aca="false">IF(OR(H197="",L197=""),"",H197*L197)</f>
        <v/>
      </c>
      <c r="N197" s="34" t="str">
        <f aca="false">IF(OR(K197="",M197=""),"",K197-M197)</f>
        <v/>
      </c>
      <c r="O197" s="35" t="str">
        <f aca="false">IF(OR(N197="",K197=""),"",IF(K197=0,"",N197/K197))</f>
        <v/>
      </c>
      <c r="P197" s="25"/>
      <c r="Q197" s="25"/>
      <c r="R197" s="25"/>
      <c r="S197" s="36" t="str">
        <f aca="false">IF(A197="","",YEAR(A197)+IF(AND(FYStart&gt;1,MONTH(A197)&gt;=FYStart),1,0))</f>
        <v/>
      </c>
      <c r="T197" s="36" t="str">
        <f aca="false">IF(A197="","",MOD(MONTH(A197)-FYStart,12)+1)</f>
        <v/>
      </c>
      <c r="U197" s="37" t="str">
        <f aca="false">IF(A197="","",TEXT(A197,"mmm"))</f>
        <v/>
      </c>
      <c r="V197" s="37" t="str">
        <f aca="false">IF(Q197="","",IFERROR(INDEX(Settings!$I$11:$I$15,MATCH(Q197,Settings!$H$11:$H$15,0)),"No"))</f>
        <v/>
      </c>
      <c r="W197" s="37" t="str">
        <f aca="false">IF(Q197="","",IFERROR(INDEX(Settings!$J$11:$J$15,MATCH(Q197,Settings!$H$11:$H$15,0)),"No"))</f>
        <v/>
      </c>
    </row>
    <row r="198" customFormat="false" ht="15" hidden="false" customHeight="false" outlineLevel="0" collapsed="false">
      <c r="A198" s="30"/>
      <c r="B198" s="25"/>
      <c r="C198" s="25"/>
      <c r="D198" s="25"/>
      <c r="E198" s="25"/>
      <c r="F198" s="25"/>
      <c r="G198" s="25"/>
      <c r="H198" s="31"/>
      <c r="I198" s="32"/>
      <c r="J198" s="33"/>
      <c r="K198" s="34" t="str">
        <f aca="false">IF(OR(H198="",I198=""),"",H198*I198*(1-N(J198)))</f>
        <v/>
      </c>
      <c r="L198" s="32"/>
      <c r="M198" s="34" t="str">
        <f aca="false">IF(OR(H198="",L198=""),"",H198*L198)</f>
        <v/>
      </c>
      <c r="N198" s="34" t="str">
        <f aca="false">IF(OR(K198="",M198=""),"",K198-M198)</f>
        <v/>
      </c>
      <c r="O198" s="35" t="str">
        <f aca="false">IF(OR(N198="",K198=""),"",IF(K198=0,"",N198/K198))</f>
        <v/>
      </c>
      <c r="P198" s="25"/>
      <c r="Q198" s="25"/>
      <c r="R198" s="25"/>
      <c r="S198" s="36" t="str">
        <f aca="false">IF(A198="","",YEAR(A198)+IF(AND(FYStart&gt;1,MONTH(A198)&gt;=FYStart),1,0))</f>
        <v/>
      </c>
      <c r="T198" s="36" t="str">
        <f aca="false">IF(A198="","",MOD(MONTH(A198)-FYStart,12)+1)</f>
        <v/>
      </c>
      <c r="U198" s="37" t="str">
        <f aca="false">IF(A198="","",TEXT(A198,"mmm"))</f>
        <v/>
      </c>
      <c r="V198" s="37" t="str">
        <f aca="false">IF(Q198="","",IFERROR(INDEX(Settings!$I$11:$I$15,MATCH(Q198,Settings!$H$11:$H$15,0)),"No"))</f>
        <v/>
      </c>
      <c r="W198" s="37" t="str">
        <f aca="false">IF(Q198="","",IFERROR(INDEX(Settings!$J$11:$J$15,MATCH(Q198,Settings!$H$11:$H$15,0)),"No"))</f>
        <v/>
      </c>
    </row>
    <row r="199" customFormat="false" ht="15" hidden="false" customHeight="false" outlineLevel="0" collapsed="false">
      <c r="A199" s="30"/>
      <c r="B199" s="25"/>
      <c r="C199" s="25"/>
      <c r="D199" s="25"/>
      <c r="E199" s="25"/>
      <c r="F199" s="25"/>
      <c r="G199" s="25"/>
      <c r="H199" s="31"/>
      <c r="I199" s="32"/>
      <c r="J199" s="33"/>
      <c r="K199" s="34" t="str">
        <f aca="false">IF(OR(H199="",I199=""),"",H199*I199*(1-N(J199)))</f>
        <v/>
      </c>
      <c r="L199" s="32"/>
      <c r="M199" s="34" t="str">
        <f aca="false">IF(OR(H199="",L199=""),"",H199*L199)</f>
        <v/>
      </c>
      <c r="N199" s="34" t="str">
        <f aca="false">IF(OR(K199="",M199=""),"",K199-M199)</f>
        <v/>
      </c>
      <c r="O199" s="35" t="str">
        <f aca="false">IF(OR(N199="",K199=""),"",IF(K199=0,"",N199/K199))</f>
        <v/>
      </c>
      <c r="P199" s="25"/>
      <c r="Q199" s="25"/>
      <c r="R199" s="25"/>
      <c r="S199" s="36" t="str">
        <f aca="false">IF(A199="","",YEAR(A199)+IF(AND(FYStart&gt;1,MONTH(A199)&gt;=FYStart),1,0))</f>
        <v/>
      </c>
      <c r="T199" s="36" t="str">
        <f aca="false">IF(A199="","",MOD(MONTH(A199)-FYStart,12)+1)</f>
        <v/>
      </c>
      <c r="U199" s="37" t="str">
        <f aca="false">IF(A199="","",TEXT(A199,"mmm"))</f>
        <v/>
      </c>
      <c r="V199" s="37" t="str">
        <f aca="false">IF(Q199="","",IFERROR(INDEX(Settings!$I$11:$I$15,MATCH(Q199,Settings!$H$11:$H$15,0)),"No"))</f>
        <v/>
      </c>
      <c r="W199" s="37" t="str">
        <f aca="false">IF(Q199="","",IFERROR(INDEX(Settings!$J$11:$J$15,MATCH(Q199,Settings!$H$11:$H$15,0)),"No"))</f>
        <v/>
      </c>
    </row>
    <row r="200" customFormat="false" ht="15" hidden="false" customHeight="false" outlineLevel="0" collapsed="false">
      <c r="A200" s="30"/>
      <c r="B200" s="25"/>
      <c r="C200" s="25"/>
      <c r="D200" s="25"/>
      <c r="E200" s="25"/>
      <c r="F200" s="25"/>
      <c r="G200" s="25"/>
      <c r="H200" s="31"/>
      <c r="I200" s="32"/>
      <c r="J200" s="33"/>
      <c r="K200" s="34" t="str">
        <f aca="false">IF(OR(H200="",I200=""),"",H200*I200*(1-N(J200)))</f>
        <v/>
      </c>
      <c r="L200" s="32"/>
      <c r="M200" s="34" t="str">
        <f aca="false">IF(OR(H200="",L200=""),"",H200*L200)</f>
        <v/>
      </c>
      <c r="N200" s="34" t="str">
        <f aca="false">IF(OR(K200="",M200=""),"",K200-M200)</f>
        <v/>
      </c>
      <c r="O200" s="35" t="str">
        <f aca="false">IF(OR(N200="",K200=""),"",IF(K200=0,"",N200/K200))</f>
        <v/>
      </c>
      <c r="P200" s="25"/>
      <c r="Q200" s="25"/>
      <c r="R200" s="25"/>
      <c r="S200" s="36" t="str">
        <f aca="false">IF(A200="","",YEAR(A200)+IF(AND(FYStart&gt;1,MONTH(A200)&gt;=FYStart),1,0))</f>
        <v/>
      </c>
      <c r="T200" s="36" t="str">
        <f aca="false">IF(A200="","",MOD(MONTH(A200)-FYStart,12)+1)</f>
        <v/>
      </c>
      <c r="U200" s="37" t="str">
        <f aca="false">IF(A200="","",TEXT(A200,"mmm"))</f>
        <v/>
      </c>
      <c r="V200" s="37" t="str">
        <f aca="false">IF(Q200="","",IFERROR(INDEX(Settings!$I$11:$I$15,MATCH(Q200,Settings!$H$11:$H$15,0)),"No"))</f>
        <v/>
      </c>
      <c r="W200" s="37" t="str">
        <f aca="false">IF(Q200="","",IFERROR(INDEX(Settings!$J$11:$J$15,MATCH(Q200,Settings!$H$11:$H$15,0)),"No"))</f>
        <v/>
      </c>
    </row>
    <row r="201" customFormat="false" ht="15" hidden="false" customHeight="false" outlineLevel="0" collapsed="false">
      <c r="A201" s="30"/>
      <c r="B201" s="25"/>
      <c r="C201" s="25"/>
      <c r="D201" s="25"/>
      <c r="E201" s="25"/>
      <c r="F201" s="25"/>
      <c r="G201" s="25"/>
      <c r="H201" s="31"/>
      <c r="I201" s="32"/>
      <c r="J201" s="33"/>
      <c r="K201" s="34" t="str">
        <f aca="false">IF(OR(H201="",I201=""),"",H201*I201*(1-N(J201)))</f>
        <v/>
      </c>
      <c r="L201" s="32"/>
      <c r="M201" s="34" t="str">
        <f aca="false">IF(OR(H201="",L201=""),"",H201*L201)</f>
        <v/>
      </c>
      <c r="N201" s="34" t="str">
        <f aca="false">IF(OR(K201="",M201=""),"",K201-M201)</f>
        <v/>
      </c>
      <c r="O201" s="35" t="str">
        <f aca="false">IF(OR(N201="",K201=""),"",IF(K201=0,"",N201/K201))</f>
        <v/>
      </c>
      <c r="P201" s="25"/>
      <c r="Q201" s="25"/>
      <c r="R201" s="25"/>
      <c r="S201" s="36" t="str">
        <f aca="false">IF(A201="","",YEAR(A201)+IF(AND(FYStart&gt;1,MONTH(A201)&gt;=FYStart),1,0))</f>
        <v/>
      </c>
      <c r="T201" s="36" t="str">
        <f aca="false">IF(A201="","",MOD(MONTH(A201)-FYStart,12)+1)</f>
        <v/>
      </c>
      <c r="U201" s="37" t="str">
        <f aca="false">IF(A201="","",TEXT(A201,"mmm"))</f>
        <v/>
      </c>
      <c r="V201" s="37" t="str">
        <f aca="false">IF(Q201="","",IFERROR(INDEX(Settings!$I$11:$I$15,MATCH(Q201,Settings!$H$11:$H$15,0)),"No"))</f>
        <v/>
      </c>
      <c r="W201" s="37" t="str">
        <f aca="false">IF(Q201="","",IFERROR(INDEX(Settings!$J$11:$J$15,MATCH(Q201,Settings!$H$11:$H$15,0)),"No"))</f>
        <v/>
      </c>
    </row>
    <row r="202" customFormat="false" ht="15" hidden="false" customHeight="false" outlineLevel="0" collapsed="false">
      <c r="A202" s="30"/>
      <c r="B202" s="25"/>
      <c r="C202" s="25"/>
      <c r="D202" s="25"/>
      <c r="E202" s="25"/>
      <c r="F202" s="25"/>
      <c r="G202" s="25"/>
      <c r="H202" s="31"/>
      <c r="I202" s="32"/>
      <c r="J202" s="33"/>
      <c r="K202" s="34" t="str">
        <f aca="false">IF(OR(H202="",I202=""),"",H202*I202*(1-N(J202)))</f>
        <v/>
      </c>
      <c r="L202" s="32"/>
      <c r="M202" s="34" t="str">
        <f aca="false">IF(OR(H202="",L202=""),"",H202*L202)</f>
        <v/>
      </c>
      <c r="N202" s="34" t="str">
        <f aca="false">IF(OR(K202="",M202=""),"",K202-M202)</f>
        <v/>
      </c>
      <c r="O202" s="35" t="str">
        <f aca="false">IF(OR(N202="",K202=""),"",IF(K202=0,"",N202/K202))</f>
        <v/>
      </c>
      <c r="P202" s="25"/>
      <c r="Q202" s="25"/>
      <c r="R202" s="25"/>
      <c r="S202" s="36" t="str">
        <f aca="false">IF(A202="","",YEAR(A202)+IF(AND(FYStart&gt;1,MONTH(A202)&gt;=FYStart),1,0))</f>
        <v/>
      </c>
      <c r="T202" s="36" t="str">
        <f aca="false">IF(A202="","",MOD(MONTH(A202)-FYStart,12)+1)</f>
        <v/>
      </c>
      <c r="U202" s="37" t="str">
        <f aca="false">IF(A202="","",TEXT(A202,"mmm"))</f>
        <v/>
      </c>
      <c r="V202" s="37" t="str">
        <f aca="false">IF(Q202="","",IFERROR(INDEX(Settings!$I$11:$I$15,MATCH(Q202,Settings!$H$11:$H$15,0)),"No"))</f>
        <v/>
      </c>
      <c r="W202" s="37" t="str">
        <f aca="false">IF(Q202="","",IFERROR(INDEX(Settings!$J$11:$J$15,MATCH(Q202,Settings!$H$11:$H$15,0)),"No"))</f>
        <v/>
      </c>
    </row>
    <row r="203" customFormat="false" ht="15" hidden="false" customHeight="false" outlineLevel="0" collapsed="false">
      <c r="A203" s="30"/>
      <c r="B203" s="25"/>
      <c r="C203" s="25"/>
      <c r="D203" s="25"/>
      <c r="E203" s="25"/>
      <c r="F203" s="25"/>
      <c r="G203" s="25"/>
      <c r="H203" s="31"/>
      <c r="I203" s="32"/>
      <c r="J203" s="33"/>
      <c r="K203" s="34" t="str">
        <f aca="false">IF(OR(H203="",I203=""),"",H203*I203*(1-N(J203)))</f>
        <v/>
      </c>
      <c r="L203" s="32"/>
      <c r="M203" s="34" t="str">
        <f aca="false">IF(OR(H203="",L203=""),"",H203*L203)</f>
        <v/>
      </c>
      <c r="N203" s="34" t="str">
        <f aca="false">IF(OR(K203="",M203=""),"",K203-M203)</f>
        <v/>
      </c>
      <c r="O203" s="35" t="str">
        <f aca="false">IF(OR(N203="",K203=""),"",IF(K203=0,"",N203/K203))</f>
        <v/>
      </c>
      <c r="P203" s="25"/>
      <c r="Q203" s="25"/>
      <c r="R203" s="25"/>
      <c r="S203" s="36" t="str">
        <f aca="false">IF(A203="","",YEAR(A203)+IF(AND(FYStart&gt;1,MONTH(A203)&gt;=FYStart),1,0))</f>
        <v/>
      </c>
      <c r="T203" s="36" t="str">
        <f aca="false">IF(A203="","",MOD(MONTH(A203)-FYStart,12)+1)</f>
        <v/>
      </c>
      <c r="U203" s="37" t="str">
        <f aca="false">IF(A203="","",TEXT(A203,"mmm"))</f>
        <v/>
      </c>
      <c r="V203" s="37" t="str">
        <f aca="false">IF(Q203="","",IFERROR(INDEX(Settings!$I$11:$I$15,MATCH(Q203,Settings!$H$11:$H$15,0)),"No"))</f>
        <v/>
      </c>
      <c r="W203" s="37" t="str">
        <f aca="false">IF(Q203="","",IFERROR(INDEX(Settings!$J$11:$J$15,MATCH(Q203,Settings!$H$11:$H$15,0)),"No"))</f>
        <v/>
      </c>
    </row>
    <row r="204" customFormat="false" ht="15" hidden="false" customHeight="false" outlineLevel="0" collapsed="false">
      <c r="A204" s="30"/>
      <c r="B204" s="25"/>
      <c r="C204" s="25"/>
      <c r="D204" s="25"/>
      <c r="E204" s="25"/>
      <c r="F204" s="25"/>
      <c r="G204" s="25"/>
      <c r="H204" s="31"/>
      <c r="I204" s="32"/>
      <c r="J204" s="33"/>
      <c r="K204" s="34" t="str">
        <f aca="false">IF(OR(H204="",I204=""),"",H204*I204*(1-N(J204)))</f>
        <v/>
      </c>
      <c r="L204" s="32"/>
      <c r="M204" s="34" t="str">
        <f aca="false">IF(OR(H204="",L204=""),"",H204*L204)</f>
        <v/>
      </c>
      <c r="N204" s="34" t="str">
        <f aca="false">IF(OR(K204="",M204=""),"",K204-M204)</f>
        <v/>
      </c>
      <c r="O204" s="35" t="str">
        <f aca="false">IF(OR(N204="",K204=""),"",IF(K204=0,"",N204/K204))</f>
        <v/>
      </c>
      <c r="P204" s="25"/>
      <c r="Q204" s="25"/>
      <c r="R204" s="25"/>
      <c r="S204" s="36" t="str">
        <f aca="false">IF(A204="","",YEAR(A204)+IF(AND(FYStart&gt;1,MONTH(A204)&gt;=FYStart),1,0))</f>
        <v/>
      </c>
      <c r="T204" s="36" t="str">
        <f aca="false">IF(A204="","",MOD(MONTH(A204)-FYStart,12)+1)</f>
        <v/>
      </c>
      <c r="U204" s="37" t="str">
        <f aca="false">IF(A204="","",TEXT(A204,"mmm"))</f>
        <v/>
      </c>
      <c r="V204" s="37" t="str">
        <f aca="false">IF(Q204="","",IFERROR(INDEX(Settings!$I$11:$I$15,MATCH(Q204,Settings!$H$11:$H$15,0)),"No"))</f>
        <v/>
      </c>
      <c r="W204" s="37" t="str">
        <f aca="false">IF(Q204="","",IFERROR(INDEX(Settings!$J$11:$J$15,MATCH(Q204,Settings!$H$11:$H$15,0)),"No"))</f>
        <v/>
      </c>
    </row>
    <row r="205" customFormat="false" ht="15" hidden="false" customHeight="false" outlineLevel="0" collapsed="false">
      <c r="A205" s="30"/>
      <c r="B205" s="25"/>
      <c r="C205" s="25"/>
      <c r="D205" s="25"/>
      <c r="E205" s="25"/>
      <c r="F205" s="25"/>
      <c r="G205" s="25"/>
      <c r="H205" s="31"/>
      <c r="I205" s="32"/>
      <c r="J205" s="33"/>
      <c r="K205" s="34" t="str">
        <f aca="false">IF(OR(H205="",I205=""),"",H205*I205*(1-N(J205)))</f>
        <v/>
      </c>
      <c r="L205" s="32"/>
      <c r="M205" s="34" t="str">
        <f aca="false">IF(OR(H205="",L205=""),"",H205*L205)</f>
        <v/>
      </c>
      <c r="N205" s="34" t="str">
        <f aca="false">IF(OR(K205="",M205=""),"",K205-M205)</f>
        <v/>
      </c>
      <c r="O205" s="35" t="str">
        <f aca="false">IF(OR(N205="",K205=""),"",IF(K205=0,"",N205/K205))</f>
        <v/>
      </c>
      <c r="P205" s="25"/>
      <c r="Q205" s="25"/>
      <c r="R205" s="25"/>
      <c r="S205" s="36" t="str">
        <f aca="false">IF(A205="","",YEAR(A205)+IF(AND(FYStart&gt;1,MONTH(A205)&gt;=FYStart),1,0))</f>
        <v/>
      </c>
      <c r="T205" s="36" t="str">
        <f aca="false">IF(A205="","",MOD(MONTH(A205)-FYStart,12)+1)</f>
        <v/>
      </c>
      <c r="U205" s="37" t="str">
        <f aca="false">IF(A205="","",TEXT(A205,"mmm"))</f>
        <v/>
      </c>
      <c r="V205" s="37" t="str">
        <f aca="false">IF(Q205="","",IFERROR(INDEX(Settings!$I$11:$I$15,MATCH(Q205,Settings!$H$11:$H$15,0)),"No"))</f>
        <v/>
      </c>
      <c r="W205" s="37" t="str">
        <f aca="false">IF(Q205="","",IFERROR(INDEX(Settings!$J$11:$J$15,MATCH(Q205,Settings!$H$11:$H$15,0)),"No"))</f>
        <v/>
      </c>
    </row>
    <row r="206" customFormat="false" ht="15" hidden="false" customHeight="false" outlineLevel="0" collapsed="false">
      <c r="A206" s="30"/>
      <c r="B206" s="25"/>
      <c r="C206" s="25"/>
      <c r="D206" s="25"/>
      <c r="E206" s="25"/>
      <c r="F206" s="25"/>
      <c r="G206" s="25"/>
      <c r="H206" s="31"/>
      <c r="I206" s="32"/>
      <c r="J206" s="33"/>
      <c r="K206" s="34" t="str">
        <f aca="false">IF(OR(H206="",I206=""),"",H206*I206*(1-N(J206)))</f>
        <v/>
      </c>
      <c r="L206" s="32"/>
      <c r="M206" s="34" t="str">
        <f aca="false">IF(OR(H206="",L206=""),"",H206*L206)</f>
        <v/>
      </c>
      <c r="N206" s="34" t="str">
        <f aca="false">IF(OR(K206="",M206=""),"",K206-M206)</f>
        <v/>
      </c>
      <c r="O206" s="35" t="str">
        <f aca="false">IF(OR(N206="",K206=""),"",IF(K206=0,"",N206/K206))</f>
        <v/>
      </c>
      <c r="P206" s="25"/>
      <c r="Q206" s="25"/>
      <c r="R206" s="25"/>
      <c r="S206" s="36" t="str">
        <f aca="false">IF(A206="","",YEAR(A206)+IF(AND(FYStart&gt;1,MONTH(A206)&gt;=FYStart),1,0))</f>
        <v/>
      </c>
      <c r="T206" s="36" t="str">
        <f aca="false">IF(A206="","",MOD(MONTH(A206)-FYStart,12)+1)</f>
        <v/>
      </c>
      <c r="U206" s="37" t="str">
        <f aca="false">IF(A206="","",TEXT(A206,"mmm"))</f>
        <v/>
      </c>
      <c r="V206" s="37" t="str">
        <f aca="false">IF(Q206="","",IFERROR(INDEX(Settings!$I$11:$I$15,MATCH(Q206,Settings!$H$11:$H$15,0)),"No"))</f>
        <v/>
      </c>
      <c r="W206" s="37" t="str">
        <f aca="false">IF(Q206="","",IFERROR(INDEX(Settings!$J$11:$J$15,MATCH(Q206,Settings!$H$11:$H$15,0)),"No"))</f>
        <v/>
      </c>
    </row>
    <row r="207" customFormat="false" ht="15" hidden="false" customHeight="false" outlineLevel="0" collapsed="false">
      <c r="A207" s="30"/>
      <c r="B207" s="25"/>
      <c r="C207" s="25"/>
      <c r="D207" s="25"/>
      <c r="E207" s="25"/>
      <c r="F207" s="25"/>
      <c r="G207" s="25"/>
      <c r="H207" s="31"/>
      <c r="I207" s="32"/>
      <c r="J207" s="33"/>
      <c r="K207" s="34" t="str">
        <f aca="false">IF(OR(H207="",I207=""),"",H207*I207*(1-N(J207)))</f>
        <v/>
      </c>
      <c r="L207" s="32"/>
      <c r="M207" s="34" t="str">
        <f aca="false">IF(OR(H207="",L207=""),"",H207*L207)</f>
        <v/>
      </c>
      <c r="N207" s="34" t="str">
        <f aca="false">IF(OR(K207="",M207=""),"",K207-M207)</f>
        <v/>
      </c>
      <c r="O207" s="35" t="str">
        <f aca="false">IF(OR(N207="",K207=""),"",IF(K207=0,"",N207/K207))</f>
        <v/>
      </c>
      <c r="P207" s="25"/>
      <c r="Q207" s="25"/>
      <c r="R207" s="25"/>
      <c r="S207" s="36" t="str">
        <f aca="false">IF(A207="","",YEAR(A207)+IF(AND(FYStart&gt;1,MONTH(A207)&gt;=FYStart),1,0))</f>
        <v/>
      </c>
      <c r="T207" s="36" t="str">
        <f aca="false">IF(A207="","",MOD(MONTH(A207)-FYStart,12)+1)</f>
        <v/>
      </c>
      <c r="U207" s="37" t="str">
        <f aca="false">IF(A207="","",TEXT(A207,"mmm"))</f>
        <v/>
      </c>
      <c r="V207" s="37" t="str">
        <f aca="false">IF(Q207="","",IFERROR(INDEX(Settings!$I$11:$I$15,MATCH(Q207,Settings!$H$11:$H$15,0)),"No"))</f>
        <v/>
      </c>
      <c r="W207" s="37" t="str">
        <f aca="false">IF(Q207="","",IFERROR(INDEX(Settings!$J$11:$J$15,MATCH(Q207,Settings!$H$11:$H$15,0)),"No"))</f>
        <v/>
      </c>
    </row>
    <row r="208" customFormat="false" ht="15" hidden="false" customHeight="false" outlineLevel="0" collapsed="false">
      <c r="A208" s="30"/>
      <c r="B208" s="25"/>
      <c r="C208" s="25"/>
      <c r="D208" s="25"/>
      <c r="E208" s="25"/>
      <c r="F208" s="25"/>
      <c r="G208" s="25"/>
      <c r="H208" s="31"/>
      <c r="I208" s="32"/>
      <c r="J208" s="33"/>
      <c r="K208" s="34" t="str">
        <f aca="false">IF(OR(H208="",I208=""),"",H208*I208*(1-N(J208)))</f>
        <v/>
      </c>
      <c r="L208" s="32"/>
      <c r="M208" s="34" t="str">
        <f aca="false">IF(OR(H208="",L208=""),"",H208*L208)</f>
        <v/>
      </c>
      <c r="N208" s="34" t="str">
        <f aca="false">IF(OR(K208="",M208=""),"",K208-M208)</f>
        <v/>
      </c>
      <c r="O208" s="35" t="str">
        <f aca="false">IF(OR(N208="",K208=""),"",IF(K208=0,"",N208/K208))</f>
        <v/>
      </c>
      <c r="P208" s="25"/>
      <c r="Q208" s="25"/>
      <c r="R208" s="25"/>
      <c r="S208" s="36" t="str">
        <f aca="false">IF(A208="","",YEAR(A208)+IF(AND(FYStart&gt;1,MONTH(A208)&gt;=FYStart),1,0))</f>
        <v/>
      </c>
      <c r="T208" s="36" t="str">
        <f aca="false">IF(A208="","",MOD(MONTH(A208)-FYStart,12)+1)</f>
        <v/>
      </c>
      <c r="U208" s="37" t="str">
        <f aca="false">IF(A208="","",TEXT(A208,"mmm"))</f>
        <v/>
      </c>
      <c r="V208" s="37" t="str">
        <f aca="false">IF(Q208="","",IFERROR(INDEX(Settings!$I$11:$I$15,MATCH(Q208,Settings!$H$11:$H$15,0)),"No"))</f>
        <v/>
      </c>
      <c r="W208" s="37" t="str">
        <f aca="false">IF(Q208="","",IFERROR(INDEX(Settings!$J$11:$J$15,MATCH(Q208,Settings!$H$11:$H$15,0)),"No"))</f>
        <v/>
      </c>
    </row>
    <row r="209" customFormat="false" ht="15" hidden="false" customHeight="false" outlineLevel="0" collapsed="false">
      <c r="A209" s="30"/>
      <c r="B209" s="25"/>
      <c r="C209" s="25"/>
      <c r="D209" s="25"/>
      <c r="E209" s="25"/>
      <c r="F209" s="25"/>
      <c r="G209" s="25"/>
      <c r="H209" s="31"/>
      <c r="I209" s="32"/>
      <c r="J209" s="33"/>
      <c r="K209" s="34" t="str">
        <f aca="false">IF(OR(H209="",I209=""),"",H209*I209*(1-N(J209)))</f>
        <v/>
      </c>
      <c r="L209" s="32"/>
      <c r="M209" s="34" t="str">
        <f aca="false">IF(OR(H209="",L209=""),"",H209*L209)</f>
        <v/>
      </c>
      <c r="N209" s="34" t="str">
        <f aca="false">IF(OR(K209="",M209=""),"",K209-M209)</f>
        <v/>
      </c>
      <c r="O209" s="35" t="str">
        <f aca="false">IF(OR(N209="",K209=""),"",IF(K209=0,"",N209/K209))</f>
        <v/>
      </c>
      <c r="P209" s="25"/>
      <c r="Q209" s="25"/>
      <c r="R209" s="25"/>
      <c r="S209" s="36" t="str">
        <f aca="false">IF(A209="","",YEAR(A209)+IF(AND(FYStart&gt;1,MONTH(A209)&gt;=FYStart),1,0))</f>
        <v/>
      </c>
      <c r="T209" s="36" t="str">
        <f aca="false">IF(A209="","",MOD(MONTH(A209)-FYStart,12)+1)</f>
        <v/>
      </c>
      <c r="U209" s="37" t="str">
        <f aca="false">IF(A209="","",TEXT(A209,"mmm"))</f>
        <v/>
      </c>
      <c r="V209" s="37" t="str">
        <f aca="false">IF(Q209="","",IFERROR(INDEX(Settings!$I$11:$I$15,MATCH(Q209,Settings!$H$11:$H$15,0)),"No"))</f>
        <v/>
      </c>
      <c r="W209" s="37" t="str">
        <f aca="false">IF(Q209="","",IFERROR(INDEX(Settings!$J$11:$J$15,MATCH(Q209,Settings!$H$11:$H$15,0)),"No"))</f>
        <v/>
      </c>
    </row>
    <row r="210" customFormat="false" ht="15" hidden="false" customHeight="false" outlineLevel="0" collapsed="false">
      <c r="A210" s="30"/>
      <c r="B210" s="25"/>
      <c r="C210" s="25"/>
      <c r="D210" s="25"/>
      <c r="E210" s="25"/>
      <c r="F210" s="25"/>
      <c r="G210" s="25"/>
      <c r="H210" s="31"/>
      <c r="I210" s="32"/>
      <c r="J210" s="33"/>
      <c r="K210" s="34" t="str">
        <f aca="false">IF(OR(H210="",I210=""),"",H210*I210*(1-N(J210)))</f>
        <v/>
      </c>
      <c r="L210" s="32"/>
      <c r="M210" s="34" t="str">
        <f aca="false">IF(OR(H210="",L210=""),"",H210*L210)</f>
        <v/>
      </c>
      <c r="N210" s="34" t="str">
        <f aca="false">IF(OR(K210="",M210=""),"",K210-M210)</f>
        <v/>
      </c>
      <c r="O210" s="35" t="str">
        <f aca="false">IF(OR(N210="",K210=""),"",IF(K210=0,"",N210/K210))</f>
        <v/>
      </c>
      <c r="P210" s="25"/>
      <c r="Q210" s="25"/>
      <c r="R210" s="25"/>
      <c r="S210" s="36" t="str">
        <f aca="false">IF(A210="","",YEAR(A210)+IF(AND(FYStart&gt;1,MONTH(A210)&gt;=FYStart),1,0))</f>
        <v/>
      </c>
      <c r="T210" s="36" t="str">
        <f aca="false">IF(A210="","",MOD(MONTH(A210)-FYStart,12)+1)</f>
        <v/>
      </c>
      <c r="U210" s="37" t="str">
        <f aca="false">IF(A210="","",TEXT(A210,"mmm"))</f>
        <v/>
      </c>
      <c r="V210" s="37" t="str">
        <f aca="false">IF(Q210="","",IFERROR(INDEX(Settings!$I$11:$I$15,MATCH(Q210,Settings!$H$11:$H$15,0)),"No"))</f>
        <v/>
      </c>
      <c r="W210" s="37" t="str">
        <f aca="false">IF(Q210="","",IFERROR(INDEX(Settings!$J$11:$J$15,MATCH(Q210,Settings!$H$11:$H$15,0)),"No"))</f>
        <v/>
      </c>
    </row>
    <row r="211" customFormat="false" ht="15" hidden="false" customHeight="false" outlineLevel="0" collapsed="false">
      <c r="A211" s="30"/>
      <c r="B211" s="25"/>
      <c r="C211" s="25"/>
      <c r="D211" s="25"/>
      <c r="E211" s="25"/>
      <c r="F211" s="25"/>
      <c r="G211" s="25"/>
      <c r="H211" s="31"/>
      <c r="I211" s="32"/>
      <c r="J211" s="33"/>
      <c r="K211" s="34" t="str">
        <f aca="false">IF(OR(H211="",I211=""),"",H211*I211*(1-N(J211)))</f>
        <v/>
      </c>
      <c r="L211" s="32"/>
      <c r="M211" s="34" t="str">
        <f aca="false">IF(OR(H211="",L211=""),"",H211*L211)</f>
        <v/>
      </c>
      <c r="N211" s="34" t="str">
        <f aca="false">IF(OR(K211="",M211=""),"",K211-M211)</f>
        <v/>
      </c>
      <c r="O211" s="35" t="str">
        <f aca="false">IF(OR(N211="",K211=""),"",IF(K211=0,"",N211/K211))</f>
        <v/>
      </c>
      <c r="P211" s="25"/>
      <c r="Q211" s="25"/>
      <c r="R211" s="25"/>
      <c r="S211" s="36" t="str">
        <f aca="false">IF(A211="","",YEAR(A211)+IF(AND(FYStart&gt;1,MONTH(A211)&gt;=FYStart),1,0))</f>
        <v/>
      </c>
      <c r="T211" s="36" t="str">
        <f aca="false">IF(A211="","",MOD(MONTH(A211)-FYStart,12)+1)</f>
        <v/>
      </c>
      <c r="U211" s="37" t="str">
        <f aca="false">IF(A211="","",TEXT(A211,"mmm"))</f>
        <v/>
      </c>
      <c r="V211" s="37" t="str">
        <f aca="false">IF(Q211="","",IFERROR(INDEX(Settings!$I$11:$I$15,MATCH(Q211,Settings!$H$11:$H$15,0)),"No"))</f>
        <v/>
      </c>
      <c r="W211" s="37" t="str">
        <f aca="false">IF(Q211="","",IFERROR(INDEX(Settings!$J$11:$J$15,MATCH(Q211,Settings!$H$11:$H$15,0)),"No"))</f>
        <v/>
      </c>
    </row>
    <row r="212" customFormat="false" ht="15" hidden="false" customHeight="false" outlineLevel="0" collapsed="false">
      <c r="A212" s="30"/>
      <c r="B212" s="25"/>
      <c r="C212" s="25"/>
      <c r="D212" s="25"/>
      <c r="E212" s="25"/>
      <c r="F212" s="25"/>
      <c r="G212" s="25"/>
      <c r="H212" s="31"/>
      <c r="I212" s="32"/>
      <c r="J212" s="33"/>
      <c r="K212" s="34" t="str">
        <f aca="false">IF(OR(H212="",I212=""),"",H212*I212*(1-N(J212)))</f>
        <v/>
      </c>
      <c r="L212" s="32"/>
      <c r="M212" s="34" t="str">
        <f aca="false">IF(OR(H212="",L212=""),"",H212*L212)</f>
        <v/>
      </c>
      <c r="N212" s="34" t="str">
        <f aca="false">IF(OR(K212="",M212=""),"",K212-M212)</f>
        <v/>
      </c>
      <c r="O212" s="35" t="str">
        <f aca="false">IF(OR(N212="",K212=""),"",IF(K212=0,"",N212/K212))</f>
        <v/>
      </c>
      <c r="P212" s="25"/>
      <c r="Q212" s="25"/>
      <c r="R212" s="25"/>
      <c r="S212" s="36" t="str">
        <f aca="false">IF(A212="","",YEAR(A212)+IF(AND(FYStart&gt;1,MONTH(A212)&gt;=FYStart),1,0))</f>
        <v/>
      </c>
      <c r="T212" s="36" t="str">
        <f aca="false">IF(A212="","",MOD(MONTH(A212)-FYStart,12)+1)</f>
        <v/>
      </c>
      <c r="U212" s="37" t="str">
        <f aca="false">IF(A212="","",TEXT(A212,"mmm"))</f>
        <v/>
      </c>
      <c r="V212" s="37" t="str">
        <f aca="false">IF(Q212="","",IFERROR(INDEX(Settings!$I$11:$I$15,MATCH(Q212,Settings!$H$11:$H$15,0)),"No"))</f>
        <v/>
      </c>
      <c r="W212" s="37" t="str">
        <f aca="false">IF(Q212="","",IFERROR(INDEX(Settings!$J$11:$J$15,MATCH(Q212,Settings!$H$11:$H$15,0)),"No"))</f>
        <v/>
      </c>
    </row>
    <row r="213" customFormat="false" ht="15" hidden="false" customHeight="false" outlineLevel="0" collapsed="false">
      <c r="A213" s="30"/>
      <c r="B213" s="25"/>
      <c r="C213" s="25"/>
      <c r="D213" s="25"/>
      <c r="E213" s="25"/>
      <c r="F213" s="25"/>
      <c r="G213" s="25"/>
      <c r="H213" s="31"/>
      <c r="I213" s="32"/>
      <c r="J213" s="33"/>
      <c r="K213" s="34" t="str">
        <f aca="false">IF(OR(H213="",I213=""),"",H213*I213*(1-N(J213)))</f>
        <v/>
      </c>
      <c r="L213" s="32"/>
      <c r="M213" s="34" t="str">
        <f aca="false">IF(OR(H213="",L213=""),"",H213*L213)</f>
        <v/>
      </c>
      <c r="N213" s="34" t="str">
        <f aca="false">IF(OR(K213="",M213=""),"",K213-M213)</f>
        <v/>
      </c>
      <c r="O213" s="35" t="str">
        <f aca="false">IF(OR(N213="",K213=""),"",IF(K213=0,"",N213/K213))</f>
        <v/>
      </c>
      <c r="P213" s="25"/>
      <c r="Q213" s="25"/>
      <c r="R213" s="25"/>
      <c r="S213" s="36" t="str">
        <f aca="false">IF(A213="","",YEAR(A213)+IF(AND(FYStart&gt;1,MONTH(A213)&gt;=FYStart),1,0))</f>
        <v/>
      </c>
      <c r="T213" s="36" t="str">
        <f aca="false">IF(A213="","",MOD(MONTH(A213)-FYStart,12)+1)</f>
        <v/>
      </c>
      <c r="U213" s="37" t="str">
        <f aca="false">IF(A213="","",TEXT(A213,"mmm"))</f>
        <v/>
      </c>
      <c r="V213" s="37" t="str">
        <f aca="false">IF(Q213="","",IFERROR(INDEX(Settings!$I$11:$I$15,MATCH(Q213,Settings!$H$11:$H$15,0)),"No"))</f>
        <v/>
      </c>
      <c r="W213" s="37" t="str">
        <f aca="false">IF(Q213="","",IFERROR(INDEX(Settings!$J$11:$J$15,MATCH(Q213,Settings!$H$11:$H$15,0)),"No"))</f>
        <v/>
      </c>
    </row>
    <row r="214" customFormat="false" ht="15" hidden="false" customHeight="false" outlineLevel="0" collapsed="false">
      <c r="A214" s="30"/>
      <c r="B214" s="25"/>
      <c r="C214" s="25"/>
      <c r="D214" s="25"/>
      <c r="E214" s="25"/>
      <c r="F214" s="25"/>
      <c r="G214" s="25"/>
      <c r="H214" s="31"/>
      <c r="I214" s="32"/>
      <c r="J214" s="33"/>
      <c r="K214" s="34" t="str">
        <f aca="false">IF(OR(H214="",I214=""),"",H214*I214*(1-N(J214)))</f>
        <v/>
      </c>
      <c r="L214" s="32"/>
      <c r="M214" s="34" t="str">
        <f aca="false">IF(OR(H214="",L214=""),"",H214*L214)</f>
        <v/>
      </c>
      <c r="N214" s="34" t="str">
        <f aca="false">IF(OR(K214="",M214=""),"",K214-M214)</f>
        <v/>
      </c>
      <c r="O214" s="35" t="str">
        <f aca="false">IF(OR(N214="",K214=""),"",IF(K214=0,"",N214/K214))</f>
        <v/>
      </c>
      <c r="P214" s="25"/>
      <c r="Q214" s="25"/>
      <c r="R214" s="25"/>
      <c r="S214" s="36" t="str">
        <f aca="false">IF(A214="","",YEAR(A214)+IF(AND(FYStart&gt;1,MONTH(A214)&gt;=FYStart),1,0))</f>
        <v/>
      </c>
      <c r="T214" s="36" t="str">
        <f aca="false">IF(A214="","",MOD(MONTH(A214)-FYStart,12)+1)</f>
        <v/>
      </c>
      <c r="U214" s="37" t="str">
        <f aca="false">IF(A214="","",TEXT(A214,"mmm"))</f>
        <v/>
      </c>
      <c r="V214" s="37" t="str">
        <f aca="false">IF(Q214="","",IFERROR(INDEX(Settings!$I$11:$I$15,MATCH(Q214,Settings!$H$11:$H$15,0)),"No"))</f>
        <v/>
      </c>
      <c r="W214" s="37" t="str">
        <f aca="false">IF(Q214="","",IFERROR(INDEX(Settings!$J$11:$J$15,MATCH(Q214,Settings!$H$11:$H$15,0)),"No"))</f>
        <v/>
      </c>
    </row>
    <row r="215" customFormat="false" ht="15" hidden="false" customHeight="false" outlineLevel="0" collapsed="false">
      <c r="A215" s="30"/>
      <c r="B215" s="25"/>
      <c r="C215" s="25"/>
      <c r="D215" s="25"/>
      <c r="E215" s="25"/>
      <c r="F215" s="25"/>
      <c r="G215" s="25"/>
      <c r="H215" s="31"/>
      <c r="I215" s="32"/>
      <c r="J215" s="33"/>
      <c r="K215" s="34" t="str">
        <f aca="false">IF(OR(H215="",I215=""),"",H215*I215*(1-N(J215)))</f>
        <v/>
      </c>
      <c r="L215" s="32"/>
      <c r="M215" s="34" t="str">
        <f aca="false">IF(OR(H215="",L215=""),"",H215*L215)</f>
        <v/>
      </c>
      <c r="N215" s="34" t="str">
        <f aca="false">IF(OR(K215="",M215=""),"",K215-M215)</f>
        <v/>
      </c>
      <c r="O215" s="35" t="str">
        <f aca="false">IF(OR(N215="",K215=""),"",IF(K215=0,"",N215/K215))</f>
        <v/>
      </c>
      <c r="P215" s="25"/>
      <c r="Q215" s="25"/>
      <c r="R215" s="25"/>
      <c r="S215" s="36" t="str">
        <f aca="false">IF(A215="","",YEAR(A215)+IF(AND(FYStart&gt;1,MONTH(A215)&gt;=FYStart),1,0))</f>
        <v/>
      </c>
      <c r="T215" s="36" t="str">
        <f aca="false">IF(A215="","",MOD(MONTH(A215)-FYStart,12)+1)</f>
        <v/>
      </c>
      <c r="U215" s="37" t="str">
        <f aca="false">IF(A215="","",TEXT(A215,"mmm"))</f>
        <v/>
      </c>
      <c r="V215" s="37" t="str">
        <f aca="false">IF(Q215="","",IFERROR(INDEX(Settings!$I$11:$I$15,MATCH(Q215,Settings!$H$11:$H$15,0)),"No"))</f>
        <v/>
      </c>
      <c r="W215" s="37" t="str">
        <f aca="false">IF(Q215="","",IFERROR(INDEX(Settings!$J$11:$J$15,MATCH(Q215,Settings!$H$11:$H$15,0)),"No"))</f>
        <v/>
      </c>
    </row>
    <row r="216" customFormat="false" ht="15" hidden="false" customHeight="false" outlineLevel="0" collapsed="false">
      <c r="A216" s="30"/>
      <c r="B216" s="25"/>
      <c r="C216" s="25"/>
      <c r="D216" s="25"/>
      <c r="E216" s="25"/>
      <c r="F216" s="25"/>
      <c r="G216" s="25"/>
      <c r="H216" s="31"/>
      <c r="I216" s="32"/>
      <c r="J216" s="33"/>
      <c r="K216" s="34" t="str">
        <f aca="false">IF(OR(H216="",I216=""),"",H216*I216*(1-N(J216)))</f>
        <v/>
      </c>
      <c r="L216" s="32"/>
      <c r="M216" s="34" t="str">
        <f aca="false">IF(OR(H216="",L216=""),"",H216*L216)</f>
        <v/>
      </c>
      <c r="N216" s="34" t="str">
        <f aca="false">IF(OR(K216="",M216=""),"",K216-M216)</f>
        <v/>
      </c>
      <c r="O216" s="35" t="str">
        <f aca="false">IF(OR(N216="",K216=""),"",IF(K216=0,"",N216/K216))</f>
        <v/>
      </c>
      <c r="P216" s="25"/>
      <c r="Q216" s="25"/>
      <c r="R216" s="25"/>
      <c r="S216" s="36" t="str">
        <f aca="false">IF(A216="","",YEAR(A216)+IF(AND(FYStart&gt;1,MONTH(A216)&gt;=FYStart),1,0))</f>
        <v/>
      </c>
      <c r="T216" s="36" t="str">
        <f aca="false">IF(A216="","",MOD(MONTH(A216)-FYStart,12)+1)</f>
        <v/>
      </c>
      <c r="U216" s="37" t="str">
        <f aca="false">IF(A216="","",TEXT(A216,"mmm"))</f>
        <v/>
      </c>
      <c r="V216" s="37" t="str">
        <f aca="false">IF(Q216="","",IFERROR(INDEX(Settings!$I$11:$I$15,MATCH(Q216,Settings!$H$11:$H$15,0)),"No"))</f>
        <v/>
      </c>
      <c r="W216" s="37" t="str">
        <f aca="false">IF(Q216="","",IFERROR(INDEX(Settings!$J$11:$J$15,MATCH(Q216,Settings!$H$11:$H$15,0)),"No"))</f>
        <v/>
      </c>
    </row>
    <row r="217" customFormat="false" ht="15" hidden="false" customHeight="false" outlineLevel="0" collapsed="false">
      <c r="A217" s="30"/>
      <c r="B217" s="25"/>
      <c r="C217" s="25"/>
      <c r="D217" s="25"/>
      <c r="E217" s="25"/>
      <c r="F217" s="25"/>
      <c r="G217" s="25"/>
      <c r="H217" s="31"/>
      <c r="I217" s="32"/>
      <c r="J217" s="33"/>
      <c r="K217" s="34" t="str">
        <f aca="false">IF(OR(H217="",I217=""),"",H217*I217*(1-N(J217)))</f>
        <v/>
      </c>
      <c r="L217" s="32"/>
      <c r="M217" s="34" t="str">
        <f aca="false">IF(OR(H217="",L217=""),"",H217*L217)</f>
        <v/>
      </c>
      <c r="N217" s="34" t="str">
        <f aca="false">IF(OR(K217="",M217=""),"",K217-M217)</f>
        <v/>
      </c>
      <c r="O217" s="35" t="str">
        <f aca="false">IF(OR(N217="",K217=""),"",IF(K217=0,"",N217/K217))</f>
        <v/>
      </c>
      <c r="P217" s="25"/>
      <c r="Q217" s="25"/>
      <c r="R217" s="25"/>
      <c r="S217" s="36" t="str">
        <f aca="false">IF(A217="","",YEAR(A217)+IF(AND(FYStart&gt;1,MONTH(A217)&gt;=FYStart),1,0))</f>
        <v/>
      </c>
      <c r="T217" s="36" t="str">
        <f aca="false">IF(A217="","",MOD(MONTH(A217)-FYStart,12)+1)</f>
        <v/>
      </c>
      <c r="U217" s="37" t="str">
        <f aca="false">IF(A217="","",TEXT(A217,"mmm"))</f>
        <v/>
      </c>
      <c r="V217" s="37" t="str">
        <f aca="false">IF(Q217="","",IFERROR(INDEX(Settings!$I$11:$I$15,MATCH(Q217,Settings!$H$11:$H$15,0)),"No"))</f>
        <v/>
      </c>
      <c r="W217" s="37" t="str">
        <f aca="false">IF(Q217="","",IFERROR(INDEX(Settings!$J$11:$J$15,MATCH(Q217,Settings!$H$11:$H$15,0)),"No"))</f>
        <v/>
      </c>
    </row>
    <row r="218" customFormat="false" ht="15" hidden="false" customHeight="false" outlineLevel="0" collapsed="false">
      <c r="A218" s="30"/>
      <c r="B218" s="25"/>
      <c r="C218" s="25"/>
      <c r="D218" s="25"/>
      <c r="E218" s="25"/>
      <c r="F218" s="25"/>
      <c r="G218" s="25"/>
      <c r="H218" s="31"/>
      <c r="I218" s="32"/>
      <c r="J218" s="33"/>
      <c r="K218" s="34" t="str">
        <f aca="false">IF(OR(H218="",I218=""),"",H218*I218*(1-N(J218)))</f>
        <v/>
      </c>
      <c r="L218" s="32"/>
      <c r="M218" s="34" t="str">
        <f aca="false">IF(OR(H218="",L218=""),"",H218*L218)</f>
        <v/>
      </c>
      <c r="N218" s="34" t="str">
        <f aca="false">IF(OR(K218="",M218=""),"",K218-M218)</f>
        <v/>
      </c>
      <c r="O218" s="35" t="str">
        <f aca="false">IF(OR(N218="",K218=""),"",IF(K218=0,"",N218/K218))</f>
        <v/>
      </c>
      <c r="P218" s="25"/>
      <c r="Q218" s="25"/>
      <c r="R218" s="25"/>
      <c r="S218" s="36" t="str">
        <f aca="false">IF(A218="","",YEAR(A218)+IF(AND(FYStart&gt;1,MONTH(A218)&gt;=FYStart),1,0))</f>
        <v/>
      </c>
      <c r="T218" s="36" t="str">
        <f aca="false">IF(A218="","",MOD(MONTH(A218)-FYStart,12)+1)</f>
        <v/>
      </c>
      <c r="U218" s="37" t="str">
        <f aca="false">IF(A218="","",TEXT(A218,"mmm"))</f>
        <v/>
      </c>
      <c r="V218" s="37" t="str">
        <f aca="false">IF(Q218="","",IFERROR(INDEX(Settings!$I$11:$I$15,MATCH(Q218,Settings!$H$11:$H$15,0)),"No"))</f>
        <v/>
      </c>
      <c r="W218" s="37" t="str">
        <f aca="false">IF(Q218="","",IFERROR(INDEX(Settings!$J$11:$J$15,MATCH(Q218,Settings!$H$11:$H$15,0)),"No"))</f>
        <v/>
      </c>
    </row>
    <row r="219" customFormat="false" ht="15" hidden="false" customHeight="false" outlineLevel="0" collapsed="false">
      <c r="A219" s="30"/>
      <c r="B219" s="25"/>
      <c r="C219" s="25"/>
      <c r="D219" s="25"/>
      <c r="E219" s="25"/>
      <c r="F219" s="25"/>
      <c r="G219" s="25"/>
      <c r="H219" s="31"/>
      <c r="I219" s="32"/>
      <c r="J219" s="33"/>
      <c r="K219" s="34" t="str">
        <f aca="false">IF(OR(H219="",I219=""),"",H219*I219*(1-N(J219)))</f>
        <v/>
      </c>
      <c r="L219" s="32"/>
      <c r="M219" s="34" t="str">
        <f aca="false">IF(OR(H219="",L219=""),"",H219*L219)</f>
        <v/>
      </c>
      <c r="N219" s="34" t="str">
        <f aca="false">IF(OR(K219="",M219=""),"",K219-M219)</f>
        <v/>
      </c>
      <c r="O219" s="35" t="str">
        <f aca="false">IF(OR(N219="",K219=""),"",IF(K219=0,"",N219/K219))</f>
        <v/>
      </c>
      <c r="P219" s="25"/>
      <c r="Q219" s="25"/>
      <c r="R219" s="25"/>
      <c r="S219" s="36" t="str">
        <f aca="false">IF(A219="","",YEAR(A219)+IF(AND(FYStart&gt;1,MONTH(A219)&gt;=FYStart),1,0))</f>
        <v/>
      </c>
      <c r="T219" s="36" t="str">
        <f aca="false">IF(A219="","",MOD(MONTH(A219)-FYStart,12)+1)</f>
        <v/>
      </c>
      <c r="U219" s="37" t="str">
        <f aca="false">IF(A219="","",TEXT(A219,"mmm"))</f>
        <v/>
      </c>
      <c r="V219" s="37" t="str">
        <f aca="false">IF(Q219="","",IFERROR(INDEX(Settings!$I$11:$I$15,MATCH(Q219,Settings!$H$11:$H$15,0)),"No"))</f>
        <v/>
      </c>
      <c r="W219" s="37" t="str">
        <f aca="false">IF(Q219="","",IFERROR(INDEX(Settings!$J$11:$J$15,MATCH(Q219,Settings!$H$11:$H$15,0)),"No"))</f>
        <v/>
      </c>
    </row>
    <row r="220" customFormat="false" ht="15" hidden="false" customHeight="false" outlineLevel="0" collapsed="false">
      <c r="A220" s="30"/>
      <c r="B220" s="25"/>
      <c r="C220" s="25"/>
      <c r="D220" s="25"/>
      <c r="E220" s="25"/>
      <c r="F220" s="25"/>
      <c r="G220" s="25"/>
      <c r="H220" s="31"/>
      <c r="I220" s="32"/>
      <c r="J220" s="33"/>
      <c r="K220" s="34" t="str">
        <f aca="false">IF(OR(H220="",I220=""),"",H220*I220*(1-N(J220)))</f>
        <v/>
      </c>
      <c r="L220" s="32"/>
      <c r="M220" s="34" t="str">
        <f aca="false">IF(OR(H220="",L220=""),"",H220*L220)</f>
        <v/>
      </c>
      <c r="N220" s="34" t="str">
        <f aca="false">IF(OR(K220="",M220=""),"",K220-M220)</f>
        <v/>
      </c>
      <c r="O220" s="35" t="str">
        <f aca="false">IF(OR(N220="",K220=""),"",IF(K220=0,"",N220/K220))</f>
        <v/>
      </c>
      <c r="P220" s="25"/>
      <c r="Q220" s="25"/>
      <c r="R220" s="25"/>
      <c r="S220" s="36" t="str">
        <f aca="false">IF(A220="","",YEAR(A220)+IF(AND(FYStart&gt;1,MONTH(A220)&gt;=FYStart),1,0))</f>
        <v/>
      </c>
      <c r="T220" s="36" t="str">
        <f aca="false">IF(A220="","",MOD(MONTH(A220)-FYStart,12)+1)</f>
        <v/>
      </c>
      <c r="U220" s="37" t="str">
        <f aca="false">IF(A220="","",TEXT(A220,"mmm"))</f>
        <v/>
      </c>
      <c r="V220" s="37" t="str">
        <f aca="false">IF(Q220="","",IFERROR(INDEX(Settings!$I$11:$I$15,MATCH(Q220,Settings!$H$11:$H$15,0)),"No"))</f>
        <v/>
      </c>
      <c r="W220" s="37" t="str">
        <f aca="false">IF(Q220="","",IFERROR(INDEX(Settings!$J$11:$J$15,MATCH(Q220,Settings!$H$11:$H$15,0)),"No"))</f>
        <v/>
      </c>
    </row>
    <row r="221" customFormat="false" ht="15" hidden="false" customHeight="false" outlineLevel="0" collapsed="false">
      <c r="A221" s="30"/>
      <c r="B221" s="25"/>
      <c r="C221" s="25"/>
      <c r="D221" s="25"/>
      <c r="E221" s="25"/>
      <c r="F221" s="25"/>
      <c r="G221" s="25"/>
      <c r="H221" s="31"/>
      <c r="I221" s="32"/>
      <c r="J221" s="33"/>
      <c r="K221" s="34" t="str">
        <f aca="false">IF(OR(H221="",I221=""),"",H221*I221*(1-N(J221)))</f>
        <v/>
      </c>
      <c r="L221" s="32"/>
      <c r="M221" s="34" t="str">
        <f aca="false">IF(OR(H221="",L221=""),"",H221*L221)</f>
        <v/>
      </c>
      <c r="N221" s="34" t="str">
        <f aca="false">IF(OR(K221="",M221=""),"",K221-M221)</f>
        <v/>
      </c>
      <c r="O221" s="35" t="str">
        <f aca="false">IF(OR(N221="",K221=""),"",IF(K221=0,"",N221/K221))</f>
        <v/>
      </c>
      <c r="P221" s="25"/>
      <c r="Q221" s="25"/>
      <c r="R221" s="25"/>
      <c r="S221" s="36" t="str">
        <f aca="false">IF(A221="","",YEAR(A221)+IF(AND(FYStart&gt;1,MONTH(A221)&gt;=FYStart),1,0))</f>
        <v/>
      </c>
      <c r="T221" s="36" t="str">
        <f aca="false">IF(A221="","",MOD(MONTH(A221)-FYStart,12)+1)</f>
        <v/>
      </c>
      <c r="U221" s="37" t="str">
        <f aca="false">IF(A221="","",TEXT(A221,"mmm"))</f>
        <v/>
      </c>
      <c r="V221" s="37" t="str">
        <f aca="false">IF(Q221="","",IFERROR(INDEX(Settings!$I$11:$I$15,MATCH(Q221,Settings!$H$11:$H$15,0)),"No"))</f>
        <v/>
      </c>
      <c r="W221" s="37" t="str">
        <f aca="false">IF(Q221="","",IFERROR(INDEX(Settings!$J$11:$J$15,MATCH(Q221,Settings!$H$11:$H$15,0)),"No"))</f>
        <v/>
      </c>
    </row>
    <row r="222" customFormat="false" ht="15" hidden="false" customHeight="false" outlineLevel="0" collapsed="false">
      <c r="A222" s="30"/>
      <c r="B222" s="25"/>
      <c r="C222" s="25"/>
      <c r="D222" s="25"/>
      <c r="E222" s="25"/>
      <c r="F222" s="25"/>
      <c r="G222" s="25"/>
      <c r="H222" s="31"/>
      <c r="I222" s="32"/>
      <c r="J222" s="33"/>
      <c r="K222" s="34" t="str">
        <f aca="false">IF(OR(H222="",I222=""),"",H222*I222*(1-N(J222)))</f>
        <v/>
      </c>
      <c r="L222" s="32"/>
      <c r="M222" s="34" t="str">
        <f aca="false">IF(OR(H222="",L222=""),"",H222*L222)</f>
        <v/>
      </c>
      <c r="N222" s="34" t="str">
        <f aca="false">IF(OR(K222="",M222=""),"",K222-M222)</f>
        <v/>
      </c>
      <c r="O222" s="35" t="str">
        <f aca="false">IF(OR(N222="",K222=""),"",IF(K222=0,"",N222/K222))</f>
        <v/>
      </c>
      <c r="P222" s="25"/>
      <c r="Q222" s="25"/>
      <c r="R222" s="25"/>
      <c r="S222" s="36" t="str">
        <f aca="false">IF(A222="","",YEAR(A222)+IF(AND(FYStart&gt;1,MONTH(A222)&gt;=FYStart),1,0))</f>
        <v/>
      </c>
      <c r="T222" s="36" t="str">
        <f aca="false">IF(A222="","",MOD(MONTH(A222)-FYStart,12)+1)</f>
        <v/>
      </c>
      <c r="U222" s="37" t="str">
        <f aca="false">IF(A222="","",TEXT(A222,"mmm"))</f>
        <v/>
      </c>
      <c r="V222" s="37" t="str">
        <f aca="false">IF(Q222="","",IFERROR(INDEX(Settings!$I$11:$I$15,MATCH(Q222,Settings!$H$11:$H$15,0)),"No"))</f>
        <v/>
      </c>
      <c r="W222" s="37" t="str">
        <f aca="false">IF(Q222="","",IFERROR(INDEX(Settings!$J$11:$J$15,MATCH(Q222,Settings!$H$11:$H$15,0)),"No"))</f>
        <v/>
      </c>
    </row>
    <row r="223" customFormat="false" ht="15" hidden="false" customHeight="false" outlineLevel="0" collapsed="false">
      <c r="A223" s="30"/>
      <c r="B223" s="25"/>
      <c r="C223" s="25"/>
      <c r="D223" s="25"/>
      <c r="E223" s="25"/>
      <c r="F223" s="25"/>
      <c r="G223" s="25"/>
      <c r="H223" s="31"/>
      <c r="I223" s="32"/>
      <c r="J223" s="33"/>
      <c r="K223" s="34" t="str">
        <f aca="false">IF(OR(H223="",I223=""),"",H223*I223*(1-N(J223)))</f>
        <v/>
      </c>
      <c r="L223" s="32"/>
      <c r="M223" s="34" t="str">
        <f aca="false">IF(OR(H223="",L223=""),"",H223*L223)</f>
        <v/>
      </c>
      <c r="N223" s="34" t="str">
        <f aca="false">IF(OR(K223="",M223=""),"",K223-M223)</f>
        <v/>
      </c>
      <c r="O223" s="35" t="str">
        <f aca="false">IF(OR(N223="",K223=""),"",IF(K223=0,"",N223/K223))</f>
        <v/>
      </c>
      <c r="P223" s="25"/>
      <c r="Q223" s="25"/>
      <c r="R223" s="25"/>
      <c r="S223" s="36" t="str">
        <f aca="false">IF(A223="","",YEAR(A223)+IF(AND(FYStart&gt;1,MONTH(A223)&gt;=FYStart),1,0))</f>
        <v/>
      </c>
      <c r="T223" s="36" t="str">
        <f aca="false">IF(A223="","",MOD(MONTH(A223)-FYStart,12)+1)</f>
        <v/>
      </c>
      <c r="U223" s="37" t="str">
        <f aca="false">IF(A223="","",TEXT(A223,"mmm"))</f>
        <v/>
      </c>
      <c r="V223" s="37" t="str">
        <f aca="false">IF(Q223="","",IFERROR(INDEX(Settings!$I$11:$I$15,MATCH(Q223,Settings!$H$11:$H$15,0)),"No"))</f>
        <v/>
      </c>
      <c r="W223" s="37" t="str">
        <f aca="false">IF(Q223="","",IFERROR(INDEX(Settings!$J$11:$J$15,MATCH(Q223,Settings!$H$11:$H$15,0)),"No"))</f>
        <v/>
      </c>
    </row>
    <row r="224" customFormat="false" ht="15" hidden="false" customHeight="false" outlineLevel="0" collapsed="false">
      <c r="A224" s="30"/>
      <c r="B224" s="25"/>
      <c r="C224" s="25"/>
      <c r="D224" s="25"/>
      <c r="E224" s="25"/>
      <c r="F224" s="25"/>
      <c r="G224" s="25"/>
      <c r="H224" s="31"/>
      <c r="I224" s="32"/>
      <c r="J224" s="33"/>
      <c r="K224" s="34" t="str">
        <f aca="false">IF(OR(H224="",I224=""),"",H224*I224*(1-N(J224)))</f>
        <v/>
      </c>
      <c r="L224" s="32"/>
      <c r="M224" s="34" t="str">
        <f aca="false">IF(OR(H224="",L224=""),"",H224*L224)</f>
        <v/>
      </c>
      <c r="N224" s="34" t="str">
        <f aca="false">IF(OR(K224="",M224=""),"",K224-M224)</f>
        <v/>
      </c>
      <c r="O224" s="35" t="str">
        <f aca="false">IF(OR(N224="",K224=""),"",IF(K224=0,"",N224/K224))</f>
        <v/>
      </c>
      <c r="P224" s="25"/>
      <c r="Q224" s="25"/>
      <c r="R224" s="25"/>
      <c r="S224" s="36" t="str">
        <f aca="false">IF(A224="","",YEAR(A224)+IF(AND(FYStart&gt;1,MONTH(A224)&gt;=FYStart),1,0))</f>
        <v/>
      </c>
      <c r="T224" s="36" t="str">
        <f aca="false">IF(A224="","",MOD(MONTH(A224)-FYStart,12)+1)</f>
        <v/>
      </c>
      <c r="U224" s="37" t="str">
        <f aca="false">IF(A224="","",TEXT(A224,"mmm"))</f>
        <v/>
      </c>
      <c r="V224" s="37" t="str">
        <f aca="false">IF(Q224="","",IFERROR(INDEX(Settings!$I$11:$I$15,MATCH(Q224,Settings!$H$11:$H$15,0)),"No"))</f>
        <v/>
      </c>
      <c r="W224" s="37" t="str">
        <f aca="false">IF(Q224="","",IFERROR(INDEX(Settings!$J$11:$J$15,MATCH(Q224,Settings!$H$11:$H$15,0)),"No"))</f>
        <v/>
      </c>
    </row>
    <row r="225" customFormat="false" ht="15" hidden="false" customHeight="false" outlineLevel="0" collapsed="false">
      <c r="A225" s="30"/>
      <c r="B225" s="25"/>
      <c r="C225" s="25"/>
      <c r="D225" s="25"/>
      <c r="E225" s="25"/>
      <c r="F225" s="25"/>
      <c r="G225" s="25"/>
      <c r="H225" s="31"/>
      <c r="I225" s="32"/>
      <c r="J225" s="33"/>
      <c r="K225" s="34" t="str">
        <f aca="false">IF(OR(H225="",I225=""),"",H225*I225*(1-N(J225)))</f>
        <v/>
      </c>
      <c r="L225" s="32"/>
      <c r="M225" s="34" t="str">
        <f aca="false">IF(OR(H225="",L225=""),"",H225*L225)</f>
        <v/>
      </c>
      <c r="N225" s="34" t="str">
        <f aca="false">IF(OR(K225="",M225=""),"",K225-M225)</f>
        <v/>
      </c>
      <c r="O225" s="35" t="str">
        <f aca="false">IF(OR(N225="",K225=""),"",IF(K225=0,"",N225/K225))</f>
        <v/>
      </c>
      <c r="P225" s="25"/>
      <c r="Q225" s="25"/>
      <c r="R225" s="25"/>
      <c r="S225" s="36" t="str">
        <f aca="false">IF(A225="","",YEAR(A225)+IF(AND(FYStart&gt;1,MONTH(A225)&gt;=FYStart),1,0))</f>
        <v/>
      </c>
      <c r="T225" s="36" t="str">
        <f aca="false">IF(A225="","",MOD(MONTH(A225)-FYStart,12)+1)</f>
        <v/>
      </c>
      <c r="U225" s="37" t="str">
        <f aca="false">IF(A225="","",TEXT(A225,"mmm"))</f>
        <v/>
      </c>
      <c r="V225" s="37" t="str">
        <f aca="false">IF(Q225="","",IFERROR(INDEX(Settings!$I$11:$I$15,MATCH(Q225,Settings!$H$11:$H$15,0)),"No"))</f>
        <v/>
      </c>
      <c r="W225" s="37" t="str">
        <f aca="false">IF(Q225="","",IFERROR(INDEX(Settings!$J$11:$J$15,MATCH(Q225,Settings!$H$11:$H$15,0)),"No"))</f>
        <v/>
      </c>
    </row>
    <row r="226" customFormat="false" ht="15" hidden="false" customHeight="false" outlineLevel="0" collapsed="false">
      <c r="A226" s="30"/>
      <c r="B226" s="25"/>
      <c r="C226" s="25"/>
      <c r="D226" s="25"/>
      <c r="E226" s="25"/>
      <c r="F226" s="25"/>
      <c r="G226" s="25"/>
      <c r="H226" s="31"/>
      <c r="I226" s="32"/>
      <c r="J226" s="33"/>
      <c r="K226" s="34" t="str">
        <f aca="false">IF(OR(H226="",I226=""),"",H226*I226*(1-N(J226)))</f>
        <v/>
      </c>
      <c r="L226" s="32"/>
      <c r="M226" s="34" t="str">
        <f aca="false">IF(OR(H226="",L226=""),"",H226*L226)</f>
        <v/>
      </c>
      <c r="N226" s="34" t="str">
        <f aca="false">IF(OR(K226="",M226=""),"",K226-M226)</f>
        <v/>
      </c>
      <c r="O226" s="35" t="str">
        <f aca="false">IF(OR(N226="",K226=""),"",IF(K226=0,"",N226/K226))</f>
        <v/>
      </c>
      <c r="P226" s="25"/>
      <c r="Q226" s="25"/>
      <c r="R226" s="25"/>
      <c r="S226" s="36" t="str">
        <f aca="false">IF(A226="","",YEAR(A226)+IF(AND(FYStart&gt;1,MONTH(A226)&gt;=FYStart),1,0))</f>
        <v/>
      </c>
      <c r="T226" s="36" t="str">
        <f aca="false">IF(A226="","",MOD(MONTH(A226)-FYStart,12)+1)</f>
        <v/>
      </c>
      <c r="U226" s="37" t="str">
        <f aca="false">IF(A226="","",TEXT(A226,"mmm"))</f>
        <v/>
      </c>
      <c r="V226" s="37" t="str">
        <f aca="false">IF(Q226="","",IFERROR(INDEX(Settings!$I$11:$I$15,MATCH(Q226,Settings!$H$11:$H$15,0)),"No"))</f>
        <v/>
      </c>
      <c r="W226" s="37" t="str">
        <f aca="false">IF(Q226="","",IFERROR(INDEX(Settings!$J$11:$J$15,MATCH(Q226,Settings!$H$11:$H$15,0)),"No"))</f>
        <v/>
      </c>
    </row>
    <row r="227" customFormat="false" ht="15" hidden="false" customHeight="false" outlineLevel="0" collapsed="false">
      <c r="A227" s="30"/>
      <c r="B227" s="25"/>
      <c r="C227" s="25"/>
      <c r="D227" s="25"/>
      <c r="E227" s="25"/>
      <c r="F227" s="25"/>
      <c r="G227" s="25"/>
      <c r="H227" s="31"/>
      <c r="I227" s="32"/>
      <c r="J227" s="33"/>
      <c r="K227" s="34" t="str">
        <f aca="false">IF(OR(H227="",I227=""),"",H227*I227*(1-N(J227)))</f>
        <v/>
      </c>
      <c r="L227" s="32"/>
      <c r="M227" s="34" t="str">
        <f aca="false">IF(OR(H227="",L227=""),"",H227*L227)</f>
        <v/>
      </c>
      <c r="N227" s="34" t="str">
        <f aca="false">IF(OR(K227="",M227=""),"",K227-M227)</f>
        <v/>
      </c>
      <c r="O227" s="35" t="str">
        <f aca="false">IF(OR(N227="",K227=""),"",IF(K227=0,"",N227/K227))</f>
        <v/>
      </c>
      <c r="P227" s="25"/>
      <c r="Q227" s="25"/>
      <c r="R227" s="25"/>
      <c r="S227" s="36" t="str">
        <f aca="false">IF(A227="","",YEAR(A227)+IF(AND(FYStart&gt;1,MONTH(A227)&gt;=FYStart),1,0))</f>
        <v/>
      </c>
      <c r="T227" s="36" t="str">
        <f aca="false">IF(A227="","",MOD(MONTH(A227)-FYStart,12)+1)</f>
        <v/>
      </c>
      <c r="U227" s="37" t="str">
        <f aca="false">IF(A227="","",TEXT(A227,"mmm"))</f>
        <v/>
      </c>
      <c r="V227" s="37" t="str">
        <f aca="false">IF(Q227="","",IFERROR(INDEX(Settings!$I$11:$I$15,MATCH(Q227,Settings!$H$11:$H$15,0)),"No"))</f>
        <v/>
      </c>
      <c r="W227" s="37" t="str">
        <f aca="false">IF(Q227="","",IFERROR(INDEX(Settings!$J$11:$J$15,MATCH(Q227,Settings!$H$11:$H$15,0)),"No"))</f>
        <v/>
      </c>
    </row>
    <row r="228" customFormat="false" ht="15" hidden="false" customHeight="false" outlineLevel="0" collapsed="false">
      <c r="A228" s="30"/>
      <c r="B228" s="25"/>
      <c r="C228" s="25"/>
      <c r="D228" s="25"/>
      <c r="E228" s="25"/>
      <c r="F228" s="25"/>
      <c r="G228" s="25"/>
      <c r="H228" s="31"/>
      <c r="I228" s="32"/>
      <c r="J228" s="33"/>
      <c r="K228" s="34" t="str">
        <f aca="false">IF(OR(H228="",I228=""),"",H228*I228*(1-N(J228)))</f>
        <v/>
      </c>
      <c r="L228" s="32"/>
      <c r="M228" s="34" t="str">
        <f aca="false">IF(OR(H228="",L228=""),"",H228*L228)</f>
        <v/>
      </c>
      <c r="N228" s="34" t="str">
        <f aca="false">IF(OR(K228="",M228=""),"",K228-M228)</f>
        <v/>
      </c>
      <c r="O228" s="35" t="str">
        <f aca="false">IF(OR(N228="",K228=""),"",IF(K228=0,"",N228/K228))</f>
        <v/>
      </c>
      <c r="P228" s="25"/>
      <c r="Q228" s="25"/>
      <c r="R228" s="25"/>
      <c r="S228" s="36" t="str">
        <f aca="false">IF(A228="","",YEAR(A228)+IF(AND(FYStart&gt;1,MONTH(A228)&gt;=FYStart),1,0))</f>
        <v/>
      </c>
      <c r="T228" s="36" t="str">
        <f aca="false">IF(A228="","",MOD(MONTH(A228)-FYStart,12)+1)</f>
        <v/>
      </c>
      <c r="U228" s="37" t="str">
        <f aca="false">IF(A228="","",TEXT(A228,"mmm"))</f>
        <v/>
      </c>
      <c r="V228" s="37" t="str">
        <f aca="false">IF(Q228="","",IFERROR(INDEX(Settings!$I$11:$I$15,MATCH(Q228,Settings!$H$11:$H$15,0)),"No"))</f>
        <v/>
      </c>
      <c r="W228" s="37" t="str">
        <f aca="false">IF(Q228="","",IFERROR(INDEX(Settings!$J$11:$J$15,MATCH(Q228,Settings!$H$11:$H$15,0)),"No"))</f>
        <v/>
      </c>
    </row>
    <row r="229" customFormat="false" ht="15" hidden="false" customHeight="false" outlineLevel="0" collapsed="false">
      <c r="A229" s="30"/>
      <c r="B229" s="25"/>
      <c r="C229" s="25"/>
      <c r="D229" s="25"/>
      <c r="E229" s="25"/>
      <c r="F229" s="25"/>
      <c r="G229" s="25"/>
      <c r="H229" s="31"/>
      <c r="I229" s="32"/>
      <c r="J229" s="33"/>
      <c r="K229" s="34" t="str">
        <f aca="false">IF(OR(H229="",I229=""),"",H229*I229*(1-N(J229)))</f>
        <v/>
      </c>
      <c r="L229" s="32"/>
      <c r="M229" s="34" t="str">
        <f aca="false">IF(OR(H229="",L229=""),"",H229*L229)</f>
        <v/>
      </c>
      <c r="N229" s="34" t="str">
        <f aca="false">IF(OR(K229="",M229=""),"",K229-M229)</f>
        <v/>
      </c>
      <c r="O229" s="35" t="str">
        <f aca="false">IF(OR(N229="",K229=""),"",IF(K229=0,"",N229/K229))</f>
        <v/>
      </c>
      <c r="P229" s="25"/>
      <c r="Q229" s="25"/>
      <c r="R229" s="25"/>
      <c r="S229" s="36" t="str">
        <f aca="false">IF(A229="","",YEAR(A229)+IF(AND(FYStart&gt;1,MONTH(A229)&gt;=FYStart),1,0))</f>
        <v/>
      </c>
      <c r="T229" s="36" t="str">
        <f aca="false">IF(A229="","",MOD(MONTH(A229)-FYStart,12)+1)</f>
        <v/>
      </c>
      <c r="U229" s="37" t="str">
        <f aca="false">IF(A229="","",TEXT(A229,"mmm"))</f>
        <v/>
      </c>
      <c r="V229" s="37" t="str">
        <f aca="false">IF(Q229="","",IFERROR(INDEX(Settings!$I$11:$I$15,MATCH(Q229,Settings!$H$11:$H$15,0)),"No"))</f>
        <v/>
      </c>
      <c r="W229" s="37" t="str">
        <f aca="false">IF(Q229="","",IFERROR(INDEX(Settings!$J$11:$J$15,MATCH(Q229,Settings!$H$11:$H$15,0)),"No"))</f>
        <v/>
      </c>
    </row>
    <row r="230" customFormat="false" ht="15" hidden="false" customHeight="false" outlineLevel="0" collapsed="false">
      <c r="A230" s="30"/>
      <c r="B230" s="25"/>
      <c r="C230" s="25"/>
      <c r="D230" s="25"/>
      <c r="E230" s="25"/>
      <c r="F230" s="25"/>
      <c r="G230" s="25"/>
      <c r="H230" s="31"/>
      <c r="I230" s="32"/>
      <c r="J230" s="33"/>
      <c r="K230" s="34" t="str">
        <f aca="false">IF(OR(H230="",I230=""),"",H230*I230*(1-N(J230)))</f>
        <v/>
      </c>
      <c r="L230" s="32"/>
      <c r="M230" s="34" t="str">
        <f aca="false">IF(OR(H230="",L230=""),"",H230*L230)</f>
        <v/>
      </c>
      <c r="N230" s="34" t="str">
        <f aca="false">IF(OR(K230="",M230=""),"",K230-M230)</f>
        <v/>
      </c>
      <c r="O230" s="35" t="str">
        <f aca="false">IF(OR(N230="",K230=""),"",IF(K230=0,"",N230/K230))</f>
        <v/>
      </c>
      <c r="P230" s="25"/>
      <c r="Q230" s="25"/>
      <c r="R230" s="25"/>
      <c r="S230" s="36" t="str">
        <f aca="false">IF(A230="","",YEAR(A230)+IF(AND(FYStart&gt;1,MONTH(A230)&gt;=FYStart),1,0))</f>
        <v/>
      </c>
      <c r="T230" s="36" t="str">
        <f aca="false">IF(A230="","",MOD(MONTH(A230)-FYStart,12)+1)</f>
        <v/>
      </c>
      <c r="U230" s="37" t="str">
        <f aca="false">IF(A230="","",TEXT(A230,"mmm"))</f>
        <v/>
      </c>
      <c r="V230" s="37" t="str">
        <f aca="false">IF(Q230="","",IFERROR(INDEX(Settings!$I$11:$I$15,MATCH(Q230,Settings!$H$11:$H$15,0)),"No"))</f>
        <v/>
      </c>
      <c r="W230" s="37" t="str">
        <f aca="false">IF(Q230="","",IFERROR(INDEX(Settings!$J$11:$J$15,MATCH(Q230,Settings!$H$11:$H$15,0)),"No"))</f>
        <v/>
      </c>
    </row>
    <row r="231" customFormat="false" ht="15" hidden="false" customHeight="false" outlineLevel="0" collapsed="false">
      <c r="A231" s="30"/>
      <c r="B231" s="25"/>
      <c r="C231" s="25"/>
      <c r="D231" s="25"/>
      <c r="E231" s="25"/>
      <c r="F231" s="25"/>
      <c r="G231" s="25"/>
      <c r="H231" s="31"/>
      <c r="I231" s="32"/>
      <c r="J231" s="33"/>
      <c r="K231" s="34" t="str">
        <f aca="false">IF(OR(H231="",I231=""),"",H231*I231*(1-N(J231)))</f>
        <v/>
      </c>
      <c r="L231" s="32"/>
      <c r="M231" s="34" t="str">
        <f aca="false">IF(OR(H231="",L231=""),"",H231*L231)</f>
        <v/>
      </c>
      <c r="N231" s="34" t="str">
        <f aca="false">IF(OR(K231="",M231=""),"",K231-M231)</f>
        <v/>
      </c>
      <c r="O231" s="35" t="str">
        <f aca="false">IF(OR(N231="",K231=""),"",IF(K231=0,"",N231/K231))</f>
        <v/>
      </c>
      <c r="P231" s="25"/>
      <c r="Q231" s="25"/>
      <c r="R231" s="25"/>
      <c r="S231" s="36" t="str">
        <f aca="false">IF(A231="","",YEAR(A231)+IF(AND(FYStart&gt;1,MONTH(A231)&gt;=FYStart),1,0))</f>
        <v/>
      </c>
      <c r="T231" s="36" t="str">
        <f aca="false">IF(A231="","",MOD(MONTH(A231)-FYStart,12)+1)</f>
        <v/>
      </c>
      <c r="U231" s="37" t="str">
        <f aca="false">IF(A231="","",TEXT(A231,"mmm"))</f>
        <v/>
      </c>
      <c r="V231" s="37" t="str">
        <f aca="false">IF(Q231="","",IFERROR(INDEX(Settings!$I$11:$I$15,MATCH(Q231,Settings!$H$11:$H$15,0)),"No"))</f>
        <v/>
      </c>
      <c r="W231" s="37" t="str">
        <f aca="false">IF(Q231="","",IFERROR(INDEX(Settings!$J$11:$J$15,MATCH(Q231,Settings!$H$11:$H$15,0)),"No"))</f>
        <v/>
      </c>
    </row>
    <row r="232" customFormat="false" ht="15" hidden="false" customHeight="false" outlineLevel="0" collapsed="false">
      <c r="A232" s="30"/>
      <c r="B232" s="25"/>
      <c r="C232" s="25"/>
      <c r="D232" s="25"/>
      <c r="E232" s="25"/>
      <c r="F232" s="25"/>
      <c r="G232" s="25"/>
      <c r="H232" s="31"/>
      <c r="I232" s="32"/>
      <c r="J232" s="33"/>
      <c r="K232" s="34" t="str">
        <f aca="false">IF(OR(H232="",I232=""),"",H232*I232*(1-N(J232)))</f>
        <v/>
      </c>
      <c r="L232" s="32"/>
      <c r="M232" s="34" t="str">
        <f aca="false">IF(OR(H232="",L232=""),"",H232*L232)</f>
        <v/>
      </c>
      <c r="N232" s="34" t="str">
        <f aca="false">IF(OR(K232="",M232=""),"",K232-M232)</f>
        <v/>
      </c>
      <c r="O232" s="35" t="str">
        <f aca="false">IF(OR(N232="",K232=""),"",IF(K232=0,"",N232/K232))</f>
        <v/>
      </c>
      <c r="P232" s="25"/>
      <c r="Q232" s="25"/>
      <c r="R232" s="25"/>
      <c r="S232" s="36" t="str">
        <f aca="false">IF(A232="","",YEAR(A232)+IF(AND(FYStart&gt;1,MONTH(A232)&gt;=FYStart),1,0))</f>
        <v/>
      </c>
      <c r="T232" s="36" t="str">
        <f aca="false">IF(A232="","",MOD(MONTH(A232)-FYStart,12)+1)</f>
        <v/>
      </c>
      <c r="U232" s="37" t="str">
        <f aca="false">IF(A232="","",TEXT(A232,"mmm"))</f>
        <v/>
      </c>
      <c r="V232" s="37" t="str">
        <f aca="false">IF(Q232="","",IFERROR(INDEX(Settings!$I$11:$I$15,MATCH(Q232,Settings!$H$11:$H$15,0)),"No"))</f>
        <v/>
      </c>
      <c r="W232" s="37" t="str">
        <f aca="false">IF(Q232="","",IFERROR(INDEX(Settings!$J$11:$J$15,MATCH(Q232,Settings!$H$11:$H$15,0)),"No"))</f>
        <v/>
      </c>
    </row>
    <row r="233" customFormat="false" ht="15" hidden="false" customHeight="false" outlineLevel="0" collapsed="false">
      <c r="A233" s="30"/>
      <c r="B233" s="25"/>
      <c r="C233" s="25"/>
      <c r="D233" s="25"/>
      <c r="E233" s="25"/>
      <c r="F233" s="25"/>
      <c r="G233" s="25"/>
      <c r="H233" s="31"/>
      <c r="I233" s="32"/>
      <c r="J233" s="33"/>
      <c r="K233" s="34" t="str">
        <f aca="false">IF(OR(H233="",I233=""),"",H233*I233*(1-N(J233)))</f>
        <v/>
      </c>
      <c r="L233" s="32"/>
      <c r="M233" s="34" t="str">
        <f aca="false">IF(OR(H233="",L233=""),"",H233*L233)</f>
        <v/>
      </c>
      <c r="N233" s="34" t="str">
        <f aca="false">IF(OR(K233="",M233=""),"",K233-M233)</f>
        <v/>
      </c>
      <c r="O233" s="35" t="str">
        <f aca="false">IF(OR(N233="",K233=""),"",IF(K233=0,"",N233/K233))</f>
        <v/>
      </c>
      <c r="P233" s="25"/>
      <c r="Q233" s="25"/>
      <c r="R233" s="25"/>
      <c r="S233" s="36" t="str">
        <f aca="false">IF(A233="","",YEAR(A233)+IF(AND(FYStart&gt;1,MONTH(A233)&gt;=FYStart),1,0))</f>
        <v/>
      </c>
      <c r="T233" s="36" t="str">
        <f aca="false">IF(A233="","",MOD(MONTH(A233)-FYStart,12)+1)</f>
        <v/>
      </c>
      <c r="U233" s="37" t="str">
        <f aca="false">IF(A233="","",TEXT(A233,"mmm"))</f>
        <v/>
      </c>
      <c r="V233" s="37" t="str">
        <f aca="false">IF(Q233="","",IFERROR(INDEX(Settings!$I$11:$I$15,MATCH(Q233,Settings!$H$11:$H$15,0)),"No"))</f>
        <v/>
      </c>
      <c r="W233" s="37" t="str">
        <f aca="false">IF(Q233="","",IFERROR(INDEX(Settings!$J$11:$J$15,MATCH(Q233,Settings!$H$11:$H$15,0)),"No"))</f>
        <v/>
      </c>
    </row>
    <row r="234" customFormat="false" ht="15" hidden="false" customHeight="false" outlineLevel="0" collapsed="false">
      <c r="A234" s="30"/>
      <c r="B234" s="25"/>
      <c r="C234" s="25"/>
      <c r="D234" s="25"/>
      <c r="E234" s="25"/>
      <c r="F234" s="25"/>
      <c r="G234" s="25"/>
      <c r="H234" s="31"/>
      <c r="I234" s="32"/>
      <c r="J234" s="33"/>
      <c r="K234" s="34" t="str">
        <f aca="false">IF(OR(H234="",I234=""),"",H234*I234*(1-N(J234)))</f>
        <v/>
      </c>
      <c r="L234" s="32"/>
      <c r="M234" s="34" t="str">
        <f aca="false">IF(OR(H234="",L234=""),"",H234*L234)</f>
        <v/>
      </c>
      <c r="N234" s="34" t="str">
        <f aca="false">IF(OR(K234="",M234=""),"",K234-M234)</f>
        <v/>
      </c>
      <c r="O234" s="35" t="str">
        <f aca="false">IF(OR(N234="",K234=""),"",IF(K234=0,"",N234/K234))</f>
        <v/>
      </c>
      <c r="P234" s="25"/>
      <c r="Q234" s="25"/>
      <c r="R234" s="25"/>
      <c r="S234" s="36" t="str">
        <f aca="false">IF(A234="","",YEAR(A234)+IF(AND(FYStart&gt;1,MONTH(A234)&gt;=FYStart),1,0))</f>
        <v/>
      </c>
      <c r="T234" s="36" t="str">
        <f aca="false">IF(A234="","",MOD(MONTH(A234)-FYStart,12)+1)</f>
        <v/>
      </c>
      <c r="U234" s="37" t="str">
        <f aca="false">IF(A234="","",TEXT(A234,"mmm"))</f>
        <v/>
      </c>
      <c r="V234" s="37" t="str">
        <f aca="false">IF(Q234="","",IFERROR(INDEX(Settings!$I$11:$I$15,MATCH(Q234,Settings!$H$11:$H$15,0)),"No"))</f>
        <v/>
      </c>
      <c r="W234" s="37" t="str">
        <f aca="false">IF(Q234="","",IFERROR(INDEX(Settings!$J$11:$J$15,MATCH(Q234,Settings!$H$11:$H$15,0)),"No"))</f>
        <v/>
      </c>
    </row>
    <row r="235" customFormat="false" ht="15" hidden="false" customHeight="false" outlineLevel="0" collapsed="false">
      <c r="A235" s="30"/>
      <c r="B235" s="25"/>
      <c r="C235" s="25"/>
      <c r="D235" s="25"/>
      <c r="E235" s="25"/>
      <c r="F235" s="25"/>
      <c r="G235" s="25"/>
      <c r="H235" s="31"/>
      <c r="I235" s="32"/>
      <c r="J235" s="33"/>
      <c r="K235" s="34" t="str">
        <f aca="false">IF(OR(H235="",I235=""),"",H235*I235*(1-N(J235)))</f>
        <v/>
      </c>
      <c r="L235" s="32"/>
      <c r="M235" s="34" t="str">
        <f aca="false">IF(OR(H235="",L235=""),"",H235*L235)</f>
        <v/>
      </c>
      <c r="N235" s="34" t="str">
        <f aca="false">IF(OR(K235="",M235=""),"",K235-M235)</f>
        <v/>
      </c>
      <c r="O235" s="35" t="str">
        <f aca="false">IF(OR(N235="",K235=""),"",IF(K235=0,"",N235/K235))</f>
        <v/>
      </c>
      <c r="P235" s="25"/>
      <c r="Q235" s="25"/>
      <c r="R235" s="25"/>
      <c r="S235" s="36" t="str">
        <f aca="false">IF(A235="","",YEAR(A235)+IF(AND(FYStart&gt;1,MONTH(A235)&gt;=FYStart),1,0))</f>
        <v/>
      </c>
      <c r="T235" s="36" t="str">
        <f aca="false">IF(A235="","",MOD(MONTH(A235)-FYStart,12)+1)</f>
        <v/>
      </c>
      <c r="U235" s="37" t="str">
        <f aca="false">IF(A235="","",TEXT(A235,"mmm"))</f>
        <v/>
      </c>
      <c r="V235" s="37" t="str">
        <f aca="false">IF(Q235="","",IFERROR(INDEX(Settings!$I$11:$I$15,MATCH(Q235,Settings!$H$11:$H$15,0)),"No"))</f>
        <v/>
      </c>
      <c r="W235" s="37" t="str">
        <f aca="false">IF(Q235="","",IFERROR(INDEX(Settings!$J$11:$J$15,MATCH(Q235,Settings!$H$11:$H$15,0)),"No"))</f>
        <v/>
      </c>
    </row>
    <row r="236" customFormat="false" ht="15" hidden="false" customHeight="false" outlineLevel="0" collapsed="false">
      <c r="A236" s="30"/>
      <c r="B236" s="25"/>
      <c r="C236" s="25"/>
      <c r="D236" s="25"/>
      <c r="E236" s="25"/>
      <c r="F236" s="25"/>
      <c r="G236" s="25"/>
      <c r="H236" s="31"/>
      <c r="I236" s="32"/>
      <c r="J236" s="33"/>
      <c r="K236" s="34" t="str">
        <f aca="false">IF(OR(H236="",I236=""),"",H236*I236*(1-N(J236)))</f>
        <v/>
      </c>
      <c r="L236" s="32"/>
      <c r="M236" s="34" t="str">
        <f aca="false">IF(OR(H236="",L236=""),"",H236*L236)</f>
        <v/>
      </c>
      <c r="N236" s="34" t="str">
        <f aca="false">IF(OR(K236="",M236=""),"",K236-M236)</f>
        <v/>
      </c>
      <c r="O236" s="35" t="str">
        <f aca="false">IF(OR(N236="",K236=""),"",IF(K236=0,"",N236/K236))</f>
        <v/>
      </c>
      <c r="P236" s="25"/>
      <c r="Q236" s="25"/>
      <c r="R236" s="25"/>
      <c r="S236" s="36" t="str">
        <f aca="false">IF(A236="","",YEAR(A236)+IF(AND(FYStart&gt;1,MONTH(A236)&gt;=FYStart),1,0))</f>
        <v/>
      </c>
      <c r="T236" s="36" t="str">
        <f aca="false">IF(A236="","",MOD(MONTH(A236)-FYStart,12)+1)</f>
        <v/>
      </c>
      <c r="U236" s="37" t="str">
        <f aca="false">IF(A236="","",TEXT(A236,"mmm"))</f>
        <v/>
      </c>
      <c r="V236" s="37" t="str">
        <f aca="false">IF(Q236="","",IFERROR(INDEX(Settings!$I$11:$I$15,MATCH(Q236,Settings!$H$11:$H$15,0)),"No"))</f>
        <v/>
      </c>
      <c r="W236" s="37" t="str">
        <f aca="false">IF(Q236="","",IFERROR(INDEX(Settings!$J$11:$J$15,MATCH(Q236,Settings!$H$11:$H$15,0)),"No"))</f>
        <v/>
      </c>
    </row>
    <row r="237" customFormat="false" ht="15" hidden="false" customHeight="false" outlineLevel="0" collapsed="false">
      <c r="A237" s="30"/>
      <c r="B237" s="25"/>
      <c r="C237" s="25"/>
      <c r="D237" s="25"/>
      <c r="E237" s="25"/>
      <c r="F237" s="25"/>
      <c r="G237" s="25"/>
      <c r="H237" s="31"/>
      <c r="I237" s="32"/>
      <c r="J237" s="33"/>
      <c r="K237" s="34" t="str">
        <f aca="false">IF(OR(H237="",I237=""),"",H237*I237*(1-N(J237)))</f>
        <v/>
      </c>
      <c r="L237" s="32"/>
      <c r="M237" s="34" t="str">
        <f aca="false">IF(OR(H237="",L237=""),"",H237*L237)</f>
        <v/>
      </c>
      <c r="N237" s="34" t="str">
        <f aca="false">IF(OR(K237="",M237=""),"",K237-M237)</f>
        <v/>
      </c>
      <c r="O237" s="35" t="str">
        <f aca="false">IF(OR(N237="",K237=""),"",IF(K237=0,"",N237/K237))</f>
        <v/>
      </c>
      <c r="P237" s="25"/>
      <c r="Q237" s="25"/>
      <c r="R237" s="25"/>
      <c r="S237" s="36" t="str">
        <f aca="false">IF(A237="","",YEAR(A237)+IF(AND(FYStart&gt;1,MONTH(A237)&gt;=FYStart),1,0))</f>
        <v/>
      </c>
      <c r="T237" s="36" t="str">
        <f aca="false">IF(A237="","",MOD(MONTH(A237)-FYStart,12)+1)</f>
        <v/>
      </c>
      <c r="U237" s="37" t="str">
        <f aca="false">IF(A237="","",TEXT(A237,"mmm"))</f>
        <v/>
      </c>
      <c r="V237" s="37" t="str">
        <f aca="false">IF(Q237="","",IFERROR(INDEX(Settings!$I$11:$I$15,MATCH(Q237,Settings!$H$11:$H$15,0)),"No"))</f>
        <v/>
      </c>
      <c r="W237" s="37" t="str">
        <f aca="false">IF(Q237="","",IFERROR(INDEX(Settings!$J$11:$J$15,MATCH(Q237,Settings!$H$11:$H$15,0)),"No"))</f>
        <v/>
      </c>
    </row>
    <row r="238" customFormat="false" ht="15" hidden="false" customHeight="false" outlineLevel="0" collapsed="false">
      <c r="A238" s="30"/>
      <c r="B238" s="25"/>
      <c r="C238" s="25"/>
      <c r="D238" s="25"/>
      <c r="E238" s="25"/>
      <c r="F238" s="25"/>
      <c r="G238" s="25"/>
      <c r="H238" s="31"/>
      <c r="I238" s="32"/>
      <c r="J238" s="33"/>
      <c r="K238" s="34" t="str">
        <f aca="false">IF(OR(H238="",I238=""),"",H238*I238*(1-N(J238)))</f>
        <v/>
      </c>
      <c r="L238" s="32"/>
      <c r="M238" s="34" t="str">
        <f aca="false">IF(OR(H238="",L238=""),"",H238*L238)</f>
        <v/>
      </c>
      <c r="N238" s="34" t="str">
        <f aca="false">IF(OR(K238="",M238=""),"",K238-M238)</f>
        <v/>
      </c>
      <c r="O238" s="35" t="str">
        <f aca="false">IF(OR(N238="",K238=""),"",IF(K238=0,"",N238/K238))</f>
        <v/>
      </c>
      <c r="P238" s="25"/>
      <c r="Q238" s="25"/>
      <c r="R238" s="25"/>
      <c r="S238" s="36" t="str">
        <f aca="false">IF(A238="","",YEAR(A238)+IF(AND(FYStart&gt;1,MONTH(A238)&gt;=FYStart),1,0))</f>
        <v/>
      </c>
      <c r="T238" s="36" t="str">
        <f aca="false">IF(A238="","",MOD(MONTH(A238)-FYStart,12)+1)</f>
        <v/>
      </c>
      <c r="U238" s="37" t="str">
        <f aca="false">IF(A238="","",TEXT(A238,"mmm"))</f>
        <v/>
      </c>
      <c r="V238" s="37" t="str">
        <f aca="false">IF(Q238="","",IFERROR(INDEX(Settings!$I$11:$I$15,MATCH(Q238,Settings!$H$11:$H$15,0)),"No"))</f>
        <v/>
      </c>
      <c r="W238" s="37" t="str">
        <f aca="false">IF(Q238="","",IFERROR(INDEX(Settings!$J$11:$J$15,MATCH(Q238,Settings!$H$11:$H$15,0)),"No"))</f>
        <v/>
      </c>
    </row>
    <row r="239" customFormat="false" ht="15" hidden="false" customHeight="false" outlineLevel="0" collapsed="false">
      <c r="A239" s="30"/>
      <c r="B239" s="25"/>
      <c r="C239" s="25"/>
      <c r="D239" s="25"/>
      <c r="E239" s="25"/>
      <c r="F239" s="25"/>
      <c r="G239" s="25"/>
      <c r="H239" s="31"/>
      <c r="I239" s="32"/>
      <c r="J239" s="33"/>
      <c r="K239" s="34" t="str">
        <f aca="false">IF(OR(H239="",I239=""),"",H239*I239*(1-N(J239)))</f>
        <v/>
      </c>
      <c r="L239" s="32"/>
      <c r="M239" s="34" t="str">
        <f aca="false">IF(OR(H239="",L239=""),"",H239*L239)</f>
        <v/>
      </c>
      <c r="N239" s="34" t="str">
        <f aca="false">IF(OR(K239="",M239=""),"",K239-M239)</f>
        <v/>
      </c>
      <c r="O239" s="35" t="str">
        <f aca="false">IF(OR(N239="",K239=""),"",IF(K239=0,"",N239/K239))</f>
        <v/>
      </c>
      <c r="P239" s="25"/>
      <c r="Q239" s="25"/>
      <c r="R239" s="25"/>
      <c r="S239" s="36" t="str">
        <f aca="false">IF(A239="","",YEAR(A239)+IF(AND(FYStart&gt;1,MONTH(A239)&gt;=FYStart),1,0))</f>
        <v/>
      </c>
      <c r="T239" s="36" t="str">
        <f aca="false">IF(A239="","",MOD(MONTH(A239)-FYStart,12)+1)</f>
        <v/>
      </c>
      <c r="U239" s="37" t="str">
        <f aca="false">IF(A239="","",TEXT(A239,"mmm"))</f>
        <v/>
      </c>
      <c r="V239" s="37" t="str">
        <f aca="false">IF(Q239="","",IFERROR(INDEX(Settings!$I$11:$I$15,MATCH(Q239,Settings!$H$11:$H$15,0)),"No"))</f>
        <v/>
      </c>
      <c r="W239" s="37" t="str">
        <f aca="false">IF(Q239="","",IFERROR(INDEX(Settings!$J$11:$J$15,MATCH(Q239,Settings!$H$11:$H$15,0)),"No"))</f>
        <v/>
      </c>
    </row>
    <row r="240" customFormat="false" ht="15" hidden="false" customHeight="false" outlineLevel="0" collapsed="false">
      <c r="A240" s="30"/>
      <c r="B240" s="25"/>
      <c r="C240" s="25"/>
      <c r="D240" s="25"/>
      <c r="E240" s="25"/>
      <c r="F240" s="25"/>
      <c r="G240" s="25"/>
      <c r="H240" s="31"/>
      <c r="I240" s="32"/>
      <c r="J240" s="33"/>
      <c r="K240" s="34" t="str">
        <f aca="false">IF(OR(H240="",I240=""),"",H240*I240*(1-N(J240)))</f>
        <v/>
      </c>
      <c r="L240" s="32"/>
      <c r="M240" s="34" t="str">
        <f aca="false">IF(OR(H240="",L240=""),"",H240*L240)</f>
        <v/>
      </c>
      <c r="N240" s="34" t="str">
        <f aca="false">IF(OR(K240="",M240=""),"",K240-M240)</f>
        <v/>
      </c>
      <c r="O240" s="35" t="str">
        <f aca="false">IF(OR(N240="",K240=""),"",IF(K240=0,"",N240/K240))</f>
        <v/>
      </c>
      <c r="P240" s="25"/>
      <c r="Q240" s="25"/>
      <c r="R240" s="25"/>
      <c r="S240" s="36" t="str">
        <f aca="false">IF(A240="","",YEAR(A240)+IF(AND(FYStart&gt;1,MONTH(A240)&gt;=FYStart),1,0))</f>
        <v/>
      </c>
      <c r="T240" s="36" t="str">
        <f aca="false">IF(A240="","",MOD(MONTH(A240)-FYStart,12)+1)</f>
        <v/>
      </c>
      <c r="U240" s="37" t="str">
        <f aca="false">IF(A240="","",TEXT(A240,"mmm"))</f>
        <v/>
      </c>
      <c r="V240" s="37" t="str">
        <f aca="false">IF(Q240="","",IFERROR(INDEX(Settings!$I$11:$I$15,MATCH(Q240,Settings!$H$11:$H$15,0)),"No"))</f>
        <v/>
      </c>
      <c r="W240" s="37" t="str">
        <f aca="false">IF(Q240="","",IFERROR(INDEX(Settings!$J$11:$J$15,MATCH(Q240,Settings!$H$11:$H$15,0)),"No"))</f>
        <v/>
      </c>
    </row>
    <row r="241" customFormat="false" ht="15" hidden="false" customHeight="false" outlineLevel="0" collapsed="false">
      <c r="A241" s="30"/>
      <c r="B241" s="25"/>
      <c r="C241" s="25"/>
      <c r="D241" s="25"/>
      <c r="E241" s="25"/>
      <c r="F241" s="25"/>
      <c r="G241" s="25"/>
      <c r="H241" s="31"/>
      <c r="I241" s="32"/>
      <c r="J241" s="33"/>
      <c r="K241" s="34" t="str">
        <f aca="false">IF(OR(H241="",I241=""),"",H241*I241*(1-N(J241)))</f>
        <v/>
      </c>
      <c r="L241" s="32"/>
      <c r="M241" s="34" t="str">
        <f aca="false">IF(OR(H241="",L241=""),"",H241*L241)</f>
        <v/>
      </c>
      <c r="N241" s="34" t="str">
        <f aca="false">IF(OR(K241="",M241=""),"",K241-M241)</f>
        <v/>
      </c>
      <c r="O241" s="35" t="str">
        <f aca="false">IF(OR(N241="",K241=""),"",IF(K241=0,"",N241/K241))</f>
        <v/>
      </c>
      <c r="P241" s="25"/>
      <c r="Q241" s="25"/>
      <c r="R241" s="25"/>
      <c r="S241" s="36" t="str">
        <f aca="false">IF(A241="","",YEAR(A241)+IF(AND(FYStart&gt;1,MONTH(A241)&gt;=FYStart),1,0))</f>
        <v/>
      </c>
      <c r="T241" s="36" t="str">
        <f aca="false">IF(A241="","",MOD(MONTH(A241)-FYStart,12)+1)</f>
        <v/>
      </c>
      <c r="U241" s="37" t="str">
        <f aca="false">IF(A241="","",TEXT(A241,"mmm"))</f>
        <v/>
      </c>
      <c r="V241" s="37" t="str">
        <f aca="false">IF(Q241="","",IFERROR(INDEX(Settings!$I$11:$I$15,MATCH(Q241,Settings!$H$11:$H$15,0)),"No"))</f>
        <v/>
      </c>
      <c r="W241" s="37" t="str">
        <f aca="false">IF(Q241="","",IFERROR(INDEX(Settings!$J$11:$J$15,MATCH(Q241,Settings!$H$11:$H$15,0)),"No"))</f>
        <v/>
      </c>
    </row>
    <row r="242" customFormat="false" ht="15" hidden="false" customHeight="false" outlineLevel="0" collapsed="false">
      <c r="A242" s="30"/>
      <c r="B242" s="25"/>
      <c r="C242" s="25"/>
      <c r="D242" s="25"/>
      <c r="E242" s="25"/>
      <c r="F242" s="25"/>
      <c r="G242" s="25"/>
      <c r="H242" s="31"/>
      <c r="I242" s="32"/>
      <c r="J242" s="33"/>
      <c r="K242" s="34" t="str">
        <f aca="false">IF(OR(H242="",I242=""),"",H242*I242*(1-N(J242)))</f>
        <v/>
      </c>
      <c r="L242" s="32"/>
      <c r="M242" s="34" t="str">
        <f aca="false">IF(OR(H242="",L242=""),"",H242*L242)</f>
        <v/>
      </c>
      <c r="N242" s="34" t="str">
        <f aca="false">IF(OR(K242="",M242=""),"",K242-M242)</f>
        <v/>
      </c>
      <c r="O242" s="35" t="str">
        <f aca="false">IF(OR(N242="",K242=""),"",IF(K242=0,"",N242/K242))</f>
        <v/>
      </c>
      <c r="P242" s="25"/>
      <c r="Q242" s="25"/>
      <c r="R242" s="25"/>
      <c r="S242" s="36" t="str">
        <f aca="false">IF(A242="","",YEAR(A242)+IF(AND(FYStart&gt;1,MONTH(A242)&gt;=FYStart),1,0))</f>
        <v/>
      </c>
      <c r="T242" s="36" t="str">
        <f aca="false">IF(A242="","",MOD(MONTH(A242)-FYStart,12)+1)</f>
        <v/>
      </c>
      <c r="U242" s="37" t="str">
        <f aca="false">IF(A242="","",TEXT(A242,"mmm"))</f>
        <v/>
      </c>
      <c r="V242" s="37" t="str">
        <f aca="false">IF(Q242="","",IFERROR(INDEX(Settings!$I$11:$I$15,MATCH(Q242,Settings!$H$11:$H$15,0)),"No"))</f>
        <v/>
      </c>
      <c r="W242" s="37" t="str">
        <f aca="false">IF(Q242="","",IFERROR(INDEX(Settings!$J$11:$J$15,MATCH(Q242,Settings!$H$11:$H$15,0)),"No"))</f>
        <v/>
      </c>
    </row>
    <row r="243" customFormat="false" ht="15" hidden="false" customHeight="false" outlineLevel="0" collapsed="false">
      <c r="A243" s="30"/>
      <c r="B243" s="25"/>
      <c r="C243" s="25"/>
      <c r="D243" s="25"/>
      <c r="E243" s="25"/>
      <c r="F243" s="25"/>
      <c r="G243" s="25"/>
      <c r="H243" s="31"/>
      <c r="I243" s="32"/>
      <c r="J243" s="33"/>
      <c r="K243" s="34" t="str">
        <f aca="false">IF(OR(H243="",I243=""),"",H243*I243*(1-N(J243)))</f>
        <v/>
      </c>
      <c r="L243" s="32"/>
      <c r="M243" s="34" t="str">
        <f aca="false">IF(OR(H243="",L243=""),"",H243*L243)</f>
        <v/>
      </c>
      <c r="N243" s="34" t="str">
        <f aca="false">IF(OR(K243="",M243=""),"",K243-M243)</f>
        <v/>
      </c>
      <c r="O243" s="35" t="str">
        <f aca="false">IF(OR(N243="",K243=""),"",IF(K243=0,"",N243/K243))</f>
        <v/>
      </c>
      <c r="P243" s="25"/>
      <c r="Q243" s="25"/>
      <c r="R243" s="25"/>
      <c r="S243" s="36" t="str">
        <f aca="false">IF(A243="","",YEAR(A243)+IF(AND(FYStart&gt;1,MONTH(A243)&gt;=FYStart),1,0))</f>
        <v/>
      </c>
      <c r="T243" s="36" t="str">
        <f aca="false">IF(A243="","",MOD(MONTH(A243)-FYStart,12)+1)</f>
        <v/>
      </c>
      <c r="U243" s="37" t="str">
        <f aca="false">IF(A243="","",TEXT(A243,"mmm"))</f>
        <v/>
      </c>
      <c r="V243" s="37" t="str">
        <f aca="false">IF(Q243="","",IFERROR(INDEX(Settings!$I$11:$I$15,MATCH(Q243,Settings!$H$11:$H$15,0)),"No"))</f>
        <v/>
      </c>
      <c r="W243" s="37" t="str">
        <f aca="false">IF(Q243="","",IFERROR(INDEX(Settings!$J$11:$J$15,MATCH(Q243,Settings!$H$11:$H$15,0)),"No"))</f>
        <v/>
      </c>
    </row>
    <row r="244" customFormat="false" ht="15" hidden="false" customHeight="false" outlineLevel="0" collapsed="false">
      <c r="A244" s="30"/>
      <c r="B244" s="25"/>
      <c r="C244" s="25"/>
      <c r="D244" s="25"/>
      <c r="E244" s="25"/>
      <c r="F244" s="25"/>
      <c r="G244" s="25"/>
      <c r="H244" s="31"/>
      <c r="I244" s="32"/>
      <c r="J244" s="33"/>
      <c r="K244" s="34" t="str">
        <f aca="false">IF(OR(H244="",I244=""),"",H244*I244*(1-N(J244)))</f>
        <v/>
      </c>
      <c r="L244" s="32"/>
      <c r="M244" s="34" t="str">
        <f aca="false">IF(OR(H244="",L244=""),"",H244*L244)</f>
        <v/>
      </c>
      <c r="N244" s="34" t="str">
        <f aca="false">IF(OR(K244="",M244=""),"",K244-M244)</f>
        <v/>
      </c>
      <c r="O244" s="35" t="str">
        <f aca="false">IF(OR(N244="",K244=""),"",IF(K244=0,"",N244/K244))</f>
        <v/>
      </c>
      <c r="P244" s="25"/>
      <c r="Q244" s="25"/>
      <c r="R244" s="25"/>
      <c r="S244" s="36" t="str">
        <f aca="false">IF(A244="","",YEAR(A244)+IF(AND(FYStart&gt;1,MONTH(A244)&gt;=FYStart),1,0))</f>
        <v/>
      </c>
      <c r="T244" s="36" t="str">
        <f aca="false">IF(A244="","",MOD(MONTH(A244)-FYStart,12)+1)</f>
        <v/>
      </c>
      <c r="U244" s="37" t="str">
        <f aca="false">IF(A244="","",TEXT(A244,"mmm"))</f>
        <v/>
      </c>
      <c r="V244" s="37" t="str">
        <f aca="false">IF(Q244="","",IFERROR(INDEX(Settings!$I$11:$I$15,MATCH(Q244,Settings!$H$11:$H$15,0)),"No"))</f>
        <v/>
      </c>
      <c r="W244" s="37" t="str">
        <f aca="false">IF(Q244="","",IFERROR(INDEX(Settings!$J$11:$J$15,MATCH(Q244,Settings!$H$11:$H$15,0)),"No"))</f>
        <v/>
      </c>
    </row>
    <row r="245" customFormat="false" ht="15" hidden="false" customHeight="false" outlineLevel="0" collapsed="false">
      <c r="A245" s="30"/>
      <c r="B245" s="25"/>
      <c r="C245" s="25"/>
      <c r="D245" s="25"/>
      <c r="E245" s="25"/>
      <c r="F245" s="25"/>
      <c r="G245" s="25"/>
      <c r="H245" s="31"/>
      <c r="I245" s="32"/>
      <c r="J245" s="33"/>
      <c r="K245" s="34" t="str">
        <f aca="false">IF(OR(H245="",I245=""),"",H245*I245*(1-N(J245)))</f>
        <v/>
      </c>
      <c r="L245" s="32"/>
      <c r="M245" s="34" t="str">
        <f aca="false">IF(OR(H245="",L245=""),"",H245*L245)</f>
        <v/>
      </c>
      <c r="N245" s="34" t="str">
        <f aca="false">IF(OR(K245="",M245=""),"",K245-M245)</f>
        <v/>
      </c>
      <c r="O245" s="35" t="str">
        <f aca="false">IF(OR(N245="",K245=""),"",IF(K245=0,"",N245/K245))</f>
        <v/>
      </c>
      <c r="P245" s="25"/>
      <c r="Q245" s="25"/>
      <c r="R245" s="25"/>
      <c r="S245" s="36" t="str">
        <f aca="false">IF(A245="","",YEAR(A245)+IF(AND(FYStart&gt;1,MONTH(A245)&gt;=FYStart),1,0))</f>
        <v/>
      </c>
      <c r="T245" s="36" t="str">
        <f aca="false">IF(A245="","",MOD(MONTH(A245)-FYStart,12)+1)</f>
        <v/>
      </c>
      <c r="U245" s="37" t="str">
        <f aca="false">IF(A245="","",TEXT(A245,"mmm"))</f>
        <v/>
      </c>
      <c r="V245" s="37" t="str">
        <f aca="false">IF(Q245="","",IFERROR(INDEX(Settings!$I$11:$I$15,MATCH(Q245,Settings!$H$11:$H$15,0)),"No"))</f>
        <v/>
      </c>
      <c r="W245" s="37" t="str">
        <f aca="false">IF(Q245="","",IFERROR(INDEX(Settings!$J$11:$J$15,MATCH(Q245,Settings!$H$11:$H$15,0)),"No"))</f>
        <v/>
      </c>
    </row>
    <row r="246" customFormat="false" ht="15" hidden="false" customHeight="false" outlineLevel="0" collapsed="false">
      <c r="A246" s="30"/>
      <c r="B246" s="25"/>
      <c r="C246" s="25"/>
      <c r="D246" s="25"/>
      <c r="E246" s="25"/>
      <c r="F246" s="25"/>
      <c r="G246" s="25"/>
      <c r="H246" s="31"/>
      <c r="I246" s="32"/>
      <c r="J246" s="33"/>
      <c r="K246" s="34" t="str">
        <f aca="false">IF(OR(H246="",I246=""),"",H246*I246*(1-N(J246)))</f>
        <v/>
      </c>
      <c r="L246" s="32"/>
      <c r="M246" s="34" t="str">
        <f aca="false">IF(OR(H246="",L246=""),"",H246*L246)</f>
        <v/>
      </c>
      <c r="N246" s="34" t="str">
        <f aca="false">IF(OR(K246="",M246=""),"",K246-M246)</f>
        <v/>
      </c>
      <c r="O246" s="35" t="str">
        <f aca="false">IF(OR(N246="",K246=""),"",IF(K246=0,"",N246/K246))</f>
        <v/>
      </c>
      <c r="P246" s="25"/>
      <c r="Q246" s="25"/>
      <c r="R246" s="25"/>
      <c r="S246" s="36" t="str">
        <f aca="false">IF(A246="","",YEAR(A246)+IF(AND(FYStart&gt;1,MONTH(A246)&gt;=FYStart),1,0))</f>
        <v/>
      </c>
      <c r="T246" s="36" t="str">
        <f aca="false">IF(A246="","",MOD(MONTH(A246)-FYStart,12)+1)</f>
        <v/>
      </c>
      <c r="U246" s="37" t="str">
        <f aca="false">IF(A246="","",TEXT(A246,"mmm"))</f>
        <v/>
      </c>
      <c r="V246" s="37" t="str">
        <f aca="false">IF(Q246="","",IFERROR(INDEX(Settings!$I$11:$I$15,MATCH(Q246,Settings!$H$11:$H$15,0)),"No"))</f>
        <v/>
      </c>
      <c r="W246" s="37" t="str">
        <f aca="false">IF(Q246="","",IFERROR(INDEX(Settings!$J$11:$J$15,MATCH(Q246,Settings!$H$11:$H$15,0)),"No"))</f>
        <v/>
      </c>
    </row>
    <row r="247" customFormat="false" ht="15" hidden="false" customHeight="false" outlineLevel="0" collapsed="false">
      <c r="A247" s="30"/>
      <c r="B247" s="25"/>
      <c r="C247" s="25"/>
      <c r="D247" s="25"/>
      <c r="E247" s="25"/>
      <c r="F247" s="25"/>
      <c r="G247" s="25"/>
      <c r="H247" s="31"/>
      <c r="I247" s="32"/>
      <c r="J247" s="33"/>
      <c r="K247" s="34" t="str">
        <f aca="false">IF(OR(H247="",I247=""),"",H247*I247*(1-N(J247)))</f>
        <v/>
      </c>
      <c r="L247" s="32"/>
      <c r="M247" s="34" t="str">
        <f aca="false">IF(OR(H247="",L247=""),"",H247*L247)</f>
        <v/>
      </c>
      <c r="N247" s="34" t="str">
        <f aca="false">IF(OR(K247="",M247=""),"",K247-M247)</f>
        <v/>
      </c>
      <c r="O247" s="35" t="str">
        <f aca="false">IF(OR(N247="",K247=""),"",IF(K247=0,"",N247/K247))</f>
        <v/>
      </c>
      <c r="P247" s="25"/>
      <c r="Q247" s="25"/>
      <c r="R247" s="25"/>
      <c r="S247" s="36" t="str">
        <f aca="false">IF(A247="","",YEAR(A247)+IF(AND(FYStart&gt;1,MONTH(A247)&gt;=FYStart),1,0))</f>
        <v/>
      </c>
      <c r="T247" s="36" t="str">
        <f aca="false">IF(A247="","",MOD(MONTH(A247)-FYStart,12)+1)</f>
        <v/>
      </c>
      <c r="U247" s="37" t="str">
        <f aca="false">IF(A247="","",TEXT(A247,"mmm"))</f>
        <v/>
      </c>
      <c r="V247" s="37" t="str">
        <f aca="false">IF(Q247="","",IFERROR(INDEX(Settings!$I$11:$I$15,MATCH(Q247,Settings!$H$11:$H$15,0)),"No"))</f>
        <v/>
      </c>
      <c r="W247" s="37" t="str">
        <f aca="false">IF(Q247="","",IFERROR(INDEX(Settings!$J$11:$J$15,MATCH(Q247,Settings!$H$11:$H$15,0)),"No"))</f>
        <v/>
      </c>
    </row>
    <row r="248" customFormat="false" ht="15" hidden="false" customHeight="false" outlineLevel="0" collapsed="false">
      <c r="A248" s="30"/>
      <c r="B248" s="25"/>
      <c r="C248" s="25"/>
      <c r="D248" s="25"/>
      <c r="E248" s="25"/>
      <c r="F248" s="25"/>
      <c r="G248" s="25"/>
      <c r="H248" s="31"/>
      <c r="I248" s="32"/>
      <c r="J248" s="33"/>
      <c r="K248" s="34" t="str">
        <f aca="false">IF(OR(H248="",I248=""),"",H248*I248*(1-N(J248)))</f>
        <v/>
      </c>
      <c r="L248" s="32"/>
      <c r="M248" s="34" t="str">
        <f aca="false">IF(OR(H248="",L248=""),"",H248*L248)</f>
        <v/>
      </c>
      <c r="N248" s="34" t="str">
        <f aca="false">IF(OR(K248="",M248=""),"",K248-M248)</f>
        <v/>
      </c>
      <c r="O248" s="35" t="str">
        <f aca="false">IF(OR(N248="",K248=""),"",IF(K248=0,"",N248/K248))</f>
        <v/>
      </c>
      <c r="P248" s="25"/>
      <c r="Q248" s="25"/>
      <c r="R248" s="25"/>
      <c r="S248" s="36" t="str">
        <f aca="false">IF(A248="","",YEAR(A248)+IF(AND(FYStart&gt;1,MONTH(A248)&gt;=FYStart),1,0))</f>
        <v/>
      </c>
      <c r="T248" s="36" t="str">
        <f aca="false">IF(A248="","",MOD(MONTH(A248)-FYStart,12)+1)</f>
        <v/>
      </c>
      <c r="U248" s="37" t="str">
        <f aca="false">IF(A248="","",TEXT(A248,"mmm"))</f>
        <v/>
      </c>
      <c r="V248" s="37" t="str">
        <f aca="false">IF(Q248="","",IFERROR(INDEX(Settings!$I$11:$I$15,MATCH(Q248,Settings!$H$11:$H$15,0)),"No"))</f>
        <v/>
      </c>
      <c r="W248" s="37" t="str">
        <f aca="false">IF(Q248="","",IFERROR(INDEX(Settings!$J$11:$J$15,MATCH(Q248,Settings!$H$11:$H$15,0)),"No"))</f>
        <v/>
      </c>
    </row>
    <row r="249" customFormat="false" ht="15" hidden="false" customHeight="false" outlineLevel="0" collapsed="false">
      <c r="A249" s="30"/>
      <c r="B249" s="25"/>
      <c r="C249" s="25"/>
      <c r="D249" s="25"/>
      <c r="E249" s="25"/>
      <c r="F249" s="25"/>
      <c r="G249" s="25"/>
      <c r="H249" s="31"/>
      <c r="I249" s="32"/>
      <c r="J249" s="33"/>
      <c r="K249" s="34" t="str">
        <f aca="false">IF(OR(H249="",I249=""),"",H249*I249*(1-N(J249)))</f>
        <v/>
      </c>
      <c r="L249" s="32"/>
      <c r="M249" s="34" t="str">
        <f aca="false">IF(OR(H249="",L249=""),"",H249*L249)</f>
        <v/>
      </c>
      <c r="N249" s="34" t="str">
        <f aca="false">IF(OR(K249="",M249=""),"",K249-M249)</f>
        <v/>
      </c>
      <c r="O249" s="35" t="str">
        <f aca="false">IF(OR(N249="",K249=""),"",IF(K249=0,"",N249/K249))</f>
        <v/>
      </c>
      <c r="P249" s="25"/>
      <c r="Q249" s="25"/>
      <c r="R249" s="25"/>
      <c r="S249" s="36" t="str">
        <f aca="false">IF(A249="","",YEAR(A249)+IF(AND(FYStart&gt;1,MONTH(A249)&gt;=FYStart),1,0))</f>
        <v/>
      </c>
      <c r="T249" s="36" t="str">
        <f aca="false">IF(A249="","",MOD(MONTH(A249)-FYStart,12)+1)</f>
        <v/>
      </c>
      <c r="U249" s="37" t="str">
        <f aca="false">IF(A249="","",TEXT(A249,"mmm"))</f>
        <v/>
      </c>
      <c r="V249" s="37" t="str">
        <f aca="false">IF(Q249="","",IFERROR(INDEX(Settings!$I$11:$I$15,MATCH(Q249,Settings!$H$11:$H$15,0)),"No"))</f>
        <v/>
      </c>
      <c r="W249" s="37" t="str">
        <f aca="false">IF(Q249="","",IFERROR(INDEX(Settings!$J$11:$J$15,MATCH(Q249,Settings!$H$11:$H$15,0)),"No"))</f>
        <v/>
      </c>
    </row>
    <row r="250" customFormat="false" ht="15" hidden="false" customHeight="false" outlineLevel="0" collapsed="false">
      <c r="A250" s="30"/>
      <c r="B250" s="25"/>
      <c r="C250" s="25"/>
      <c r="D250" s="25"/>
      <c r="E250" s="25"/>
      <c r="F250" s="25"/>
      <c r="G250" s="25"/>
      <c r="H250" s="31"/>
      <c r="I250" s="32"/>
      <c r="J250" s="33"/>
      <c r="K250" s="34" t="str">
        <f aca="false">IF(OR(H250="",I250=""),"",H250*I250*(1-N(J250)))</f>
        <v/>
      </c>
      <c r="L250" s="32"/>
      <c r="M250" s="34" t="str">
        <f aca="false">IF(OR(H250="",L250=""),"",H250*L250)</f>
        <v/>
      </c>
      <c r="N250" s="34" t="str">
        <f aca="false">IF(OR(K250="",M250=""),"",K250-M250)</f>
        <v/>
      </c>
      <c r="O250" s="35" t="str">
        <f aca="false">IF(OR(N250="",K250=""),"",IF(K250=0,"",N250/K250))</f>
        <v/>
      </c>
      <c r="P250" s="25"/>
      <c r="Q250" s="25"/>
      <c r="R250" s="25"/>
      <c r="S250" s="36" t="str">
        <f aca="false">IF(A250="","",YEAR(A250)+IF(AND(FYStart&gt;1,MONTH(A250)&gt;=FYStart),1,0))</f>
        <v/>
      </c>
      <c r="T250" s="36" t="str">
        <f aca="false">IF(A250="","",MOD(MONTH(A250)-FYStart,12)+1)</f>
        <v/>
      </c>
      <c r="U250" s="37" t="str">
        <f aca="false">IF(A250="","",TEXT(A250,"mmm"))</f>
        <v/>
      </c>
      <c r="V250" s="37" t="str">
        <f aca="false">IF(Q250="","",IFERROR(INDEX(Settings!$I$11:$I$15,MATCH(Q250,Settings!$H$11:$H$15,0)),"No"))</f>
        <v/>
      </c>
      <c r="W250" s="37" t="str">
        <f aca="false">IF(Q250="","",IFERROR(INDEX(Settings!$J$11:$J$15,MATCH(Q250,Settings!$H$11:$H$15,0)),"No"))</f>
        <v/>
      </c>
    </row>
    <row r="251" customFormat="false" ht="15" hidden="false" customHeight="false" outlineLevel="0" collapsed="false">
      <c r="A251" s="30"/>
      <c r="B251" s="25"/>
      <c r="C251" s="25"/>
      <c r="D251" s="25"/>
      <c r="E251" s="25"/>
      <c r="F251" s="25"/>
      <c r="G251" s="25"/>
      <c r="H251" s="31"/>
      <c r="I251" s="32"/>
      <c r="J251" s="33"/>
      <c r="K251" s="34" t="str">
        <f aca="false">IF(OR(H251="",I251=""),"",H251*I251*(1-N(J251)))</f>
        <v/>
      </c>
      <c r="L251" s="32"/>
      <c r="M251" s="34" t="str">
        <f aca="false">IF(OR(H251="",L251=""),"",H251*L251)</f>
        <v/>
      </c>
      <c r="N251" s="34" t="str">
        <f aca="false">IF(OR(K251="",M251=""),"",K251-M251)</f>
        <v/>
      </c>
      <c r="O251" s="35" t="str">
        <f aca="false">IF(OR(N251="",K251=""),"",IF(K251=0,"",N251/K251))</f>
        <v/>
      </c>
      <c r="P251" s="25"/>
      <c r="Q251" s="25"/>
      <c r="R251" s="25"/>
      <c r="S251" s="36" t="str">
        <f aca="false">IF(A251="","",YEAR(A251)+IF(AND(FYStart&gt;1,MONTH(A251)&gt;=FYStart),1,0))</f>
        <v/>
      </c>
      <c r="T251" s="36" t="str">
        <f aca="false">IF(A251="","",MOD(MONTH(A251)-FYStart,12)+1)</f>
        <v/>
      </c>
      <c r="U251" s="37" t="str">
        <f aca="false">IF(A251="","",TEXT(A251,"mmm"))</f>
        <v/>
      </c>
      <c r="V251" s="37" t="str">
        <f aca="false">IF(Q251="","",IFERROR(INDEX(Settings!$I$11:$I$15,MATCH(Q251,Settings!$H$11:$H$15,0)),"No"))</f>
        <v/>
      </c>
      <c r="W251" s="37" t="str">
        <f aca="false">IF(Q251="","",IFERROR(INDEX(Settings!$J$11:$J$15,MATCH(Q251,Settings!$H$11:$H$15,0)),"No"))</f>
        <v/>
      </c>
    </row>
    <row r="252" customFormat="false" ht="15" hidden="false" customHeight="false" outlineLevel="0" collapsed="false">
      <c r="A252" s="30"/>
      <c r="B252" s="25"/>
      <c r="C252" s="25"/>
      <c r="D252" s="25"/>
      <c r="E252" s="25"/>
      <c r="F252" s="25"/>
      <c r="G252" s="25"/>
      <c r="H252" s="31"/>
      <c r="I252" s="32"/>
      <c r="J252" s="33"/>
      <c r="K252" s="34" t="str">
        <f aca="false">IF(OR(H252="",I252=""),"",H252*I252*(1-N(J252)))</f>
        <v/>
      </c>
      <c r="L252" s="32"/>
      <c r="M252" s="34" t="str">
        <f aca="false">IF(OR(H252="",L252=""),"",H252*L252)</f>
        <v/>
      </c>
      <c r="N252" s="34" t="str">
        <f aca="false">IF(OR(K252="",M252=""),"",K252-M252)</f>
        <v/>
      </c>
      <c r="O252" s="35" t="str">
        <f aca="false">IF(OR(N252="",K252=""),"",IF(K252=0,"",N252/K252))</f>
        <v/>
      </c>
      <c r="P252" s="25"/>
      <c r="Q252" s="25"/>
      <c r="R252" s="25"/>
      <c r="S252" s="36" t="str">
        <f aca="false">IF(A252="","",YEAR(A252)+IF(AND(FYStart&gt;1,MONTH(A252)&gt;=FYStart),1,0))</f>
        <v/>
      </c>
      <c r="T252" s="36" t="str">
        <f aca="false">IF(A252="","",MOD(MONTH(A252)-FYStart,12)+1)</f>
        <v/>
      </c>
      <c r="U252" s="37" t="str">
        <f aca="false">IF(A252="","",TEXT(A252,"mmm"))</f>
        <v/>
      </c>
      <c r="V252" s="37" t="str">
        <f aca="false">IF(Q252="","",IFERROR(INDEX(Settings!$I$11:$I$15,MATCH(Q252,Settings!$H$11:$H$15,0)),"No"))</f>
        <v/>
      </c>
      <c r="W252" s="37" t="str">
        <f aca="false">IF(Q252="","",IFERROR(INDEX(Settings!$J$11:$J$15,MATCH(Q252,Settings!$H$11:$H$15,0)),"No"))</f>
        <v/>
      </c>
    </row>
    <row r="253" customFormat="false" ht="15" hidden="false" customHeight="false" outlineLevel="0" collapsed="false">
      <c r="A253" s="30"/>
      <c r="B253" s="25"/>
      <c r="C253" s="25"/>
      <c r="D253" s="25"/>
      <c r="E253" s="25"/>
      <c r="F253" s="25"/>
      <c r="G253" s="25"/>
      <c r="H253" s="31"/>
      <c r="I253" s="32"/>
      <c r="J253" s="33"/>
      <c r="K253" s="34" t="str">
        <f aca="false">IF(OR(H253="",I253=""),"",H253*I253*(1-N(J253)))</f>
        <v/>
      </c>
      <c r="L253" s="32"/>
      <c r="M253" s="34" t="str">
        <f aca="false">IF(OR(H253="",L253=""),"",H253*L253)</f>
        <v/>
      </c>
      <c r="N253" s="34" t="str">
        <f aca="false">IF(OR(K253="",M253=""),"",K253-M253)</f>
        <v/>
      </c>
      <c r="O253" s="35" t="str">
        <f aca="false">IF(OR(N253="",K253=""),"",IF(K253=0,"",N253/K253))</f>
        <v/>
      </c>
      <c r="P253" s="25"/>
      <c r="Q253" s="25"/>
      <c r="R253" s="25"/>
      <c r="S253" s="36" t="str">
        <f aca="false">IF(A253="","",YEAR(A253)+IF(AND(FYStart&gt;1,MONTH(A253)&gt;=FYStart),1,0))</f>
        <v/>
      </c>
      <c r="T253" s="36" t="str">
        <f aca="false">IF(A253="","",MOD(MONTH(A253)-FYStart,12)+1)</f>
        <v/>
      </c>
      <c r="U253" s="37" t="str">
        <f aca="false">IF(A253="","",TEXT(A253,"mmm"))</f>
        <v/>
      </c>
      <c r="V253" s="37" t="str">
        <f aca="false">IF(Q253="","",IFERROR(INDEX(Settings!$I$11:$I$15,MATCH(Q253,Settings!$H$11:$H$15,0)),"No"))</f>
        <v/>
      </c>
      <c r="W253" s="37" t="str">
        <f aca="false">IF(Q253="","",IFERROR(INDEX(Settings!$J$11:$J$15,MATCH(Q253,Settings!$H$11:$H$15,0)),"No"))</f>
        <v/>
      </c>
    </row>
    <row r="254" customFormat="false" ht="15" hidden="false" customHeight="false" outlineLevel="0" collapsed="false">
      <c r="A254" s="30"/>
      <c r="B254" s="25"/>
      <c r="C254" s="25"/>
      <c r="D254" s="25"/>
      <c r="E254" s="25"/>
      <c r="F254" s="25"/>
      <c r="G254" s="25"/>
      <c r="H254" s="31"/>
      <c r="I254" s="32"/>
      <c r="J254" s="33"/>
      <c r="K254" s="34" t="str">
        <f aca="false">IF(OR(H254="",I254=""),"",H254*I254*(1-N(J254)))</f>
        <v/>
      </c>
      <c r="L254" s="32"/>
      <c r="M254" s="34" t="str">
        <f aca="false">IF(OR(H254="",L254=""),"",H254*L254)</f>
        <v/>
      </c>
      <c r="N254" s="34" t="str">
        <f aca="false">IF(OR(K254="",M254=""),"",K254-M254)</f>
        <v/>
      </c>
      <c r="O254" s="35" t="str">
        <f aca="false">IF(OR(N254="",K254=""),"",IF(K254=0,"",N254/K254))</f>
        <v/>
      </c>
      <c r="P254" s="25"/>
      <c r="Q254" s="25"/>
      <c r="R254" s="25"/>
      <c r="S254" s="36" t="str">
        <f aca="false">IF(A254="","",YEAR(A254)+IF(AND(FYStart&gt;1,MONTH(A254)&gt;=FYStart),1,0))</f>
        <v/>
      </c>
      <c r="T254" s="36" t="str">
        <f aca="false">IF(A254="","",MOD(MONTH(A254)-FYStart,12)+1)</f>
        <v/>
      </c>
      <c r="U254" s="37" t="str">
        <f aca="false">IF(A254="","",TEXT(A254,"mmm"))</f>
        <v/>
      </c>
      <c r="V254" s="37" t="str">
        <f aca="false">IF(Q254="","",IFERROR(INDEX(Settings!$I$11:$I$15,MATCH(Q254,Settings!$H$11:$H$15,0)),"No"))</f>
        <v/>
      </c>
      <c r="W254" s="37" t="str">
        <f aca="false">IF(Q254="","",IFERROR(INDEX(Settings!$J$11:$J$15,MATCH(Q254,Settings!$H$11:$H$15,0)),"No"))</f>
        <v/>
      </c>
    </row>
    <row r="255" customFormat="false" ht="15" hidden="false" customHeight="false" outlineLevel="0" collapsed="false">
      <c r="A255" s="30"/>
      <c r="B255" s="25"/>
      <c r="C255" s="25"/>
      <c r="D255" s="25"/>
      <c r="E255" s="25"/>
      <c r="F255" s="25"/>
      <c r="G255" s="25"/>
      <c r="H255" s="31"/>
      <c r="I255" s="32"/>
      <c r="J255" s="33"/>
      <c r="K255" s="34" t="str">
        <f aca="false">IF(OR(H255="",I255=""),"",H255*I255*(1-N(J255)))</f>
        <v/>
      </c>
      <c r="L255" s="32"/>
      <c r="M255" s="34" t="str">
        <f aca="false">IF(OR(H255="",L255=""),"",H255*L255)</f>
        <v/>
      </c>
      <c r="N255" s="34" t="str">
        <f aca="false">IF(OR(K255="",M255=""),"",K255-M255)</f>
        <v/>
      </c>
      <c r="O255" s="35" t="str">
        <f aca="false">IF(OR(N255="",K255=""),"",IF(K255=0,"",N255/K255))</f>
        <v/>
      </c>
      <c r="P255" s="25"/>
      <c r="Q255" s="25"/>
      <c r="R255" s="25"/>
      <c r="S255" s="36" t="str">
        <f aca="false">IF(A255="","",YEAR(A255)+IF(AND(FYStart&gt;1,MONTH(A255)&gt;=FYStart),1,0))</f>
        <v/>
      </c>
      <c r="T255" s="36" t="str">
        <f aca="false">IF(A255="","",MOD(MONTH(A255)-FYStart,12)+1)</f>
        <v/>
      </c>
      <c r="U255" s="37" t="str">
        <f aca="false">IF(A255="","",TEXT(A255,"mmm"))</f>
        <v/>
      </c>
      <c r="V255" s="37" t="str">
        <f aca="false">IF(Q255="","",IFERROR(INDEX(Settings!$I$11:$I$15,MATCH(Q255,Settings!$H$11:$H$15,0)),"No"))</f>
        <v/>
      </c>
      <c r="W255" s="37" t="str">
        <f aca="false">IF(Q255="","",IFERROR(INDEX(Settings!$J$11:$J$15,MATCH(Q255,Settings!$H$11:$H$15,0)),"No"))</f>
        <v/>
      </c>
    </row>
    <row r="256" customFormat="false" ht="15" hidden="false" customHeight="false" outlineLevel="0" collapsed="false">
      <c r="A256" s="30"/>
      <c r="B256" s="25"/>
      <c r="C256" s="25"/>
      <c r="D256" s="25"/>
      <c r="E256" s="25"/>
      <c r="F256" s="25"/>
      <c r="G256" s="25"/>
      <c r="H256" s="31"/>
      <c r="I256" s="32"/>
      <c r="J256" s="33"/>
      <c r="K256" s="34" t="str">
        <f aca="false">IF(OR(H256="",I256=""),"",H256*I256*(1-N(J256)))</f>
        <v/>
      </c>
      <c r="L256" s="32"/>
      <c r="M256" s="34" t="str">
        <f aca="false">IF(OR(H256="",L256=""),"",H256*L256)</f>
        <v/>
      </c>
      <c r="N256" s="34" t="str">
        <f aca="false">IF(OR(K256="",M256=""),"",K256-M256)</f>
        <v/>
      </c>
      <c r="O256" s="35" t="str">
        <f aca="false">IF(OR(N256="",K256=""),"",IF(K256=0,"",N256/K256))</f>
        <v/>
      </c>
      <c r="P256" s="25"/>
      <c r="Q256" s="25"/>
      <c r="R256" s="25"/>
      <c r="S256" s="36" t="str">
        <f aca="false">IF(A256="","",YEAR(A256)+IF(AND(FYStart&gt;1,MONTH(A256)&gt;=FYStart),1,0))</f>
        <v/>
      </c>
      <c r="T256" s="36" t="str">
        <f aca="false">IF(A256="","",MOD(MONTH(A256)-FYStart,12)+1)</f>
        <v/>
      </c>
      <c r="U256" s="37" t="str">
        <f aca="false">IF(A256="","",TEXT(A256,"mmm"))</f>
        <v/>
      </c>
      <c r="V256" s="37" t="str">
        <f aca="false">IF(Q256="","",IFERROR(INDEX(Settings!$I$11:$I$15,MATCH(Q256,Settings!$H$11:$H$15,0)),"No"))</f>
        <v/>
      </c>
      <c r="W256" s="37" t="str">
        <f aca="false">IF(Q256="","",IFERROR(INDEX(Settings!$J$11:$J$15,MATCH(Q256,Settings!$H$11:$H$15,0)),"No"))</f>
        <v/>
      </c>
    </row>
    <row r="257" customFormat="false" ht="15" hidden="false" customHeight="false" outlineLevel="0" collapsed="false">
      <c r="A257" s="30"/>
      <c r="B257" s="25"/>
      <c r="C257" s="25"/>
      <c r="D257" s="25"/>
      <c r="E257" s="25"/>
      <c r="F257" s="25"/>
      <c r="G257" s="25"/>
      <c r="H257" s="31"/>
      <c r="I257" s="32"/>
      <c r="J257" s="33"/>
      <c r="K257" s="34" t="str">
        <f aca="false">IF(OR(H257="",I257=""),"",H257*I257*(1-N(J257)))</f>
        <v/>
      </c>
      <c r="L257" s="32"/>
      <c r="M257" s="34" t="str">
        <f aca="false">IF(OR(H257="",L257=""),"",H257*L257)</f>
        <v/>
      </c>
      <c r="N257" s="34" t="str">
        <f aca="false">IF(OR(K257="",M257=""),"",K257-M257)</f>
        <v/>
      </c>
      <c r="O257" s="35" t="str">
        <f aca="false">IF(OR(N257="",K257=""),"",IF(K257=0,"",N257/K257))</f>
        <v/>
      </c>
      <c r="P257" s="25"/>
      <c r="Q257" s="25"/>
      <c r="R257" s="25"/>
      <c r="S257" s="36" t="str">
        <f aca="false">IF(A257="","",YEAR(A257)+IF(AND(FYStart&gt;1,MONTH(A257)&gt;=FYStart),1,0))</f>
        <v/>
      </c>
      <c r="T257" s="36" t="str">
        <f aca="false">IF(A257="","",MOD(MONTH(A257)-FYStart,12)+1)</f>
        <v/>
      </c>
      <c r="U257" s="37" t="str">
        <f aca="false">IF(A257="","",TEXT(A257,"mmm"))</f>
        <v/>
      </c>
      <c r="V257" s="37" t="str">
        <f aca="false">IF(Q257="","",IFERROR(INDEX(Settings!$I$11:$I$15,MATCH(Q257,Settings!$H$11:$H$15,0)),"No"))</f>
        <v/>
      </c>
      <c r="W257" s="37" t="str">
        <f aca="false">IF(Q257="","",IFERROR(INDEX(Settings!$J$11:$J$15,MATCH(Q257,Settings!$H$11:$H$15,0)),"No"))</f>
        <v/>
      </c>
    </row>
    <row r="258" customFormat="false" ht="15" hidden="false" customHeight="false" outlineLevel="0" collapsed="false">
      <c r="A258" s="30"/>
      <c r="B258" s="25"/>
      <c r="C258" s="25"/>
      <c r="D258" s="25"/>
      <c r="E258" s="25"/>
      <c r="F258" s="25"/>
      <c r="G258" s="25"/>
      <c r="H258" s="31"/>
      <c r="I258" s="32"/>
      <c r="J258" s="33"/>
      <c r="K258" s="34" t="str">
        <f aca="false">IF(OR(H258="",I258=""),"",H258*I258*(1-N(J258)))</f>
        <v/>
      </c>
      <c r="L258" s="32"/>
      <c r="M258" s="34" t="str">
        <f aca="false">IF(OR(H258="",L258=""),"",H258*L258)</f>
        <v/>
      </c>
      <c r="N258" s="34" t="str">
        <f aca="false">IF(OR(K258="",M258=""),"",K258-M258)</f>
        <v/>
      </c>
      <c r="O258" s="35" t="str">
        <f aca="false">IF(OR(N258="",K258=""),"",IF(K258=0,"",N258/K258))</f>
        <v/>
      </c>
      <c r="P258" s="25"/>
      <c r="Q258" s="25"/>
      <c r="R258" s="25"/>
      <c r="S258" s="36" t="str">
        <f aca="false">IF(A258="","",YEAR(A258)+IF(AND(FYStart&gt;1,MONTH(A258)&gt;=FYStart),1,0))</f>
        <v/>
      </c>
      <c r="T258" s="36" t="str">
        <f aca="false">IF(A258="","",MOD(MONTH(A258)-FYStart,12)+1)</f>
        <v/>
      </c>
      <c r="U258" s="37" t="str">
        <f aca="false">IF(A258="","",TEXT(A258,"mmm"))</f>
        <v/>
      </c>
      <c r="V258" s="37" t="str">
        <f aca="false">IF(Q258="","",IFERROR(INDEX(Settings!$I$11:$I$15,MATCH(Q258,Settings!$H$11:$H$15,0)),"No"))</f>
        <v/>
      </c>
      <c r="W258" s="37" t="str">
        <f aca="false">IF(Q258="","",IFERROR(INDEX(Settings!$J$11:$J$15,MATCH(Q258,Settings!$H$11:$H$15,0)),"No"))</f>
        <v/>
      </c>
    </row>
    <row r="259" customFormat="false" ht="15" hidden="false" customHeight="false" outlineLevel="0" collapsed="false">
      <c r="A259" s="30"/>
      <c r="B259" s="25"/>
      <c r="C259" s="25"/>
      <c r="D259" s="25"/>
      <c r="E259" s="25"/>
      <c r="F259" s="25"/>
      <c r="G259" s="25"/>
      <c r="H259" s="31"/>
      <c r="I259" s="32"/>
      <c r="J259" s="33"/>
      <c r="K259" s="34" t="str">
        <f aca="false">IF(OR(H259="",I259=""),"",H259*I259*(1-N(J259)))</f>
        <v/>
      </c>
      <c r="L259" s="32"/>
      <c r="M259" s="34" t="str">
        <f aca="false">IF(OR(H259="",L259=""),"",H259*L259)</f>
        <v/>
      </c>
      <c r="N259" s="34" t="str">
        <f aca="false">IF(OR(K259="",M259=""),"",K259-M259)</f>
        <v/>
      </c>
      <c r="O259" s="35" t="str">
        <f aca="false">IF(OR(N259="",K259=""),"",IF(K259=0,"",N259/K259))</f>
        <v/>
      </c>
      <c r="P259" s="25"/>
      <c r="Q259" s="25"/>
      <c r="R259" s="25"/>
      <c r="S259" s="36" t="str">
        <f aca="false">IF(A259="","",YEAR(A259)+IF(AND(FYStart&gt;1,MONTH(A259)&gt;=FYStart),1,0))</f>
        <v/>
      </c>
      <c r="T259" s="36" t="str">
        <f aca="false">IF(A259="","",MOD(MONTH(A259)-FYStart,12)+1)</f>
        <v/>
      </c>
      <c r="U259" s="37" t="str">
        <f aca="false">IF(A259="","",TEXT(A259,"mmm"))</f>
        <v/>
      </c>
      <c r="V259" s="37" t="str">
        <f aca="false">IF(Q259="","",IFERROR(INDEX(Settings!$I$11:$I$15,MATCH(Q259,Settings!$H$11:$H$15,0)),"No"))</f>
        <v/>
      </c>
      <c r="W259" s="37" t="str">
        <f aca="false">IF(Q259="","",IFERROR(INDEX(Settings!$J$11:$J$15,MATCH(Q259,Settings!$H$11:$H$15,0)),"No"))</f>
        <v/>
      </c>
    </row>
    <row r="260" customFormat="false" ht="15" hidden="false" customHeight="false" outlineLevel="0" collapsed="false">
      <c r="A260" s="30"/>
      <c r="B260" s="25"/>
      <c r="C260" s="25"/>
      <c r="D260" s="25"/>
      <c r="E260" s="25"/>
      <c r="F260" s="25"/>
      <c r="G260" s="25"/>
      <c r="H260" s="31"/>
      <c r="I260" s="32"/>
      <c r="J260" s="33"/>
      <c r="K260" s="34" t="str">
        <f aca="false">IF(OR(H260="",I260=""),"",H260*I260*(1-N(J260)))</f>
        <v/>
      </c>
      <c r="L260" s="32"/>
      <c r="M260" s="34" t="str">
        <f aca="false">IF(OR(H260="",L260=""),"",H260*L260)</f>
        <v/>
      </c>
      <c r="N260" s="34" t="str">
        <f aca="false">IF(OR(K260="",M260=""),"",K260-M260)</f>
        <v/>
      </c>
      <c r="O260" s="35" t="str">
        <f aca="false">IF(OR(N260="",K260=""),"",IF(K260=0,"",N260/K260))</f>
        <v/>
      </c>
      <c r="P260" s="25"/>
      <c r="Q260" s="25"/>
      <c r="R260" s="25"/>
      <c r="S260" s="36" t="str">
        <f aca="false">IF(A260="","",YEAR(A260)+IF(AND(FYStart&gt;1,MONTH(A260)&gt;=FYStart),1,0))</f>
        <v/>
      </c>
      <c r="T260" s="36" t="str">
        <f aca="false">IF(A260="","",MOD(MONTH(A260)-FYStart,12)+1)</f>
        <v/>
      </c>
      <c r="U260" s="37" t="str">
        <f aca="false">IF(A260="","",TEXT(A260,"mmm"))</f>
        <v/>
      </c>
      <c r="V260" s="37" t="str">
        <f aca="false">IF(Q260="","",IFERROR(INDEX(Settings!$I$11:$I$15,MATCH(Q260,Settings!$H$11:$H$15,0)),"No"))</f>
        <v/>
      </c>
      <c r="W260" s="37" t="str">
        <f aca="false">IF(Q260="","",IFERROR(INDEX(Settings!$J$11:$J$15,MATCH(Q260,Settings!$H$11:$H$15,0)),"No"))</f>
        <v/>
      </c>
    </row>
    <row r="261" customFormat="false" ht="15" hidden="false" customHeight="false" outlineLevel="0" collapsed="false">
      <c r="A261" s="30"/>
      <c r="B261" s="25"/>
      <c r="C261" s="25"/>
      <c r="D261" s="25"/>
      <c r="E261" s="25"/>
      <c r="F261" s="25"/>
      <c r="G261" s="25"/>
      <c r="H261" s="31"/>
      <c r="I261" s="32"/>
      <c r="J261" s="33"/>
      <c r="K261" s="34" t="str">
        <f aca="false">IF(OR(H261="",I261=""),"",H261*I261*(1-N(J261)))</f>
        <v/>
      </c>
      <c r="L261" s="32"/>
      <c r="M261" s="34" t="str">
        <f aca="false">IF(OR(H261="",L261=""),"",H261*L261)</f>
        <v/>
      </c>
      <c r="N261" s="34" t="str">
        <f aca="false">IF(OR(K261="",M261=""),"",K261-M261)</f>
        <v/>
      </c>
      <c r="O261" s="35" t="str">
        <f aca="false">IF(OR(N261="",K261=""),"",IF(K261=0,"",N261/K261))</f>
        <v/>
      </c>
      <c r="P261" s="25"/>
      <c r="Q261" s="25"/>
      <c r="R261" s="25"/>
      <c r="S261" s="36" t="str">
        <f aca="false">IF(A261="","",YEAR(A261)+IF(AND(FYStart&gt;1,MONTH(A261)&gt;=FYStart),1,0))</f>
        <v/>
      </c>
      <c r="T261" s="36" t="str">
        <f aca="false">IF(A261="","",MOD(MONTH(A261)-FYStart,12)+1)</f>
        <v/>
      </c>
      <c r="U261" s="37" t="str">
        <f aca="false">IF(A261="","",TEXT(A261,"mmm"))</f>
        <v/>
      </c>
      <c r="V261" s="37" t="str">
        <f aca="false">IF(Q261="","",IFERROR(INDEX(Settings!$I$11:$I$15,MATCH(Q261,Settings!$H$11:$H$15,0)),"No"))</f>
        <v/>
      </c>
      <c r="W261" s="37" t="str">
        <f aca="false">IF(Q261="","",IFERROR(INDEX(Settings!$J$11:$J$15,MATCH(Q261,Settings!$H$11:$H$15,0)),"No"))</f>
        <v/>
      </c>
    </row>
    <row r="262" customFormat="false" ht="15" hidden="false" customHeight="false" outlineLevel="0" collapsed="false">
      <c r="A262" s="30"/>
      <c r="B262" s="25"/>
      <c r="C262" s="25"/>
      <c r="D262" s="25"/>
      <c r="E262" s="25"/>
      <c r="F262" s="25"/>
      <c r="G262" s="25"/>
      <c r="H262" s="31"/>
      <c r="I262" s="32"/>
      <c r="J262" s="33"/>
      <c r="K262" s="34" t="str">
        <f aca="false">IF(OR(H262="",I262=""),"",H262*I262*(1-N(J262)))</f>
        <v/>
      </c>
      <c r="L262" s="32"/>
      <c r="M262" s="34" t="str">
        <f aca="false">IF(OR(H262="",L262=""),"",H262*L262)</f>
        <v/>
      </c>
      <c r="N262" s="34" t="str">
        <f aca="false">IF(OR(K262="",M262=""),"",K262-M262)</f>
        <v/>
      </c>
      <c r="O262" s="35" t="str">
        <f aca="false">IF(OR(N262="",K262=""),"",IF(K262=0,"",N262/K262))</f>
        <v/>
      </c>
      <c r="P262" s="25"/>
      <c r="Q262" s="25"/>
      <c r="R262" s="25"/>
      <c r="S262" s="36" t="str">
        <f aca="false">IF(A262="","",YEAR(A262)+IF(AND(FYStart&gt;1,MONTH(A262)&gt;=FYStart),1,0))</f>
        <v/>
      </c>
      <c r="T262" s="36" t="str">
        <f aca="false">IF(A262="","",MOD(MONTH(A262)-FYStart,12)+1)</f>
        <v/>
      </c>
      <c r="U262" s="37" t="str">
        <f aca="false">IF(A262="","",TEXT(A262,"mmm"))</f>
        <v/>
      </c>
      <c r="V262" s="37" t="str">
        <f aca="false">IF(Q262="","",IFERROR(INDEX(Settings!$I$11:$I$15,MATCH(Q262,Settings!$H$11:$H$15,0)),"No"))</f>
        <v/>
      </c>
      <c r="W262" s="37" t="str">
        <f aca="false">IF(Q262="","",IFERROR(INDEX(Settings!$J$11:$J$15,MATCH(Q262,Settings!$H$11:$H$15,0)),"No"))</f>
        <v/>
      </c>
    </row>
    <row r="263" customFormat="false" ht="15" hidden="false" customHeight="false" outlineLevel="0" collapsed="false">
      <c r="A263" s="30"/>
      <c r="B263" s="25"/>
      <c r="C263" s="25"/>
      <c r="D263" s="25"/>
      <c r="E263" s="25"/>
      <c r="F263" s="25"/>
      <c r="G263" s="25"/>
      <c r="H263" s="31"/>
      <c r="I263" s="32"/>
      <c r="J263" s="33"/>
      <c r="K263" s="34" t="str">
        <f aca="false">IF(OR(H263="",I263=""),"",H263*I263*(1-N(J263)))</f>
        <v/>
      </c>
      <c r="L263" s="32"/>
      <c r="M263" s="34" t="str">
        <f aca="false">IF(OR(H263="",L263=""),"",H263*L263)</f>
        <v/>
      </c>
      <c r="N263" s="34" t="str">
        <f aca="false">IF(OR(K263="",M263=""),"",K263-M263)</f>
        <v/>
      </c>
      <c r="O263" s="35" t="str">
        <f aca="false">IF(OR(N263="",K263=""),"",IF(K263=0,"",N263/K263))</f>
        <v/>
      </c>
      <c r="P263" s="25"/>
      <c r="Q263" s="25"/>
      <c r="R263" s="25"/>
      <c r="S263" s="36" t="str">
        <f aca="false">IF(A263="","",YEAR(A263)+IF(AND(FYStart&gt;1,MONTH(A263)&gt;=FYStart),1,0))</f>
        <v/>
      </c>
      <c r="T263" s="36" t="str">
        <f aca="false">IF(A263="","",MOD(MONTH(A263)-FYStart,12)+1)</f>
        <v/>
      </c>
      <c r="U263" s="37" t="str">
        <f aca="false">IF(A263="","",TEXT(A263,"mmm"))</f>
        <v/>
      </c>
      <c r="V263" s="37" t="str">
        <f aca="false">IF(Q263="","",IFERROR(INDEX(Settings!$I$11:$I$15,MATCH(Q263,Settings!$H$11:$H$15,0)),"No"))</f>
        <v/>
      </c>
      <c r="W263" s="37" t="str">
        <f aca="false">IF(Q263="","",IFERROR(INDEX(Settings!$J$11:$J$15,MATCH(Q263,Settings!$H$11:$H$15,0)),"No"))</f>
        <v/>
      </c>
    </row>
    <row r="264" customFormat="false" ht="15" hidden="false" customHeight="false" outlineLevel="0" collapsed="false">
      <c r="A264" s="30"/>
      <c r="B264" s="25"/>
      <c r="C264" s="25"/>
      <c r="D264" s="25"/>
      <c r="E264" s="25"/>
      <c r="F264" s="25"/>
      <c r="G264" s="25"/>
      <c r="H264" s="31"/>
      <c r="I264" s="32"/>
      <c r="J264" s="33"/>
      <c r="K264" s="34" t="str">
        <f aca="false">IF(OR(H264="",I264=""),"",H264*I264*(1-N(J264)))</f>
        <v/>
      </c>
      <c r="L264" s="32"/>
      <c r="M264" s="34" t="str">
        <f aca="false">IF(OR(H264="",L264=""),"",H264*L264)</f>
        <v/>
      </c>
      <c r="N264" s="34" t="str">
        <f aca="false">IF(OR(K264="",M264=""),"",K264-M264)</f>
        <v/>
      </c>
      <c r="O264" s="35" t="str">
        <f aca="false">IF(OR(N264="",K264=""),"",IF(K264=0,"",N264/K264))</f>
        <v/>
      </c>
      <c r="P264" s="25"/>
      <c r="Q264" s="25"/>
      <c r="R264" s="25"/>
      <c r="S264" s="36" t="str">
        <f aca="false">IF(A264="","",YEAR(A264)+IF(AND(FYStart&gt;1,MONTH(A264)&gt;=FYStart),1,0))</f>
        <v/>
      </c>
      <c r="T264" s="36" t="str">
        <f aca="false">IF(A264="","",MOD(MONTH(A264)-FYStart,12)+1)</f>
        <v/>
      </c>
      <c r="U264" s="37" t="str">
        <f aca="false">IF(A264="","",TEXT(A264,"mmm"))</f>
        <v/>
      </c>
      <c r="V264" s="37" t="str">
        <f aca="false">IF(Q264="","",IFERROR(INDEX(Settings!$I$11:$I$15,MATCH(Q264,Settings!$H$11:$H$15,0)),"No"))</f>
        <v/>
      </c>
      <c r="W264" s="37" t="str">
        <f aca="false">IF(Q264="","",IFERROR(INDEX(Settings!$J$11:$J$15,MATCH(Q264,Settings!$H$11:$H$15,0)),"No"))</f>
        <v/>
      </c>
    </row>
    <row r="265" customFormat="false" ht="15" hidden="false" customHeight="false" outlineLevel="0" collapsed="false">
      <c r="A265" s="30"/>
      <c r="B265" s="25"/>
      <c r="C265" s="25"/>
      <c r="D265" s="25"/>
      <c r="E265" s="25"/>
      <c r="F265" s="25"/>
      <c r="G265" s="25"/>
      <c r="H265" s="31"/>
      <c r="I265" s="32"/>
      <c r="J265" s="33"/>
      <c r="K265" s="34" t="str">
        <f aca="false">IF(OR(H265="",I265=""),"",H265*I265*(1-N(J265)))</f>
        <v/>
      </c>
      <c r="L265" s="32"/>
      <c r="M265" s="34" t="str">
        <f aca="false">IF(OR(H265="",L265=""),"",H265*L265)</f>
        <v/>
      </c>
      <c r="N265" s="34" t="str">
        <f aca="false">IF(OR(K265="",M265=""),"",K265-M265)</f>
        <v/>
      </c>
      <c r="O265" s="35" t="str">
        <f aca="false">IF(OR(N265="",K265=""),"",IF(K265=0,"",N265/K265))</f>
        <v/>
      </c>
      <c r="P265" s="25"/>
      <c r="Q265" s="25"/>
      <c r="R265" s="25"/>
      <c r="S265" s="36" t="str">
        <f aca="false">IF(A265="","",YEAR(A265)+IF(AND(FYStart&gt;1,MONTH(A265)&gt;=FYStart),1,0))</f>
        <v/>
      </c>
      <c r="T265" s="36" t="str">
        <f aca="false">IF(A265="","",MOD(MONTH(A265)-FYStart,12)+1)</f>
        <v/>
      </c>
      <c r="U265" s="37" t="str">
        <f aca="false">IF(A265="","",TEXT(A265,"mmm"))</f>
        <v/>
      </c>
      <c r="V265" s="37" t="str">
        <f aca="false">IF(Q265="","",IFERROR(INDEX(Settings!$I$11:$I$15,MATCH(Q265,Settings!$H$11:$H$15,0)),"No"))</f>
        <v/>
      </c>
      <c r="W265" s="37" t="str">
        <f aca="false">IF(Q265="","",IFERROR(INDEX(Settings!$J$11:$J$15,MATCH(Q265,Settings!$H$11:$H$15,0)),"No"))</f>
        <v/>
      </c>
    </row>
    <row r="266" customFormat="false" ht="15" hidden="false" customHeight="false" outlineLevel="0" collapsed="false">
      <c r="A266" s="30"/>
      <c r="B266" s="25"/>
      <c r="C266" s="25"/>
      <c r="D266" s="25"/>
      <c r="E266" s="25"/>
      <c r="F266" s="25"/>
      <c r="G266" s="25"/>
      <c r="H266" s="31"/>
      <c r="I266" s="32"/>
      <c r="J266" s="33"/>
      <c r="K266" s="34" t="str">
        <f aca="false">IF(OR(H266="",I266=""),"",H266*I266*(1-N(J266)))</f>
        <v/>
      </c>
      <c r="L266" s="32"/>
      <c r="M266" s="34" t="str">
        <f aca="false">IF(OR(H266="",L266=""),"",H266*L266)</f>
        <v/>
      </c>
      <c r="N266" s="34" t="str">
        <f aca="false">IF(OR(K266="",M266=""),"",K266-M266)</f>
        <v/>
      </c>
      <c r="O266" s="35" t="str">
        <f aca="false">IF(OR(N266="",K266=""),"",IF(K266=0,"",N266/K266))</f>
        <v/>
      </c>
      <c r="P266" s="25"/>
      <c r="Q266" s="25"/>
      <c r="R266" s="25"/>
      <c r="S266" s="36" t="str">
        <f aca="false">IF(A266="","",YEAR(A266)+IF(AND(FYStart&gt;1,MONTH(A266)&gt;=FYStart),1,0))</f>
        <v/>
      </c>
      <c r="T266" s="36" t="str">
        <f aca="false">IF(A266="","",MOD(MONTH(A266)-FYStart,12)+1)</f>
        <v/>
      </c>
      <c r="U266" s="37" t="str">
        <f aca="false">IF(A266="","",TEXT(A266,"mmm"))</f>
        <v/>
      </c>
      <c r="V266" s="37" t="str">
        <f aca="false">IF(Q266="","",IFERROR(INDEX(Settings!$I$11:$I$15,MATCH(Q266,Settings!$H$11:$H$15,0)),"No"))</f>
        <v/>
      </c>
      <c r="W266" s="37" t="str">
        <f aca="false">IF(Q266="","",IFERROR(INDEX(Settings!$J$11:$J$15,MATCH(Q266,Settings!$H$11:$H$15,0)),"No"))</f>
        <v/>
      </c>
    </row>
    <row r="267" customFormat="false" ht="15" hidden="false" customHeight="false" outlineLevel="0" collapsed="false">
      <c r="A267" s="30"/>
      <c r="B267" s="25"/>
      <c r="C267" s="25"/>
      <c r="D267" s="25"/>
      <c r="E267" s="25"/>
      <c r="F267" s="25"/>
      <c r="G267" s="25"/>
      <c r="H267" s="31"/>
      <c r="I267" s="32"/>
      <c r="J267" s="33"/>
      <c r="K267" s="34" t="str">
        <f aca="false">IF(OR(H267="",I267=""),"",H267*I267*(1-N(J267)))</f>
        <v/>
      </c>
      <c r="L267" s="32"/>
      <c r="M267" s="34" t="str">
        <f aca="false">IF(OR(H267="",L267=""),"",H267*L267)</f>
        <v/>
      </c>
      <c r="N267" s="34" t="str">
        <f aca="false">IF(OR(K267="",M267=""),"",K267-M267)</f>
        <v/>
      </c>
      <c r="O267" s="35" t="str">
        <f aca="false">IF(OR(N267="",K267=""),"",IF(K267=0,"",N267/K267))</f>
        <v/>
      </c>
      <c r="P267" s="25"/>
      <c r="Q267" s="25"/>
      <c r="R267" s="25"/>
      <c r="S267" s="36" t="str">
        <f aca="false">IF(A267="","",YEAR(A267)+IF(AND(FYStart&gt;1,MONTH(A267)&gt;=FYStart),1,0))</f>
        <v/>
      </c>
      <c r="T267" s="36" t="str">
        <f aca="false">IF(A267="","",MOD(MONTH(A267)-FYStart,12)+1)</f>
        <v/>
      </c>
      <c r="U267" s="37" t="str">
        <f aca="false">IF(A267="","",TEXT(A267,"mmm"))</f>
        <v/>
      </c>
      <c r="V267" s="37" t="str">
        <f aca="false">IF(Q267="","",IFERROR(INDEX(Settings!$I$11:$I$15,MATCH(Q267,Settings!$H$11:$H$15,0)),"No"))</f>
        <v/>
      </c>
      <c r="W267" s="37" t="str">
        <f aca="false">IF(Q267="","",IFERROR(INDEX(Settings!$J$11:$J$15,MATCH(Q267,Settings!$H$11:$H$15,0)),"No"))</f>
        <v/>
      </c>
    </row>
    <row r="268" customFormat="false" ht="15" hidden="false" customHeight="false" outlineLevel="0" collapsed="false">
      <c r="A268" s="30"/>
      <c r="B268" s="25"/>
      <c r="C268" s="25"/>
      <c r="D268" s="25"/>
      <c r="E268" s="25"/>
      <c r="F268" s="25"/>
      <c r="G268" s="25"/>
      <c r="H268" s="31"/>
      <c r="I268" s="32"/>
      <c r="J268" s="33"/>
      <c r="K268" s="34" t="str">
        <f aca="false">IF(OR(H268="",I268=""),"",H268*I268*(1-N(J268)))</f>
        <v/>
      </c>
      <c r="L268" s="32"/>
      <c r="M268" s="34" t="str">
        <f aca="false">IF(OR(H268="",L268=""),"",H268*L268)</f>
        <v/>
      </c>
      <c r="N268" s="34" t="str">
        <f aca="false">IF(OR(K268="",M268=""),"",K268-M268)</f>
        <v/>
      </c>
      <c r="O268" s="35" t="str">
        <f aca="false">IF(OR(N268="",K268=""),"",IF(K268=0,"",N268/K268))</f>
        <v/>
      </c>
      <c r="P268" s="25"/>
      <c r="Q268" s="25"/>
      <c r="R268" s="25"/>
      <c r="S268" s="36" t="str">
        <f aca="false">IF(A268="","",YEAR(A268)+IF(AND(FYStart&gt;1,MONTH(A268)&gt;=FYStart),1,0))</f>
        <v/>
      </c>
      <c r="T268" s="36" t="str">
        <f aca="false">IF(A268="","",MOD(MONTH(A268)-FYStart,12)+1)</f>
        <v/>
      </c>
      <c r="U268" s="37" t="str">
        <f aca="false">IF(A268="","",TEXT(A268,"mmm"))</f>
        <v/>
      </c>
      <c r="V268" s="37" t="str">
        <f aca="false">IF(Q268="","",IFERROR(INDEX(Settings!$I$11:$I$15,MATCH(Q268,Settings!$H$11:$H$15,0)),"No"))</f>
        <v/>
      </c>
      <c r="W268" s="37" t="str">
        <f aca="false">IF(Q268="","",IFERROR(INDEX(Settings!$J$11:$J$15,MATCH(Q268,Settings!$H$11:$H$15,0)),"No"))</f>
        <v/>
      </c>
    </row>
    <row r="269" customFormat="false" ht="15" hidden="false" customHeight="false" outlineLevel="0" collapsed="false">
      <c r="A269" s="30"/>
      <c r="B269" s="25"/>
      <c r="C269" s="25"/>
      <c r="D269" s="25"/>
      <c r="E269" s="25"/>
      <c r="F269" s="25"/>
      <c r="G269" s="25"/>
      <c r="H269" s="31"/>
      <c r="I269" s="32"/>
      <c r="J269" s="33"/>
      <c r="K269" s="34" t="str">
        <f aca="false">IF(OR(H269="",I269=""),"",H269*I269*(1-N(J269)))</f>
        <v/>
      </c>
      <c r="L269" s="32"/>
      <c r="M269" s="34" t="str">
        <f aca="false">IF(OR(H269="",L269=""),"",H269*L269)</f>
        <v/>
      </c>
      <c r="N269" s="34" t="str">
        <f aca="false">IF(OR(K269="",M269=""),"",K269-M269)</f>
        <v/>
      </c>
      <c r="O269" s="35" t="str">
        <f aca="false">IF(OR(N269="",K269=""),"",IF(K269=0,"",N269/K269))</f>
        <v/>
      </c>
      <c r="P269" s="25"/>
      <c r="Q269" s="25"/>
      <c r="R269" s="25"/>
      <c r="S269" s="36" t="str">
        <f aca="false">IF(A269="","",YEAR(A269)+IF(AND(FYStart&gt;1,MONTH(A269)&gt;=FYStart),1,0))</f>
        <v/>
      </c>
      <c r="T269" s="36" t="str">
        <f aca="false">IF(A269="","",MOD(MONTH(A269)-FYStart,12)+1)</f>
        <v/>
      </c>
      <c r="U269" s="37" t="str">
        <f aca="false">IF(A269="","",TEXT(A269,"mmm"))</f>
        <v/>
      </c>
      <c r="V269" s="37" t="str">
        <f aca="false">IF(Q269="","",IFERROR(INDEX(Settings!$I$11:$I$15,MATCH(Q269,Settings!$H$11:$H$15,0)),"No"))</f>
        <v/>
      </c>
      <c r="W269" s="37" t="str">
        <f aca="false">IF(Q269="","",IFERROR(INDEX(Settings!$J$11:$J$15,MATCH(Q269,Settings!$H$11:$H$15,0)),"No"))</f>
        <v/>
      </c>
    </row>
    <row r="270" customFormat="false" ht="15" hidden="false" customHeight="false" outlineLevel="0" collapsed="false">
      <c r="A270" s="30"/>
      <c r="B270" s="25"/>
      <c r="C270" s="25"/>
      <c r="D270" s="25"/>
      <c r="E270" s="25"/>
      <c r="F270" s="25"/>
      <c r="G270" s="25"/>
      <c r="H270" s="31"/>
      <c r="I270" s="32"/>
      <c r="J270" s="33"/>
      <c r="K270" s="34" t="str">
        <f aca="false">IF(OR(H270="",I270=""),"",H270*I270*(1-N(J270)))</f>
        <v/>
      </c>
      <c r="L270" s="32"/>
      <c r="M270" s="34" t="str">
        <f aca="false">IF(OR(H270="",L270=""),"",H270*L270)</f>
        <v/>
      </c>
      <c r="N270" s="34" t="str">
        <f aca="false">IF(OR(K270="",M270=""),"",K270-M270)</f>
        <v/>
      </c>
      <c r="O270" s="35" t="str">
        <f aca="false">IF(OR(N270="",K270=""),"",IF(K270=0,"",N270/K270))</f>
        <v/>
      </c>
      <c r="P270" s="25"/>
      <c r="Q270" s="25"/>
      <c r="R270" s="25"/>
      <c r="S270" s="36" t="str">
        <f aca="false">IF(A270="","",YEAR(A270)+IF(AND(FYStart&gt;1,MONTH(A270)&gt;=FYStart),1,0))</f>
        <v/>
      </c>
      <c r="T270" s="36" t="str">
        <f aca="false">IF(A270="","",MOD(MONTH(A270)-FYStart,12)+1)</f>
        <v/>
      </c>
      <c r="U270" s="37" t="str">
        <f aca="false">IF(A270="","",TEXT(A270,"mmm"))</f>
        <v/>
      </c>
      <c r="V270" s="37" t="str">
        <f aca="false">IF(Q270="","",IFERROR(INDEX(Settings!$I$11:$I$15,MATCH(Q270,Settings!$H$11:$H$15,0)),"No"))</f>
        <v/>
      </c>
      <c r="W270" s="37" t="str">
        <f aca="false">IF(Q270="","",IFERROR(INDEX(Settings!$J$11:$J$15,MATCH(Q270,Settings!$H$11:$H$15,0)),"No"))</f>
        <v/>
      </c>
    </row>
    <row r="271" customFormat="false" ht="15" hidden="false" customHeight="false" outlineLevel="0" collapsed="false">
      <c r="A271" s="30"/>
      <c r="B271" s="25"/>
      <c r="C271" s="25"/>
      <c r="D271" s="25"/>
      <c r="E271" s="25"/>
      <c r="F271" s="25"/>
      <c r="G271" s="25"/>
      <c r="H271" s="31"/>
      <c r="I271" s="32"/>
      <c r="J271" s="33"/>
      <c r="K271" s="34" t="str">
        <f aca="false">IF(OR(H271="",I271=""),"",H271*I271*(1-N(J271)))</f>
        <v/>
      </c>
      <c r="L271" s="32"/>
      <c r="M271" s="34" t="str">
        <f aca="false">IF(OR(H271="",L271=""),"",H271*L271)</f>
        <v/>
      </c>
      <c r="N271" s="34" t="str">
        <f aca="false">IF(OR(K271="",M271=""),"",K271-M271)</f>
        <v/>
      </c>
      <c r="O271" s="35" t="str">
        <f aca="false">IF(OR(N271="",K271=""),"",IF(K271=0,"",N271/K271))</f>
        <v/>
      </c>
      <c r="P271" s="25"/>
      <c r="Q271" s="25"/>
      <c r="R271" s="25"/>
      <c r="S271" s="36" t="str">
        <f aca="false">IF(A271="","",YEAR(A271)+IF(AND(FYStart&gt;1,MONTH(A271)&gt;=FYStart),1,0))</f>
        <v/>
      </c>
      <c r="T271" s="36" t="str">
        <f aca="false">IF(A271="","",MOD(MONTH(A271)-FYStart,12)+1)</f>
        <v/>
      </c>
      <c r="U271" s="37" t="str">
        <f aca="false">IF(A271="","",TEXT(A271,"mmm"))</f>
        <v/>
      </c>
      <c r="V271" s="37" t="str">
        <f aca="false">IF(Q271="","",IFERROR(INDEX(Settings!$I$11:$I$15,MATCH(Q271,Settings!$H$11:$H$15,0)),"No"))</f>
        <v/>
      </c>
      <c r="W271" s="37" t="str">
        <f aca="false">IF(Q271="","",IFERROR(INDEX(Settings!$J$11:$J$15,MATCH(Q271,Settings!$H$11:$H$15,0)),"No"))</f>
        <v/>
      </c>
    </row>
    <row r="272" customFormat="false" ht="15" hidden="false" customHeight="false" outlineLevel="0" collapsed="false">
      <c r="A272" s="30"/>
      <c r="B272" s="25"/>
      <c r="C272" s="25"/>
      <c r="D272" s="25"/>
      <c r="E272" s="25"/>
      <c r="F272" s="25"/>
      <c r="G272" s="25"/>
      <c r="H272" s="31"/>
      <c r="I272" s="32"/>
      <c r="J272" s="33"/>
      <c r="K272" s="34" t="str">
        <f aca="false">IF(OR(H272="",I272=""),"",H272*I272*(1-N(J272)))</f>
        <v/>
      </c>
      <c r="L272" s="32"/>
      <c r="M272" s="34" t="str">
        <f aca="false">IF(OR(H272="",L272=""),"",H272*L272)</f>
        <v/>
      </c>
      <c r="N272" s="34" t="str">
        <f aca="false">IF(OR(K272="",M272=""),"",K272-M272)</f>
        <v/>
      </c>
      <c r="O272" s="35" t="str">
        <f aca="false">IF(OR(N272="",K272=""),"",IF(K272=0,"",N272/K272))</f>
        <v/>
      </c>
      <c r="P272" s="25"/>
      <c r="Q272" s="25"/>
      <c r="R272" s="25"/>
      <c r="S272" s="36" t="str">
        <f aca="false">IF(A272="","",YEAR(A272)+IF(AND(FYStart&gt;1,MONTH(A272)&gt;=FYStart),1,0))</f>
        <v/>
      </c>
      <c r="T272" s="36" t="str">
        <f aca="false">IF(A272="","",MOD(MONTH(A272)-FYStart,12)+1)</f>
        <v/>
      </c>
      <c r="U272" s="37" t="str">
        <f aca="false">IF(A272="","",TEXT(A272,"mmm"))</f>
        <v/>
      </c>
      <c r="V272" s="37" t="str">
        <f aca="false">IF(Q272="","",IFERROR(INDEX(Settings!$I$11:$I$15,MATCH(Q272,Settings!$H$11:$H$15,0)),"No"))</f>
        <v/>
      </c>
      <c r="W272" s="37" t="str">
        <f aca="false">IF(Q272="","",IFERROR(INDEX(Settings!$J$11:$J$15,MATCH(Q272,Settings!$H$11:$H$15,0)),"No"))</f>
        <v/>
      </c>
    </row>
    <row r="273" customFormat="false" ht="15" hidden="false" customHeight="false" outlineLevel="0" collapsed="false">
      <c r="A273" s="30"/>
      <c r="B273" s="25"/>
      <c r="C273" s="25"/>
      <c r="D273" s="25"/>
      <c r="E273" s="25"/>
      <c r="F273" s="25"/>
      <c r="G273" s="25"/>
      <c r="H273" s="31"/>
      <c r="I273" s="32"/>
      <c r="J273" s="33"/>
      <c r="K273" s="34" t="str">
        <f aca="false">IF(OR(H273="",I273=""),"",H273*I273*(1-N(J273)))</f>
        <v/>
      </c>
      <c r="L273" s="32"/>
      <c r="M273" s="34" t="str">
        <f aca="false">IF(OR(H273="",L273=""),"",H273*L273)</f>
        <v/>
      </c>
      <c r="N273" s="34" t="str">
        <f aca="false">IF(OR(K273="",M273=""),"",K273-M273)</f>
        <v/>
      </c>
      <c r="O273" s="35" t="str">
        <f aca="false">IF(OR(N273="",K273=""),"",IF(K273=0,"",N273/K273))</f>
        <v/>
      </c>
      <c r="P273" s="25"/>
      <c r="Q273" s="25"/>
      <c r="R273" s="25"/>
      <c r="S273" s="36" t="str">
        <f aca="false">IF(A273="","",YEAR(A273)+IF(AND(FYStart&gt;1,MONTH(A273)&gt;=FYStart),1,0))</f>
        <v/>
      </c>
      <c r="T273" s="36" t="str">
        <f aca="false">IF(A273="","",MOD(MONTH(A273)-FYStart,12)+1)</f>
        <v/>
      </c>
      <c r="U273" s="37" t="str">
        <f aca="false">IF(A273="","",TEXT(A273,"mmm"))</f>
        <v/>
      </c>
      <c r="V273" s="37" t="str">
        <f aca="false">IF(Q273="","",IFERROR(INDEX(Settings!$I$11:$I$15,MATCH(Q273,Settings!$H$11:$H$15,0)),"No"))</f>
        <v/>
      </c>
      <c r="W273" s="37" t="str">
        <f aca="false">IF(Q273="","",IFERROR(INDEX(Settings!$J$11:$J$15,MATCH(Q273,Settings!$H$11:$H$15,0)),"No"))</f>
        <v/>
      </c>
    </row>
    <row r="274" customFormat="false" ht="15" hidden="false" customHeight="false" outlineLevel="0" collapsed="false">
      <c r="A274" s="30"/>
      <c r="B274" s="25"/>
      <c r="C274" s="25"/>
      <c r="D274" s="25"/>
      <c r="E274" s="25"/>
      <c r="F274" s="25"/>
      <c r="G274" s="25"/>
      <c r="H274" s="31"/>
      <c r="I274" s="32"/>
      <c r="J274" s="33"/>
      <c r="K274" s="34" t="str">
        <f aca="false">IF(OR(H274="",I274=""),"",H274*I274*(1-N(J274)))</f>
        <v/>
      </c>
      <c r="L274" s="32"/>
      <c r="M274" s="34" t="str">
        <f aca="false">IF(OR(H274="",L274=""),"",H274*L274)</f>
        <v/>
      </c>
      <c r="N274" s="34" t="str">
        <f aca="false">IF(OR(K274="",M274=""),"",K274-M274)</f>
        <v/>
      </c>
      <c r="O274" s="35" t="str">
        <f aca="false">IF(OR(N274="",K274=""),"",IF(K274=0,"",N274/K274))</f>
        <v/>
      </c>
      <c r="P274" s="25"/>
      <c r="Q274" s="25"/>
      <c r="R274" s="25"/>
      <c r="S274" s="36" t="str">
        <f aca="false">IF(A274="","",YEAR(A274)+IF(AND(FYStart&gt;1,MONTH(A274)&gt;=FYStart),1,0))</f>
        <v/>
      </c>
      <c r="T274" s="36" t="str">
        <f aca="false">IF(A274="","",MOD(MONTH(A274)-FYStart,12)+1)</f>
        <v/>
      </c>
      <c r="U274" s="37" t="str">
        <f aca="false">IF(A274="","",TEXT(A274,"mmm"))</f>
        <v/>
      </c>
      <c r="V274" s="37" t="str">
        <f aca="false">IF(Q274="","",IFERROR(INDEX(Settings!$I$11:$I$15,MATCH(Q274,Settings!$H$11:$H$15,0)),"No"))</f>
        <v/>
      </c>
      <c r="W274" s="37" t="str">
        <f aca="false">IF(Q274="","",IFERROR(INDEX(Settings!$J$11:$J$15,MATCH(Q274,Settings!$H$11:$H$15,0)),"No"))</f>
        <v/>
      </c>
    </row>
    <row r="275" customFormat="false" ht="15" hidden="false" customHeight="false" outlineLevel="0" collapsed="false">
      <c r="A275" s="30"/>
      <c r="B275" s="25"/>
      <c r="C275" s="25"/>
      <c r="D275" s="25"/>
      <c r="E275" s="25"/>
      <c r="F275" s="25"/>
      <c r="G275" s="25"/>
      <c r="H275" s="31"/>
      <c r="I275" s="32"/>
      <c r="J275" s="33"/>
      <c r="K275" s="34" t="str">
        <f aca="false">IF(OR(H275="",I275=""),"",H275*I275*(1-N(J275)))</f>
        <v/>
      </c>
      <c r="L275" s="32"/>
      <c r="M275" s="34" t="str">
        <f aca="false">IF(OR(H275="",L275=""),"",H275*L275)</f>
        <v/>
      </c>
      <c r="N275" s="34" t="str">
        <f aca="false">IF(OR(K275="",M275=""),"",K275-M275)</f>
        <v/>
      </c>
      <c r="O275" s="35" t="str">
        <f aca="false">IF(OR(N275="",K275=""),"",IF(K275=0,"",N275/K275))</f>
        <v/>
      </c>
      <c r="P275" s="25"/>
      <c r="Q275" s="25"/>
      <c r="R275" s="25"/>
      <c r="S275" s="36" t="str">
        <f aca="false">IF(A275="","",YEAR(A275)+IF(AND(FYStart&gt;1,MONTH(A275)&gt;=FYStart),1,0))</f>
        <v/>
      </c>
      <c r="T275" s="36" t="str">
        <f aca="false">IF(A275="","",MOD(MONTH(A275)-FYStart,12)+1)</f>
        <v/>
      </c>
      <c r="U275" s="37" t="str">
        <f aca="false">IF(A275="","",TEXT(A275,"mmm"))</f>
        <v/>
      </c>
      <c r="V275" s="37" t="str">
        <f aca="false">IF(Q275="","",IFERROR(INDEX(Settings!$I$11:$I$15,MATCH(Q275,Settings!$H$11:$H$15,0)),"No"))</f>
        <v/>
      </c>
      <c r="W275" s="37" t="str">
        <f aca="false">IF(Q275="","",IFERROR(INDEX(Settings!$J$11:$J$15,MATCH(Q275,Settings!$H$11:$H$15,0)),"No"))</f>
        <v/>
      </c>
    </row>
    <row r="276" customFormat="false" ht="15" hidden="false" customHeight="false" outlineLevel="0" collapsed="false">
      <c r="A276" s="30"/>
      <c r="B276" s="25"/>
      <c r="C276" s="25"/>
      <c r="D276" s="25"/>
      <c r="E276" s="25"/>
      <c r="F276" s="25"/>
      <c r="G276" s="25"/>
      <c r="H276" s="31"/>
      <c r="I276" s="32"/>
      <c r="J276" s="33"/>
      <c r="K276" s="34" t="str">
        <f aca="false">IF(OR(H276="",I276=""),"",H276*I276*(1-N(J276)))</f>
        <v/>
      </c>
      <c r="L276" s="32"/>
      <c r="M276" s="34" t="str">
        <f aca="false">IF(OR(H276="",L276=""),"",H276*L276)</f>
        <v/>
      </c>
      <c r="N276" s="34" t="str">
        <f aca="false">IF(OR(K276="",M276=""),"",K276-M276)</f>
        <v/>
      </c>
      <c r="O276" s="35" t="str">
        <f aca="false">IF(OR(N276="",K276=""),"",IF(K276=0,"",N276/K276))</f>
        <v/>
      </c>
      <c r="P276" s="25"/>
      <c r="Q276" s="25"/>
      <c r="R276" s="25"/>
      <c r="S276" s="36" t="str">
        <f aca="false">IF(A276="","",YEAR(A276)+IF(AND(FYStart&gt;1,MONTH(A276)&gt;=FYStart),1,0))</f>
        <v/>
      </c>
      <c r="T276" s="36" t="str">
        <f aca="false">IF(A276="","",MOD(MONTH(A276)-FYStart,12)+1)</f>
        <v/>
      </c>
      <c r="U276" s="37" t="str">
        <f aca="false">IF(A276="","",TEXT(A276,"mmm"))</f>
        <v/>
      </c>
      <c r="V276" s="37" t="str">
        <f aca="false">IF(Q276="","",IFERROR(INDEX(Settings!$I$11:$I$15,MATCH(Q276,Settings!$H$11:$H$15,0)),"No"))</f>
        <v/>
      </c>
      <c r="W276" s="37" t="str">
        <f aca="false">IF(Q276="","",IFERROR(INDEX(Settings!$J$11:$J$15,MATCH(Q276,Settings!$H$11:$H$15,0)),"No"))</f>
        <v/>
      </c>
    </row>
    <row r="277" customFormat="false" ht="15" hidden="false" customHeight="false" outlineLevel="0" collapsed="false">
      <c r="A277" s="30"/>
      <c r="B277" s="25"/>
      <c r="C277" s="25"/>
      <c r="D277" s="25"/>
      <c r="E277" s="25"/>
      <c r="F277" s="25"/>
      <c r="G277" s="25"/>
      <c r="H277" s="31"/>
      <c r="I277" s="32"/>
      <c r="J277" s="33"/>
      <c r="K277" s="34" t="str">
        <f aca="false">IF(OR(H277="",I277=""),"",H277*I277*(1-N(J277)))</f>
        <v/>
      </c>
      <c r="L277" s="32"/>
      <c r="M277" s="34" t="str">
        <f aca="false">IF(OR(H277="",L277=""),"",H277*L277)</f>
        <v/>
      </c>
      <c r="N277" s="34" t="str">
        <f aca="false">IF(OR(K277="",M277=""),"",K277-M277)</f>
        <v/>
      </c>
      <c r="O277" s="35" t="str">
        <f aca="false">IF(OR(N277="",K277=""),"",IF(K277=0,"",N277/K277))</f>
        <v/>
      </c>
      <c r="P277" s="25"/>
      <c r="Q277" s="25"/>
      <c r="R277" s="25"/>
      <c r="S277" s="36" t="str">
        <f aca="false">IF(A277="","",YEAR(A277)+IF(AND(FYStart&gt;1,MONTH(A277)&gt;=FYStart),1,0))</f>
        <v/>
      </c>
      <c r="T277" s="36" t="str">
        <f aca="false">IF(A277="","",MOD(MONTH(A277)-FYStart,12)+1)</f>
        <v/>
      </c>
      <c r="U277" s="37" t="str">
        <f aca="false">IF(A277="","",TEXT(A277,"mmm"))</f>
        <v/>
      </c>
      <c r="V277" s="37" t="str">
        <f aca="false">IF(Q277="","",IFERROR(INDEX(Settings!$I$11:$I$15,MATCH(Q277,Settings!$H$11:$H$15,0)),"No"))</f>
        <v/>
      </c>
      <c r="W277" s="37" t="str">
        <f aca="false">IF(Q277="","",IFERROR(INDEX(Settings!$J$11:$J$15,MATCH(Q277,Settings!$H$11:$H$15,0)),"No"))</f>
        <v/>
      </c>
    </row>
    <row r="278" customFormat="false" ht="15" hidden="false" customHeight="false" outlineLevel="0" collapsed="false">
      <c r="A278" s="30"/>
      <c r="B278" s="25"/>
      <c r="C278" s="25"/>
      <c r="D278" s="25"/>
      <c r="E278" s="25"/>
      <c r="F278" s="25"/>
      <c r="G278" s="25"/>
      <c r="H278" s="31"/>
      <c r="I278" s="32"/>
      <c r="J278" s="33"/>
      <c r="K278" s="34" t="str">
        <f aca="false">IF(OR(H278="",I278=""),"",H278*I278*(1-N(J278)))</f>
        <v/>
      </c>
      <c r="L278" s="32"/>
      <c r="M278" s="34" t="str">
        <f aca="false">IF(OR(H278="",L278=""),"",H278*L278)</f>
        <v/>
      </c>
      <c r="N278" s="34" t="str">
        <f aca="false">IF(OR(K278="",M278=""),"",K278-M278)</f>
        <v/>
      </c>
      <c r="O278" s="35" t="str">
        <f aca="false">IF(OR(N278="",K278=""),"",IF(K278=0,"",N278/K278))</f>
        <v/>
      </c>
      <c r="P278" s="25"/>
      <c r="Q278" s="25"/>
      <c r="R278" s="25"/>
      <c r="S278" s="36" t="str">
        <f aca="false">IF(A278="","",YEAR(A278)+IF(AND(FYStart&gt;1,MONTH(A278)&gt;=FYStart),1,0))</f>
        <v/>
      </c>
      <c r="T278" s="36" t="str">
        <f aca="false">IF(A278="","",MOD(MONTH(A278)-FYStart,12)+1)</f>
        <v/>
      </c>
      <c r="U278" s="37" t="str">
        <f aca="false">IF(A278="","",TEXT(A278,"mmm"))</f>
        <v/>
      </c>
      <c r="V278" s="37" t="str">
        <f aca="false">IF(Q278="","",IFERROR(INDEX(Settings!$I$11:$I$15,MATCH(Q278,Settings!$H$11:$H$15,0)),"No"))</f>
        <v/>
      </c>
      <c r="W278" s="37" t="str">
        <f aca="false">IF(Q278="","",IFERROR(INDEX(Settings!$J$11:$J$15,MATCH(Q278,Settings!$H$11:$H$15,0)),"No"))</f>
        <v/>
      </c>
    </row>
    <row r="279" customFormat="false" ht="15" hidden="false" customHeight="false" outlineLevel="0" collapsed="false">
      <c r="A279" s="30"/>
      <c r="B279" s="25"/>
      <c r="C279" s="25"/>
      <c r="D279" s="25"/>
      <c r="E279" s="25"/>
      <c r="F279" s="25"/>
      <c r="G279" s="25"/>
      <c r="H279" s="31"/>
      <c r="I279" s="32"/>
      <c r="J279" s="33"/>
      <c r="K279" s="34" t="str">
        <f aca="false">IF(OR(H279="",I279=""),"",H279*I279*(1-N(J279)))</f>
        <v/>
      </c>
      <c r="L279" s="32"/>
      <c r="M279" s="34" t="str">
        <f aca="false">IF(OR(H279="",L279=""),"",H279*L279)</f>
        <v/>
      </c>
      <c r="N279" s="34" t="str">
        <f aca="false">IF(OR(K279="",M279=""),"",K279-M279)</f>
        <v/>
      </c>
      <c r="O279" s="35" t="str">
        <f aca="false">IF(OR(N279="",K279=""),"",IF(K279=0,"",N279/K279))</f>
        <v/>
      </c>
      <c r="P279" s="25"/>
      <c r="Q279" s="25"/>
      <c r="R279" s="25"/>
      <c r="S279" s="36" t="str">
        <f aca="false">IF(A279="","",YEAR(A279)+IF(AND(FYStart&gt;1,MONTH(A279)&gt;=FYStart),1,0))</f>
        <v/>
      </c>
      <c r="T279" s="36" t="str">
        <f aca="false">IF(A279="","",MOD(MONTH(A279)-FYStart,12)+1)</f>
        <v/>
      </c>
      <c r="U279" s="37" t="str">
        <f aca="false">IF(A279="","",TEXT(A279,"mmm"))</f>
        <v/>
      </c>
      <c r="V279" s="37" t="str">
        <f aca="false">IF(Q279="","",IFERROR(INDEX(Settings!$I$11:$I$15,MATCH(Q279,Settings!$H$11:$H$15,0)),"No"))</f>
        <v/>
      </c>
      <c r="W279" s="37" t="str">
        <f aca="false">IF(Q279="","",IFERROR(INDEX(Settings!$J$11:$J$15,MATCH(Q279,Settings!$H$11:$H$15,0)),"No"))</f>
        <v/>
      </c>
    </row>
    <row r="280" customFormat="false" ht="15" hidden="false" customHeight="false" outlineLevel="0" collapsed="false">
      <c r="A280" s="30"/>
      <c r="B280" s="25"/>
      <c r="C280" s="25"/>
      <c r="D280" s="25"/>
      <c r="E280" s="25"/>
      <c r="F280" s="25"/>
      <c r="G280" s="25"/>
      <c r="H280" s="31"/>
      <c r="I280" s="32"/>
      <c r="J280" s="33"/>
      <c r="K280" s="34" t="str">
        <f aca="false">IF(OR(H280="",I280=""),"",H280*I280*(1-N(J280)))</f>
        <v/>
      </c>
      <c r="L280" s="32"/>
      <c r="M280" s="34" t="str">
        <f aca="false">IF(OR(H280="",L280=""),"",H280*L280)</f>
        <v/>
      </c>
      <c r="N280" s="34" t="str">
        <f aca="false">IF(OR(K280="",M280=""),"",K280-M280)</f>
        <v/>
      </c>
      <c r="O280" s="35" t="str">
        <f aca="false">IF(OR(N280="",K280=""),"",IF(K280=0,"",N280/K280))</f>
        <v/>
      </c>
      <c r="P280" s="25"/>
      <c r="Q280" s="25"/>
      <c r="R280" s="25"/>
      <c r="S280" s="36" t="str">
        <f aca="false">IF(A280="","",YEAR(A280)+IF(AND(FYStart&gt;1,MONTH(A280)&gt;=FYStart),1,0))</f>
        <v/>
      </c>
      <c r="T280" s="36" t="str">
        <f aca="false">IF(A280="","",MOD(MONTH(A280)-FYStart,12)+1)</f>
        <v/>
      </c>
      <c r="U280" s="37" t="str">
        <f aca="false">IF(A280="","",TEXT(A280,"mmm"))</f>
        <v/>
      </c>
      <c r="V280" s="37" t="str">
        <f aca="false">IF(Q280="","",IFERROR(INDEX(Settings!$I$11:$I$15,MATCH(Q280,Settings!$H$11:$H$15,0)),"No"))</f>
        <v/>
      </c>
      <c r="W280" s="37" t="str">
        <f aca="false">IF(Q280="","",IFERROR(INDEX(Settings!$J$11:$J$15,MATCH(Q280,Settings!$H$11:$H$15,0)),"No"))</f>
        <v/>
      </c>
    </row>
    <row r="281" customFormat="false" ht="15" hidden="false" customHeight="false" outlineLevel="0" collapsed="false">
      <c r="A281" s="30"/>
      <c r="B281" s="25"/>
      <c r="C281" s="25"/>
      <c r="D281" s="25"/>
      <c r="E281" s="25"/>
      <c r="F281" s="25"/>
      <c r="G281" s="25"/>
      <c r="H281" s="31"/>
      <c r="I281" s="32"/>
      <c r="J281" s="33"/>
      <c r="K281" s="34" t="str">
        <f aca="false">IF(OR(H281="",I281=""),"",H281*I281*(1-N(J281)))</f>
        <v/>
      </c>
      <c r="L281" s="32"/>
      <c r="M281" s="34" t="str">
        <f aca="false">IF(OR(H281="",L281=""),"",H281*L281)</f>
        <v/>
      </c>
      <c r="N281" s="34" t="str">
        <f aca="false">IF(OR(K281="",M281=""),"",K281-M281)</f>
        <v/>
      </c>
      <c r="O281" s="35" t="str">
        <f aca="false">IF(OR(N281="",K281=""),"",IF(K281=0,"",N281/K281))</f>
        <v/>
      </c>
      <c r="P281" s="25"/>
      <c r="Q281" s="25"/>
      <c r="R281" s="25"/>
      <c r="S281" s="36" t="str">
        <f aca="false">IF(A281="","",YEAR(A281)+IF(AND(FYStart&gt;1,MONTH(A281)&gt;=FYStart),1,0))</f>
        <v/>
      </c>
      <c r="T281" s="36" t="str">
        <f aca="false">IF(A281="","",MOD(MONTH(A281)-FYStart,12)+1)</f>
        <v/>
      </c>
      <c r="U281" s="37" t="str">
        <f aca="false">IF(A281="","",TEXT(A281,"mmm"))</f>
        <v/>
      </c>
      <c r="V281" s="37" t="str">
        <f aca="false">IF(Q281="","",IFERROR(INDEX(Settings!$I$11:$I$15,MATCH(Q281,Settings!$H$11:$H$15,0)),"No"))</f>
        <v/>
      </c>
      <c r="W281" s="37" t="str">
        <f aca="false">IF(Q281="","",IFERROR(INDEX(Settings!$J$11:$J$15,MATCH(Q281,Settings!$H$11:$H$15,0)),"No"))</f>
        <v/>
      </c>
    </row>
    <row r="282" customFormat="false" ht="15" hidden="false" customHeight="false" outlineLevel="0" collapsed="false">
      <c r="A282" s="30"/>
      <c r="B282" s="25"/>
      <c r="C282" s="25"/>
      <c r="D282" s="25"/>
      <c r="E282" s="25"/>
      <c r="F282" s="25"/>
      <c r="G282" s="25"/>
      <c r="H282" s="31"/>
      <c r="I282" s="32"/>
      <c r="J282" s="33"/>
      <c r="K282" s="34" t="str">
        <f aca="false">IF(OR(H282="",I282=""),"",H282*I282*(1-N(J282)))</f>
        <v/>
      </c>
      <c r="L282" s="32"/>
      <c r="M282" s="34" t="str">
        <f aca="false">IF(OR(H282="",L282=""),"",H282*L282)</f>
        <v/>
      </c>
      <c r="N282" s="34" t="str">
        <f aca="false">IF(OR(K282="",M282=""),"",K282-M282)</f>
        <v/>
      </c>
      <c r="O282" s="35" t="str">
        <f aca="false">IF(OR(N282="",K282=""),"",IF(K282=0,"",N282/K282))</f>
        <v/>
      </c>
      <c r="P282" s="25"/>
      <c r="Q282" s="25"/>
      <c r="R282" s="25"/>
      <c r="S282" s="36" t="str">
        <f aca="false">IF(A282="","",YEAR(A282)+IF(AND(FYStart&gt;1,MONTH(A282)&gt;=FYStart),1,0))</f>
        <v/>
      </c>
      <c r="T282" s="36" t="str">
        <f aca="false">IF(A282="","",MOD(MONTH(A282)-FYStart,12)+1)</f>
        <v/>
      </c>
      <c r="U282" s="37" t="str">
        <f aca="false">IF(A282="","",TEXT(A282,"mmm"))</f>
        <v/>
      </c>
      <c r="V282" s="37" t="str">
        <f aca="false">IF(Q282="","",IFERROR(INDEX(Settings!$I$11:$I$15,MATCH(Q282,Settings!$H$11:$H$15,0)),"No"))</f>
        <v/>
      </c>
      <c r="W282" s="37" t="str">
        <f aca="false">IF(Q282="","",IFERROR(INDEX(Settings!$J$11:$J$15,MATCH(Q282,Settings!$H$11:$H$15,0)),"No"))</f>
        <v/>
      </c>
    </row>
    <row r="283" customFormat="false" ht="15" hidden="false" customHeight="false" outlineLevel="0" collapsed="false">
      <c r="A283" s="30"/>
      <c r="B283" s="25"/>
      <c r="C283" s="25"/>
      <c r="D283" s="25"/>
      <c r="E283" s="25"/>
      <c r="F283" s="25"/>
      <c r="G283" s="25"/>
      <c r="H283" s="31"/>
      <c r="I283" s="32"/>
      <c r="J283" s="33"/>
      <c r="K283" s="34" t="str">
        <f aca="false">IF(OR(H283="",I283=""),"",H283*I283*(1-N(J283)))</f>
        <v/>
      </c>
      <c r="L283" s="32"/>
      <c r="M283" s="34" t="str">
        <f aca="false">IF(OR(H283="",L283=""),"",H283*L283)</f>
        <v/>
      </c>
      <c r="N283" s="34" t="str">
        <f aca="false">IF(OR(K283="",M283=""),"",K283-M283)</f>
        <v/>
      </c>
      <c r="O283" s="35" t="str">
        <f aca="false">IF(OR(N283="",K283=""),"",IF(K283=0,"",N283/K283))</f>
        <v/>
      </c>
      <c r="P283" s="25"/>
      <c r="Q283" s="25"/>
      <c r="R283" s="25"/>
      <c r="S283" s="36" t="str">
        <f aca="false">IF(A283="","",YEAR(A283)+IF(AND(FYStart&gt;1,MONTH(A283)&gt;=FYStart),1,0))</f>
        <v/>
      </c>
      <c r="T283" s="36" t="str">
        <f aca="false">IF(A283="","",MOD(MONTH(A283)-FYStart,12)+1)</f>
        <v/>
      </c>
      <c r="U283" s="37" t="str">
        <f aca="false">IF(A283="","",TEXT(A283,"mmm"))</f>
        <v/>
      </c>
      <c r="V283" s="37" t="str">
        <f aca="false">IF(Q283="","",IFERROR(INDEX(Settings!$I$11:$I$15,MATCH(Q283,Settings!$H$11:$H$15,0)),"No"))</f>
        <v/>
      </c>
      <c r="W283" s="37" t="str">
        <f aca="false">IF(Q283="","",IFERROR(INDEX(Settings!$J$11:$J$15,MATCH(Q283,Settings!$H$11:$H$15,0)),"No"))</f>
        <v/>
      </c>
    </row>
    <row r="284" customFormat="false" ht="15" hidden="false" customHeight="false" outlineLevel="0" collapsed="false">
      <c r="A284" s="30"/>
      <c r="B284" s="25"/>
      <c r="C284" s="25"/>
      <c r="D284" s="25"/>
      <c r="E284" s="25"/>
      <c r="F284" s="25"/>
      <c r="G284" s="25"/>
      <c r="H284" s="31"/>
      <c r="I284" s="32"/>
      <c r="J284" s="33"/>
      <c r="K284" s="34" t="str">
        <f aca="false">IF(OR(H284="",I284=""),"",H284*I284*(1-N(J284)))</f>
        <v/>
      </c>
      <c r="L284" s="32"/>
      <c r="M284" s="34" t="str">
        <f aca="false">IF(OR(H284="",L284=""),"",H284*L284)</f>
        <v/>
      </c>
      <c r="N284" s="34" t="str">
        <f aca="false">IF(OR(K284="",M284=""),"",K284-M284)</f>
        <v/>
      </c>
      <c r="O284" s="35" t="str">
        <f aca="false">IF(OR(N284="",K284=""),"",IF(K284=0,"",N284/K284))</f>
        <v/>
      </c>
      <c r="P284" s="25"/>
      <c r="Q284" s="25"/>
      <c r="R284" s="25"/>
      <c r="S284" s="36" t="str">
        <f aca="false">IF(A284="","",YEAR(A284)+IF(AND(FYStart&gt;1,MONTH(A284)&gt;=FYStart),1,0))</f>
        <v/>
      </c>
      <c r="T284" s="36" t="str">
        <f aca="false">IF(A284="","",MOD(MONTH(A284)-FYStart,12)+1)</f>
        <v/>
      </c>
      <c r="U284" s="37" t="str">
        <f aca="false">IF(A284="","",TEXT(A284,"mmm"))</f>
        <v/>
      </c>
      <c r="V284" s="37" t="str">
        <f aca="false">IF(Q284="","",IFERROR(INDEX(Settings!$I$11:$I$15,MATCH(Q284,Settings!$H$11:$H$15,0)),"No"))</f>
        <v/>
      </c>
      <c r="W284" s="37" t="str">
        <f aca="false">IF(Q284="","",IFERROR(INDEX(Settings!$J$11:$J$15,MATCH(Q284,Settings!$H$11:$H$15,0)),"No"))</f>
        <v/>
      </c>
    </row>
    <row r="285" customFormat="false" ht="15" hidden="false" customHeight="false" outlineLevel="0" collapsed="false">
      <c r="A285" s="30"/>
      <c r="B285" s="25"/>
      <c r="C285" s="25"/>
      <c r="D285" s="25"/>
      <c r="E285" s="25"/>
      <c r="F285" s="25"/>
      <c r="G285" s="25"/>
      <c r="H285" s="31"/>
      <c r="I285" s="32"/>
      <c r="J285" s="33"/>
      <c r="K285" s="34" t="str">
        <f aca="false">IF(OR(H285="",I285=""),"",H285*I285*(1-N(J285)))</f>
        <v/>
      </c>
      <c r="L285" s="32"/>
      <c r="M285" s="34" t="str">
        <f aca="false">IF(OR(H285="",L285=""),"",H285*L285)</f>
        <v/>
      </c>
      <c r="N285" s="34" t="str">
        <f aca="false">IF(OR(K285="",M285=""),"",K285-M285)</f>
        <v/>
      </c>
      <c r="O285" s="35" t="str">
        <f aca="false">IF(OR(N285="",K285=""),"",IF(K285=0,"",N285/K285))</f>
        <v/>
      </c>
      <c r="P285" s="25"/>
      <c r="Q285" s="25"/>
      <c r="R285" s="25"/>
      <c r="S285" s="36" t="str">
        <f aca="false">IF(A285="","",YEAR(A285)+IF(AND(FYStart&gt;1,MONTH(A285)&gt;=FYStart),1,0))</f>
        <v/>
      </c>
      <c r="T285" s="36" t="str">
        <f aca="false">IF(A285="","",MOD(MONTH(A285)-FYStart,12)+1)</f>
        <v/>
      </c>
      <c r="U285" s="37" t="str">
        <f aca="false">IF(A285="","",TEXT(A285,"mmm"))</f>
        <v/>
      </c>
      <c r="V285" s="37" t="str">
        <f aca="false">IF(Q285="","",IFERROR(INDEX(Settings!$I$11:$I$15,MATCH(Q285,Settings!$H$11:$H$15,0)),"No"))</f>
        <v/>
      </c>
      <c r="W285" s="37" t="str">
        <f aca="false">IF(Q285="","",IFERROR(INDEX(Settings!$J$11:$J$15,MATCH(Q285,Settings!$H$11:$H$15,0)),"No"))</f>
        <v/>
      </c>
    </row>
    <row r="286" customFormat="false" ht="15" hidden="false" customHeight="false" outlineLevel="0" collapsed="false">
      <c r="A286" s="30"/>
      <c r="B286" s="25"/>
      <c r="C286" s="25"/>
      <c r="D286" s="25"/>
      <c r="E286" s="25"/>
      <c r="F286" s="25"/>
      <c r="G286" s="25"/>
      <c r="H286" s="31"/>
      <c r="I286" s="32"/>
      <c r="J286" s="33"/>
      <c r="K286" s="34" t="str">
        <f aca="false">IF(OR(H286="",I286=""),"",H286*I286*(1-N(J286)))</f>
        <v/>
      </c>
      <c r="L286" s="32"/>
      <c r="M286" s="34" t="str">
        <f aca="false">IF(OR(H286="",L286=""),"",H286*L286)</f>
        <v/>
      </c>
      <c r="N286" s="34" t="str">
        <f aca="false">IF(OR(K286="",M286=""),"",K286-M286)</f>
        <v/>
      </c>
      <c r="O286" s="35" t="str">
        <f aca="false">IF(OR(N286="",K286=""),"",IF(K286=0,"",N286/K286))</f>
        <v/>
      </c>
      <c r="P286" s="25"/>
      <c r="Q286" s="25"/>
      <c r="R286" s="25"/>
      <c r="S286" s="36" t="str">
        <f aca="false">IF(A286="","",YEAR(A286)+IF(AND(FYStart&gt;1,MONTH(A286)&gt;=FYStart),1,0))</f>
        <v/>
      </c>
      <c r="T286" s="36" t="str">
        <f aca="false">IF(A286="","",MOD(MONTH(A286)-FYStart,12)+1)</f>
        <v/>
      </c>
      <c r="U286" s="37" t="str">
        <f aca="false">IF(A286="","",TEXT(A286,"mmm"))</f>
        <v/>
      </c>
      <c r="V286" s="37" t="str">
        <f aca="false">IF(Q286="","",IFERROR(INDEX(Settings!$I$11:$I$15,MATCH(Q286,Settings!$H$11:$H$15,0)),"No"))</f>
        <v/>
      </c>
      <c r="W286" s="37" t="str">
        <f aca="false">IF(Q286="","",IFERROR(INDEX(Settings!$J$11:$J$15,MATCH(Q286,Settings!$H$11:$H$15,0)),"No"))</f>
        <v/>
      </c>
    </row>
    <row r="287" customFormat="false" ht="15" hidden="false" customHeight="false" outlineLevel="0" collapsed="false">
      <c r="A287" s="30"/>
      <c r="B287" s="25"/>
      <c r="C287" s="25"/>
      <c r="D287" s="25"/>
      <c r="E287" s="25"/>
      <c r="F287" s="25"/>
      <c r="G287" s="25"/>
      <c r="H287" s="31"/>
      <c r="I287" s="32"/>
      <c r="J287" s="33"/>
      <c r="K287" s="34" t="str">
        <f aca="false">IF(OR(H287="",I287=""),"",H287*I287*(1-N(J287)))</f>
        <v/>
      </c>
      <c r="L287" s="32"/>
      <c r="M287" s="34" t="str">
        <f aca="false">IF(OR(H287="",L287=""),"",H287*L287)</f>
        <v/>
      </c>
      <c r="N287" s="34" t="str">
        <f aca="false">IF(OR(K287="",M287=""),"",K287-M287)</f>
        <v/>
      </c>
      <c r="O287" s="35" t="str">
        <f aca="false">IF(OR(N287="",K287=""),"",IF(K287=0,"",N287/K287))</f>
        <v/>
      </c>
      <c r="P287" s="25"/>
      <c r="Q287" s="25"/>
      <c r="R287" s="25"/>
      <c r="S287" s="36" t="str">
        <f aca="false">IF(A287="","",YEAR(A287)+IF(AND(FYStart&gt;1,MONTH(A287)&gt;=FYStart),1,0))</f>
        <v/>
      </c>
      <c r="T287" s="36" t="str">
        <f aca="false">IF(A287="","",MOD(MONTH(A287)-FYStart,12)+1)</f>
        <v/>
      </c>
      <c r="U287" s="37" t="str">
        <f aca="false">IF(A287="","",TEXT(A287,"mmm"))</f>
        <v/>
      </c>
      <c r="V287" s="37" t="str">
        <f aca="false">IF(Q287="","",IFERROR(INDEX(Settings!$I$11:$I$15,MATCH(Q287,Settings!$H$11:$H$15,0)),"No"))</f>
        <v/>
      </c>
      <c r="W287" s="37" t="str">
        <f aca="false">IF(Q287="","",IFERROR(INDEX(Settings!$J$11:$J$15,MATCH(Q287,Settings!$H$11:$H$15,0)),"No"))</f>
        <v/>
      </c>
    </row>
    <row r="288" customFormat="false" ht="15" hidden="false" customHeight="false" outlineLevel="0" collapsed="false">
      <c r="A288" s="30"/>
      <c r="B288" s="25"/>
      <c r="C288" s="25"/>
      <c r="D288" s="25"/>
      <c r="E288" s="25"/>
      <c r="F288" s="25"/>
      <c r="G288" s="25"/>
      <c r="H288" s="31"/>
      <c r="I288" s="32"/>
      <c r="J288" s="33"/>
      <c r="K288" s="34" t="str">
        <f aca="false">IF(OR(H288="",I288=""),"",H288*I288*(1-N(J288)))</f>
        <v/>
      </c>
      <c r="L288" s="32"/>
      <c r="M288" s="34" t="str">
        <f aca="false">IF(OR(H288="",L288=""),"",H288*L288)</f>
        <v/>
      </c>
      <c r="N288" s="34" t="str">
        <f aca="false">IF(OR(K288="",M288=""),"",K288-M288)</f>
        <v/>
      </c>
      <c r="O288" s="35" t="str">
        <f aca="false">IF(OR(N288="",K288=""),"",IF(K288=0,"",N288/K288))</f>
        <v/>
      </c>
      <c r="P288" s="25"/>
      <c r="Q288" s="25"/>
      <c r="R288" s="25"/>
      <c r="S288" s="36" t="str">
        <f aca="false">IF(A288="","",YEAR(A288)+IF(AND(FYStart&gt;1,MONTH(A288)&gt;=FYStart),1,0))</f>
        <v/>
      </c>
      <c r="T288" s="36" t="str">
        <f aca="false">IF(A288="","",MOD(MONTH(A288)-FYStart,12)+1)</f>
        <v/>
      </c>
      <c r="U288" s="37" t="str">
        <f aca="false">IF(A288="","",TEXT(A288,"mmm"))</f>
        <v/>
      </c>
      <c r="V288" s="37" t="str">
        <f aca="false">IF(Q288="","",IFERROR(INDEX(Settings!$I$11:$I$15,MATCH(Q288,Settings!$H$11:$H$15,0)),"No"))</f>
        <v/>
      </c>
      <c r="W288" s="37" t="str">
        <f aca="false">IF(Q288="","",IFERROR(INDEX(Settings!$J$11:$J$15,MATCH(Q288,Settings!$H$11:$H$15,0)),"No"))</f>
        <v/>
      </c>
    </row>
    <row r="289" customFormat="false" ht="15" hidden="false" customHeight="false" outlineLevel="0" collapsed="false">
      <c r="A289" s="30"/>
      <c r="B289" s="25"/>
      <c r="C289" s="25"/>
      <c r="D289" s="25"/>
      <c r="E289" s="25"/>
      <c r="F289" s="25"/>
      <c r="G289" s="25"/>
      <c r="H289" s="31"/>
      <c r="I289" s="32"/>
      <c r="J289" s="33"/>
      <c r="K289" s="34" t="str">
        <f aca="false">IF(OR(H289="",I289=""),"",H289*I289*(1-N(J289)))</f>
        <v/>
      </c>
      <c r="L289" s="32"/>
      <c r="M289" s="34" t="str">
        <f aca="false">IF(OR(H289="",L289=""),"",H289*L289)</f>
        <v/>
      </c>
      <c r="N289" s="34" t="str">
        <f aca="false">IF(OR(K289="",M289=""),"",K289-M289)</f>
        <v/>
      </c>
      <c r="O289" s="35" t="str">
        <f aca="false">IF(OR(N289="",K289=""),"",IF(K289=0,"",N289/K289))</f>
        <v/>
      </c>
      <c r="P289" s="25"/>
      <c r="Q289" s="25"/>
      <c r="R289" s="25"/>
      <c r="S289" s="36" t="str">
        <f aca="false">IF(A289="","",YEAR(A289)+IF(AND(FYStart&gt;1,MONTH(A289)&gt;=FYStart),1,0))</f>
        <v/>
      </c>
      <c r="T289" s="36" t="str">
        <f aca="false">IF(A289="","",MOD(MONTH(A289)-FYStart,12)+1)</f>
        <v/>
      </c>
      <c r="U289" s="37" t="str">
        <f aca="false">IF(A289="","",TEXT(A289,"mmm"))</f>
        <v/>
      </c>
      <c r="V289" s="37" t="str">
        <f aca="false">IF(Q289="","",IFERROR(INDEX(Settings!$I$11:$I$15,MATCH(Q289,Settings!$H$11:$H$15,0)),"No"))</f>
        <v/>
      </c>
      <c r="W289" s="37" t="str">
        <f aca="false">IF(Q289="","",IFERROR(INDEX(Settings!$J$11:$J$15,MATCH(Q289,Settings!$H$11:$H$15,0)),"No"))</f>
        <v/>
      </c>
    </row>
    <row r="290" customFormat="false" ht="15" hidden="false" customHeight="false" outlineLevel="0" collapsed="false">
      <c r="A290" s="30"/>
      <c r="B290" s="25"/>
      <c r="C290" s="25"/>
      <c r="D290" s="25"/>
      <c r="E290" s="25"/>
      <c r="F290" s="25"/>
      <c r="G290" s="25"/>
      <c r="H290" s="31"/>
      <c r="I290" s="32"/>
      <c r="J290" s="33"/>
      <c r="K290" s="34" t="str">
        <f aca="false">IF(OR(H290="",I290=""),"",H290*I290*(1-N(J290)))</f>
        <v/>
      </c>
      <c r="L290" s="32"/>
      <c r="M290" s="34" t="str">
        <f aca="false">IF(OR(H290="",L290=""),"",H290*L290)</f>
        <v/>
      </c>
      <c r="N290" s="34" t="str">
        <f aca="false">IF(OR(K290="",M290=""),"",K290-M290)</f>
        <v/>
      </c>
      <c r="O290" s="35" t="str">
        <f aca="false">IF(OR(N290="",K290=""),"",IF(K290=0,"",N290/K290))</f>
        <v/>
      </c>
      <c r="P290" s="25"/>
      <c r="Q290" s="25"/>
      <c r="R290" s="25"/>
      <c r="S290" s="36" t="str">
        <f aca="false">IF(A290="","",YEAR(A290)+IF(AND(FYStart&gt;1,MONTH(A290)&gt;=FYStart),1,0))</f>
        <v/>
      </c>
      <c r="T290" s="36" t="str">
        <f aca="false">IF(A290="","",MOD(MONTH(A290)-FYStart,12)+1)</f>
        <v/>
      </c>
      <c r="U290" s="37" t="str">
        <f aca="false">IF(A290="","",TEXT(A290,"mmm"))</f>
        <v/>
      </c>
      <c r="V290" s="37" t="str">
        <f aca="false">IF(Q290="","",IFERROR(INDEX(Settings!$I$11:$I$15,MATCH(Q290,Settings!$H$11:$H$15,0)),"No"))</f>
        <v/>
      </c>
      <c r="W290" s="37" t="str">
        <f aca="false">IF(Q290="","",IFERROR(INDEX(Settings!$J$11:$J$15,MATCH(Q290,Settings!$H$11:$H$15,0)),"No"))</f>
        <v/>
      </c>
    </row>
    <row r="291" customFormat="false" ht="15" hidden="false" customHeight="false" outlineLevel="0" collapsed="false">
      <c r="A291" s="30"/>
      <c r="B291" s="25"/>
      <c r="C291" s="25"/>
      <c r="D291" s="25"/>
      <c r="E291" s="25"/>
      <c r="F291" s="25"/>
      <c r="G291" s="25"/>
      <c r="H291" s="31"/>
      <c r="I291" s="32"/>
      <c r="J291" s="33"/>
      <c r="K291" s="34" t="str">
        <f aca="false">IF(OR(H291="",I291=""),"",H291*I291*(1-N(J291)))</f>
        <v/>
      </c>
      <c r="L291" s="32"/>
      <c r="M291" s="34" t="str">
        <f aca="false">IF(OR(H291="",L291=""),"",H291*L291)</f>
        <v/>
      </c>
      <c r="N291" s="34" t="str">
        <f aca="false">IF(OR(K291="",M291=""),"",K291-M291)</f>
        <v/>
      </c>
      <c r="O291" s="35" t="str">
        <f aca="false">IF(OR(N291="",K291=""),"",IF(K291=0,"",N291/K291))</f>
        <v/>
      </c>
      <c r="P291" s="25"/>
      <c r="Q291" s="25"/>
      <c r="R291" s="25"/>
      <c r="S291" s="36" t="str">
        <f aca="false">IF(A291="","",YEAR(A291)+IF(AND(FYStart&gt;1,MONTH(A291)&gt;=FYStart),1,0))</f>
        <v/>
      </c>
      <c r="T291" s="36" t="str">
        <f aca="false">IF(A291="","",MOD(MONTH(A291)-FYStart,12)+1)</f>
        <v/>
      </c>
      <c r="U291" s="37" t="str">
        <f aca="false">IF(A291="","",TEXT(A291,"mmm"))</f>
        <v/>
      </c>
      <c r="V291" s="37" t="str">
        <f aca="false">IF(Q291="","",IFERROR(INDEX(Settings!$I$11:$I$15,MATCH(Q291,Settings!$H$11:$H$15,0)),"No"))</f>
        <v/>
      </c>
      <c r="W291" s="37" t="str">
        <f aca="false">IF(Q291="","",IFERROR(INDEX(Settings!$J$11:$J$15,MATCH(Q291,Settings!$H$11:$H$15,0)),"No"))</f>
        <v/>
      </c>
    </row>
    <row r="292" customFormat="false" ht="15" hidden="false" customHeight="false" outlineLevel="0" collapsed="false">
      <c r="A292" s="30"/>
      <c r="B292" s="25"/>
      <c r="C292" s="25"/>
      <c r="D292" s="25"/>
      <c r="E292" s="25"/>
      <c r="F292" s="25"/>
      <c r="G292" s="25"/>
      <c r="H292" s="31"/>
      <c r="I292" s="32"/>
      <c r="J292" s="33"/>
      <c r="K292" s="34" t="str">
        <f aca="false">IF(OR(H292="",I292=""),"",H292*I292*(1-N(J292)))</f>
        <v/>
      </c>
      <c r="L292" s="32"/>
      <c r="M292" s="34" t="str">
        <f aca="false">IF(OR(H292="",L292=""),"",H292*L292)</f>
        <v/>
      </c>
      <c r="N292" s="34" t="str">
        <f aca="false">IF(OR(K292="",M292=""),"",K292-M292)</f>
        <v/>
      </c>
      <c r="O292" s="35" t="str">
        <f aca="false">IF(OR(N292="",K292=""),"",IF(K292=0,"",N292/K292))</f>
        <v/>
      </c>
      <c r="P292" s="25"/>
      <c r="Q292" s="25"/>
      <c r="R292" s="25"/>
      <c r="S292" s="36" t="str">
        <f aca="false">IF(A292="","",YEAR(A292)+IF(AND(FYStart&gt;1,MONTH(A292)&gt;=FYStart),1,0))</f>
        <v/>
      </c>
      <c r="T292" s="36" t="str">
        <f aca="false">IF(A292="","",MOD(MONTH(A292)-FYStart,12)+1)</f>
        <v/>
      </c>
      <c r="U292" s="37" t="str">
        <f aca="false">IF(A292="","",TEXT(A292,"mmm"))</f>
        <v/>
      </c>
      <c r="V292" s="37" t="str">
        <f aca="false">IF(Q292="","",IFERROR(INDEX(Settings!$I$11:$I$15,MATCH(Q292,Settings!$H$11:$H$15,0)),"No"))</f>
        <v/>
      </c>
      <c r="W292" s="37" t="str">
        <f aca="false">IF(Q292="","",IFERROR(INDEX(Settings!$J$11:$J$15,MATCH(Q292,Settings!$H$11:$H$15,0)),"No"))</f>
        <v/>
      </c>
    </row>
    <row r="293" customFormat="false" ht="15" hidden="false" customHeight="false" outlineLevel="0" collapsed="false">
      <c r="A293" s="30"/>
      <c r="B293" s="25"/>
      <c r="C293" s="25"/>
      <c r="D293" s="25"/>
      <c r="E293" s="25"/>
      <c r="F293" s="25"/>
      <c r="G293" s="25"/>
      <c r="H293" s="31"/>
      <c r="I293" s="32"/>
      <c r="J293" s="33"/>
      <c r="K293" s="34" t="str">
        <f aca="false">IF(OR(H293="",I293=""),"",H293*I293*(1-N(J293)))</f>
        <v/>
      </c>
      <c r="L293" s="32"/>
      <c r="M293" s="34" t="str">
        <f aca="false">IF(OR(H293="",L293=""),"",H293*L293)</f>
        <v/>
      </c>
      <c r="N293" s="34" t="str">
        <f aca="false">IF(OR(K293="",M293=""),"",K293-M293)</f>
        <v/>
      </c>
      <c r="O293" s="35" t="str">
        <f aca="false">IF(OR(N293="",K293=""),"",IF(K293=0,"",N293/K293))</f>
        <v/>
      </c>
      <c r="P293" s="25"/>
      <c r="Q293" s="25"/>
      <c r="R293" s="25"/>
      <c r="S293" s="36" t="str">
        <f aca="false">IF(A293="","",YEAR(A293)+IF(AND(FYStart&gt;1,MONTH(A293)&gt;=FYStart),1,0))</f>
        <v/>
      </c>
      <c r="T293" s="36" t="str">
        <f aca="false">IF(A293="","",MOD(MONTH(A293)-FYStart,12)+1)</f>
        <v/>
      </c>
      <c r="U293" s="37" t="str">
        <f aca="false">IF(A293="","",TEXT(A293,"mmm"))</f>
        <v/>
      </c>
      <c r="V293" s="37" t="str">
        <f aca="false">IF(Q293="","",IFERROR(INDEX(Settings!$I$11:$I$15,MATCH(Q293,Settings!$H$11:$H$15,0)),"No"))</f>
        <v/>
      </c>
      <c r="W293" s="37" t="str">
        <f aca="false">IF(Q293="","",IFERROR(INDEX(Settings!$J$11:$J$15,MATCH(Q293,Settings!$H$11:$H$15,0)),"No"))</f>
        <v/>
      </c>
    </row>
    <row r="294" customFormat="false" ht="15" hidden="false" customHeight="false" outlineLevel="0" collapsed="false">
      <c r="A294" s="30"/>
      <c r="B294" s="25"/>
      <c r="C294" s="25"/>
      <c r="D294" s="25"/>
      <c r="E294" s="25"/>
      <c r="F294" s="25"/>
      <c r="G294" s="25"/>
      <c r="H294" s="31"/>
      <c r="I294" s="32"/>
      <c r="J294" s="33"/>
      <c r="K294" s="34" t="str">
        <f aca="false">IF(OR(H294="",I294=""),"",H294*I294*(1-N(J294)))</f>
        <v/>
      </c>
      <c r="L294" s="32"/>
      <c r="M294" s="34" t="str">
        <f aca="false">IF(OR(H294="",L294=""),"",H294*L294)</f>
        <v/>
      </c>
      <c r="N294" s="34" t="str">
        <f aca="false">IF(OR(K294="",M294=""),"",K294-M294)</f>
        <v/>
      </c>
      <c r="O294" s="35" t="str">
        <f aca="false">IF(OR(N294="",K294=""),"",IF(K294=0,"",N294/K294))</f>
        <v/>
      </c>
      <c r="P294" s="25"/>
      <c r="Q294" s="25"/>
      <c r="R294" s="25"/>
      <c r="S294" s="36" t="str">
        <f aca="false">IF(A294="","",YEAR(A294)+IF(AND(FYStart&gt;1,MONTH(A294)&gt;=FYStart),1,0))</f>
        <v/>
      </c>
      <c r="T294" s="36" t="str">
        <f aca="false">IF(A294="","",MOD(MONTH(A294)-FYStart,12)+1)</f>
        <v/>
      </c>
      <c r="U294" s="37" t="str">
        <f aca="false">IF(A294="","",TEXT(A294,"mmm"))</f>
        <v/>
      </c>
      <c r="V294" s="37" t="str">
        <f aca="false">IF(Q294="","",IFERROR(INDEX(Settings!$I$11:$I$15,MATCH(Q294,Settings!$H$11:$H$15,0)),"No"))</f>
        <v/>
      </c>
      <c r="W294" s="37" t="str">
        <f aca="false">IF(Q294="","",IFERROR(INDEX(Settings!$J$11:$J$15,MATCH(Q294,Settings!$H$11:$H$15,0)),"No"))</f>
        <v/>
      </c>
    </row>
    <row r="295" customFormat="false" ht="15" hidden="false" customHeight="false" outlineLevel="0" collapsed="false">
      <c r="A295" s="30"/>
      <c r="B295" s="25"/>
      <c r="C295" s="25"/>
      <c r="D295" s="25"/>
      <c r="E295" s="25"/>
      <c r="F295" s="25"/>
      <c r="G295" s="25"/>
      <c r="H295" s="31"/>
      <c r="I295" s="32"/>
      <c r="J295" s="33"/>
      <c r="K295" s="34" t="str">
        <f aca="false">IF(OR(H295="",I295=""),"",H295*I295*(1-N(J295)))</f>
        <v/>
      </c>
      <c r="L295" s="32"/>
      <c r="M295" s="34" t="str">
        <f aca="false">IF(OR(H295="",L295=""),"",H295*L295)</f>
        <v/>
      </c>
      <c r="N295" s="34" t="str">
        <f aca="false">IF(OR(K295="",M295=""),"",K295-M295)</f>
        <v/>
      </c>
      <c r="O295" s="35" t="str">
        <f aca="false">IF(OR(N295="",K295=""),"",IF(K295=0,"",N295/K295))</f>
        <v/>
      </c>
      <c r="P295" s="25"/>
      <c r="Q295" s="25"/>
      <c r="R295" s="25"/>
      <c r="S295" s="36" t="str">
        <f aca="false">IF(A295="","",YEAR(A295)+IF(AND(FYStart&gt;1,MONTH(A295)&gt;=FYStart),1,0))</f>
        <v/>
      </c>
      <c r="T295" s="36" t="str">
        <f aca="false">IF(A295="","",MOD(MONTH(A295)-FYStart,12)+1)</f>
        <v/>
      </c>
      <c r="U295" s="37" t="str">
        <f aca="false">IF(A295="","",TEXT(A295,"mmm"))</f>
        <v/>
      </c>
      <c r="V295" s="37" t="str">
        <f aca="false">IF(Q295="","",IFERROR(INDEX(Settings!$I$11:$I$15,MATCH(Q295,Settings!$H$11:$H$15,0)),"No"))</f>
        <v/>
      </c>
      <c r="W295" s="37" t="str">
        <f aca="false">IF(Q295="","",IFERROR(INDEX(Settings!$J$11:$J$15,MATCH(Q295,Settings!$H$11:$H$15,0)),"No"))</f>
        <v/>
      </c>
    </row>
    <row r="296" customFormat="false" ht="15" hidden="false" customHeight="false" outlineLevel="0" collapsed="false">
      <c r="A296" s="30"/>
      <c r="B296" s="25"/>
      <c r="C296" s="25"/>
      <c r="D296" s="25"/>
      <c r="E296" s="25"/>
      <c r="F296" s="25"/>
      <c r="G296" s="25"/>
      <c r="H296" s="31"/>
      <c r="I296" s="32"/>
      <c r="J296" s="33"/>
      <c r="K296" s="34" t="str">
        <f aca="false">IF(OR(H296="",I296=""),"",H296*I296*(1-N(J296)))</f>
        <v/>
      </c>
      <c r="L296" s="32"/>
      <c r="M296" s="34" t="str">
        <f aca="false">IF(OR(H296="",L296=""),"",H296*L296)</f>
        <v/>
      </c>
      <c r="N296" s="34" t="str">
        <f aca="false">IF(OR(K296="",M296=""),"",K296-M296)</f>
        <v/>
      </c>
      <c r="O296" s="35" t="str">
        <f aca="false">IF(OR(N296="",K296=""),"",IF(K296=0,"",N296/K296))</f>
        <v/>
      </c>
      <c r="P296" s="25"/>
      <c r="Q296" s="25"/>
      <c r="R296" s="25"/>
      <c r="S296" s="36" t="str">
        <f aca="false">IF(A296="","",YEAR(A296)+IF(AND(FYStart&gt;1,MONTH(A296)&gt;=FYStart),1,0))</f>
        <v/>
      </c>
      <c r="T296" s="36" t="str">
        <f aca="false">IF(A296="","",MOD(MONTH(A296)-FYStart,12)+1)</f>
        <v/>
      </c>
      <c r="U296" s="37" t="str">
        <f aca="false">IF(A296="","",TEXT(A296,"mmm"))</f>
        <v/>
      </c>
      <c r="V296" s="37" t="str">
        <f aca="false">IF(Q296="","",IFERROR(INDEX(Settings!$I$11:$I$15,MATCH(Q296,Settings!$H$11:$H$15,0)),"No"))</f>
        <v/>
      </c>
      <c r="W296" s="37" t="str">
        <f aca="false">IF(Q296="","",IFERROR(INDEX(Settings!$J$11:$J$15,MATCH(Q296,Settings!$H$11:$H$15,0)),"No"))</f>
        <v/>
      </c>
    </row>
    <row r="297" customFormat="false" ht="15" hidden="false" customHeight="false" outlineLevel="0" collapsed="false">
      <c r="A297" s="30"/>
      <c r="B297" s="25"/>
      <c r="C297" s="25"/>
      <c r="D297" s="25"/>
      <c r="E297" s="25"/>
      <c r="F297" s="25"/>
      <c r="G297" s="25"/>
      <c r="H297" s="31"/>
      <c r="I297" s="32"/>
      <c r="J297" s="33"/>
      <c r="K297" s="34" t="str">
        <f aca="false">IF(OR(H297="",I297=""),"",H297*I297*(1-N(J297)))</f>
        <v/>
      </c>
      <c r="L297" s="32"/>
      <c r="M297" s="34" t="str">
        <f aca="false">IF(OR(H297="",L297=""),"",H297*L297)</f>
        <v/>
      </c>
      <c r="N297" s="34" t="str">
        <f aca="false">IF(OR(K297="",M297=""),"",K297-M297)</f>
        <v/>
      </c>
      <c r="O297" s="35" t="str">
        <f aca="false">IF(OR(N297="",K297=""),"",IF(K297=0,"",N297/K297))</f>
        <v/>
      </c>
      <c r="P297" s="25"/>
      <c r="Q297" s="25"/>
      <c r="R297" s="25"/>
      <c r="S297" s="36" t="str">
        <f aca="false">IF(A297="","",YEAR(A297)+IF(AND(FYStart&gt;1,MONTH(A297)&gt;=FYStart),1,0))</f>
        <v/>
      </c>
      <c r="T297" s="36" t="str">
        <f aca="false">IF(A297="","",MOD(MONTH(A297)-FYStart,12)+1)</f>
        <v/>
      </c>
      <c r="U297" s="37" t="str">
        <f aca="false">IF(A297="","",TEXT(A297,"mmm"))</f>
        <v/>
      </c>
      <c r="V297" s="37" t="str">
        <f aca="false">IF(Q297="","",IFERROR(INDEX(Settings!$I$11:$I$15,MATCH(Q297,Settings!$H$11:$H$15,0)),"No"))</f>
        <v/>
      </c>
      <c r="W297" s="37" t="str">
        <f aca="false">IF(Q297="","",IFERROR(INDEX(Settings!$J$11:$J$15,MATCH(Q297,Settings!$H$11:$H$15,0)),"No"))</f>
        <v/>
      </c>
    </row>
    <row r="298" customFormat="false" ht="15" hidden="false" customHeight="false" outlineLevel="0" collapsed="false">
      <c r="A298" s="30"/>
      <c r="B298" s="25"/>
      <c r="C298" s="25"/>
      <c r="D298" s="25"/>
      <c r="E298" s="25"/>
      <c r="F298" s="25"/>
      <c r="G298" s="25"/>
      <c r="H298" s="31"/>
      <c r="I298" s="32"/>
      <c r="J298" s="33"/>
      <c r="K298" s="34" t="str">
        <f aca="false">IF(OR(H298="",I298=""),"",H298*I298*(1-N(J298)))</f>
        <v/>
      </c>
      <c r="L298" s="32"/>
      <c r="M298" s="34" t="str">
        <f aca="false">IF(OR(H298="",L298=""),"",H298*L298)</f>
        <v/>
      </c>
      <c r="N298" s="34" t="str">
        <f aca="false">IF(OR(K298="",M298=""),"",K298-M298)</f>
        <v/>
      </c>
      <c r="O298" s="35" t="str">
        <f aca="false">IF(OR(N298="",K298=""),"",IF(K298=0,"",N298/K298))</f>
        <v/>
      </c>
      <c r="P298" s="25"/>
      <c r="Q298" s="25"/>
      <c r="R298" s="25"/>
      <c r="S298" s="36" t="str">
        <f aca="false">IF(A298="","",YEAR(A298)+IF(AND(FYStart&gt;1,MONTH(A298)&gt;=FYStart),1,0))</f>
        <v/>
      </c>
      <c r="T298" s="36" t="str">
        <f aca="false">IF(A298="","",MOD(MONTH(A298)-FYStart,12)+1)</f>
        <v/>
      </c>
      <c r="U298" s="37" t="str">
        <f aca="false">IF(A298="","",TEXT(A298,"mmm"))</f>
        <v/>
      </c>
      <c r="V298" s="37" t="str">
        <f aca="false">IF(Q298="","",IFERROR(INDEX(Settings!$I$11:$I$15,MATCH(Q298,Settings!$H$11:$H$15,0)),"No"))</f>
        <v/>
      </c>
      <c r="W298" s="37" t="str">
        <f aca="false">IF(Q298="","",IFERROR(INDEX(Settings!$J$11:$J$15,MATCH(Q298,Settings!$H$11:$H$15,0)),"No"))</f>
        <v/>
      </c>
    </row>
    <row r="299" customFormat="false" ht="15" hidden="false" customHeight="false" outlineLevel="0" collapsed="false">
      <c r="A299" s="30"/>
      <c r="B299" s="25"/>
      <c r="C299" s="25"/>
      <c r="D299" s="25"/>
      <c r="E299" s="25"/>
      <c r="F299" s="25"/>
      <c r="G299" s="25"/>
      <c r="H299" s="31"/>
      <c r="I299" s="32"/>
      <c r="J299" s="33"/>
      <c r="K299" s="34" t="str">
        <f aca="false">IF(OR(H299="",I299=""),"",H299*I299*(1-N(J299)))</f>
        <v/>
      </c>
      <c r="L299" s="32"/>
      <c r="M299" s="34" t="str">
        <f aca="false">IF(OR(H299="",L299=""),"",H299*L299)</f>
        <v/>
      </c>
      <c r="N299" s="34" t="str">
        <f aca="false">IF(OR(K299="",M299=""),"",K299-M299)</f>
        <v/>
      </c>
      <c r="O299" s="35" t="str">
        <f aca="false">IF(OR(N299="",K299=""),"",IF(K299=0,"",N299/K299))</f>
        <v/>
      </c>
      <c r="P299" s="25"/>
      <c r="Q299" s="25"/>
      <c r="R299" s="25"/>
      <c r="S299" s="36" t="str">
        <f aca="false">IF(A299="","",YEAR(A299)+IF(AND(FYStart&gt;1,MONTH(A299)&gt;=FYStart),1,0))</f>
        <v/>
      </c>
      <c r="T299" s="36" t="str">
        <f aca="false">IF(A299="","",MOD(MONTH(A299)-FYStart,12)+1)</f>
        <v/>
      </c>
      <c r="U299" s="37" t="str">
        <f aca="false">IF(A299="","",TEXT(A299,"mmm"))</f>
        <v/>
      </c>
      <c r="V299" s="37" t="str">
        <f aca="false">IF(Q299="","",IFERROR(INDEX(Settings!$I$11:$I$15,MATCH(Q299,Settings!$H$11:$H$15,0)),"No"))</f>
        <v/>
      </c>
      <c r="W299" s="37" t="str">
        <f aca="false">IF(Q299="","",IFERROR(INDEX(Settings!$J$11:$J$15,MATCH(Q299,Settings!$H$11:$H$15,0)),"No"))</f>
        <v/>
      </c>
    </row>
    <row r="300" customFormat="false" ht="15" hidden="false" customHeight="false" outlineLevel="0" collapsed="false">
      <c r="A300" s="30"/>
      <c r="B300" s="25"/>
      <c r="C300" s="25"/>
      <c r="D300" s="25"/>
      <c r="E300" s="25"/>
      <c r="F300" s="25"/>
      <c r="G300" s="25"/>
      <c r="H300" s="31"/>
      <c r="I300" s="32"/>
      <c r="J300" s="33"/>
      <c r="K300" s="34" t="str">
        <f aca="false">IF(OR(H300="",I300=""),"",H300*I300*(1-N(J300)))</f>
        <v/>
      </c>
      <c r="L300" s="32"/>
      <c r="M300" s="34" t="str">
        <f aca="false">IF(OR(H300="",L300=""),"",H300*L300)</f>
        <v/>
      </c>
      <c r="N300" s="34" t="str">
        <f aca="false">IF(OR(K300="",M300=""),"",K300-M300)</f>
        <v/>
      </c>
      <c r="O300" s="35" t="str">
        <f aca="false">IF(OR(N300="",K300=""),"",IF(K300=0,"",N300/K300))</f>
        <v/>
      </c>
      <c r="P300" s="25"/>
      <c r="Q300" s="25"/>
      <c r="R300" s="25"/>
      <c r="S300" s="36" t="str">
        <f aca="false">IF(A300="","",YEAR(A300)+IF(AND(FYStart&gt;1,MONTH(A300)&gt;=FYStart),1,0))</f>
        <v/>
      </c>
      <c r="T300" s="36" t="str">
        <f aca="false">IF(A300="","",MOD(MONTH(A300)-FYStart,12)+1)</f>
        <v/>
      </c>
      <c r="U300" s="37" t="str">
        <f aca="false">IF(A300="","",TEXT(A300,"mmm"))</f>
        <v/>
      </c>
      <c r="V300" s="37" t="str">
        <f aca="false">IF(Q300="","",IFERROR(INDEX(Settings!$I$11:$I$15,MATCH(Q300,Settings!$H$11:$H$15,0)),"No"))</f>
        <v/>
      </c>
      <c r="W300" s="37" t="str">
        <f aca="false">IF(Q300="","",IFERROR(INDEX(Settings!$J$11:$J$15,MATCH(Q300,Settings!$H$11:$H$15,0)),"No"))</f>
        <v/>
      </c>
    </row>
    <row r="301" customFormat="false" ht="15" hidden="false" customHeight="false" outlineLevel="0" collapsed="false">
      <c r="A301" s="30"/>
      <c r="B301" s="25"/>
      <c r="C301" s="25"/>
      <c r="D301" s="25"/>
      <c r="E301" s="25"/>
      <c r="F301" s="25"/>
      <c r="G301" s="25"/>
      <c r="H301" s="31"/>
      <c r="I301" s="32"/>
      <c r="J301" s="33"/>
      <c r="K301" s="34" t="str">
        <f aca="false">IF(OR(H301="",I301=""),"",H301*I301*(1-N(J301)))</f>
        <v/>
      </c>
      <c r="L301" s="32"/>
      <c r="M301" s="34" t="str">
        <f aca="false">IF(OR(H301="",L301=""),"",H301*L301)</f>
        <v/>
      </c>
      <c r="N301" s="34" t="str">
        <f aca="false">IF(OR(K301="",M301=""),"",K301-M301)</f>
        <v/>
      </c>
      <c r="O301" s="35" t="str">
        <f aca="false">IF(OR(N301="",K301=""),"",IF(K301=0,"",N301/K301))</f>
        <v/>
      </c>
      <c r="P301" s="25"/>
      <c r="Q301" s="25"/>
      <c r="R301" s="25"/>
      <c r="S301" s="36" t="str">
        <f aca="false">IF(A301="","",YEAR(A301)+IF(AND(FYStart&gt;1,MONTH(A301)&gt;=FYStart),1,0))</f>
        <v/>
      </c>
      <c r="T301" s="36" t="str">
        <f aca="false">IF(A301="","",MOD(MONTH(A301)-FYStart,12)+1)</f>
        <v/>
      </c>
      <c r="U301" s="37" t="str">
        <f aca="false">IF(A301="","",TEXT(A301,"mmm"))</f>
        <v/>
      </c>
      <c r="V301" s="37" t="str">
        <f aca="false">IF(Q301="","",IFERROR(INDEX(Settings!$I$11:$I$15,MATCH(Q301,Settings!$H$11:$H$15,0)),"No"))</f>
        <v/>
      </c>
      <c r="W301" s="37" t="str">
        <f aca="false">IF(Q301="","",IFERROR(INDEX(Settings!$J$11:$J$15,MATCH(Q301,Settings!$H$11:$H$15,0)),"No"))</f>
        <v/>
      </c>
    </row>
    <row r="302" customFormat="false" ht="15" hidden="false" customHeight="false" outlineLevel="0" collapsed="false">
      <c r="A302" s="30"/>
      <c r="B302" s="25"/>
      <c r="C302" s="25"/>
      <c r="D302" s="25"/>
      <c r="E302" s="25"/>
      <c r="F302" s="25"/>
      <c r="G302" s="25"/>
      <c r="H302" s="31"/>
      <c r="I302" s="32"/>
      <c r="J302" s="33"/>
      <c r="K302" s="34" t="str">
        <f aca="false">IF(OR(H302="",I302=""),"",H302*I302*(1-N(J302)))</f>
        <v/>
      </c>
      <c r="L302" s="32"/>
      <c r="M302" s="34" t="str">
        <f aca="false">IF(OR(H302="",L302=""),"",H302*L302)</f>
        <v/>
      </c>
      <c r="N302" s="34" t="str">
        <f aca="false">IF(OR(K302="",M302=""),"",K302-M302)</f>
        <v/>
      </c>
      <c r="O302" s="35" t="str">
        <f aca="false">IF(OR(N302="",K302=""),"",IF(K302=0,"",N302/K302))</f>
        <v/>
      </c>
      <c r="P302" s="25"/>
      <c r="Q302" s="25"/>
      <c r="R302" s="25"/>
      <c r="S302" s="36" t="str">
        <f aca="false">IF(A302="","",YEAR(A302)+IF(AND(FYStart&gt;1,MONTH(A302)&gt;=FYStart),1,0))</f>
        <v/>
      </c>
      <c r="T302" s="36" t="str">
        <f aca="false">IF(A302="","",MOD(MONTH(A302)-FYStart,12)+1)</f>
        <v/>
      </c>
      <c r="U302" s="37" t="str">
        <f aca="false">IF(A302="","",TEXT(A302,"mmm"))</f>
        <v/>
      </c>
      <c r="V302" s="37" t="str">
        <f aca="false">IF(Q302="","",IFERROR(INDEX(Settings!$I$11:$I$15,MATCH(Q302,Settings!$H$11:$H$15,0)),"No"))</f>
        <v/>
      </c>
      <c r="W302" s="37" t="str">
        <f aca="false">IF(Q302="","",IFERROR(INDEX(Settings!$J$11:$J$15,MATCH(Q302,Settings!$H$11:$H$15,0)),"No"))</f>
        <v/>
      </c>
    </row>
    <row r="303" customFormat="false" ht="15" hidden="false" customHeight="false" outlineLevel="0" collapsed="false">
      <c r="A303" s="30"/>
      <c r="B303" s="25"/>
      <c r="C303" s="25"/>
      <c r="D303" s="25"/>
      <c r="E303" s="25"/>
      <c r="F303" s="25"/>
      <c r="G303" s="25"/>
      <c r="H303" s="31"/>
      <c r="I303" s="32"/>
      <c r="J303" s="33"/>
      <c r="K303" s="34" t="str">
        <f aca="false">IF(OR(H303="",I303=""),"",H303*I303*(1-N(J303)))</f>
        <v/>
      </c>
      <c r="L303" s="32"/>
      <c r="M303" s="34" t="str">
        <f aca="false">IF(OR(H303="",L303=""),"",H303*L303)</f>
        <v/>
      </c>
      <c r="N303" s="34" t="str">
        <f aca="false">IF(OR(K303="",M303=""),"",K303-M303)</f>
        <v/>
      </c>
      <c r="O303" s="35" t="str">
        <f aca="false">IF(OR(N303="",K303=""),"",IF(K303=0,"",N303/K303))</f>
        <v/>
      </c>
      <c r="P303" s="25"/>
      <c r="Q303" s="25"/>
      <c r="R303" s="25"/>
      <c r="S303" s="36" t="str">
        <f aca="false">IF(A303="","",YEAR(A303)+IF(AND(FYStart&gt;1,MONTH(A303)&gt;=FYStart),1,0))</f>
        <v/>
      </c>
      <c r="T303" s="36" t="str">
        <f aca="false">IF(A303="","",MOD(MONTH(A303)-FYStart,12)+1)</f>
        <v/>
      </c>
      <c r="U303" s="37" t="str">
        <f aca="false">IF(A303="","",TEXT(A303,"mmm"))</f>
        <v/>
      </c>
      <c r="V303" s="37" t="str">
        <f aca="false">IF(Q303="","",IFERROR(INDEX(Settings!$I$11:$I$15,MATCH(Q303,Settings!$H$11:$H$15,0)),"No"))</f>
        <v/>
      </c>
      <c r="W303" s="37" t="str">
        <f aca="false">IF(Q303="","",IFERROR(INDEX(Settings!$J$11:$J$15,MATCH(Q303,Settings!$H$11:$H$15,0)),"No"))</f>
        <v/>
      </c>
    </row>
    <row r="304" customFormat="false" ht="15" hidden="false" customHeight="false" outlineLevel="0" collapsed="false">
      <c r="A304" s="30"/>
      <c r="B304" s="25"/>
      <c r="C304" s="25"/>
      <c r="D304" s="25"/>
      <c r="E304" s="25"/>
      <c r="F304" s="25"/>
      <c r="G304" s="25"/>
      <c r="H304" s="31"/>
      <c r="I304" s="32"/>
      <c r="J304" s="33"/>
      <c r="K304" s="34" t="str">
        <f aca="false">IF(OR(H304="",I304=""),"",H304*I304*(1-N(J304)))</f>
        <v/>
      </c>
      <c r="L304" s="32"/>
      <c r="M304" s="34" t="str">
        <f aca="false">IF(OR(H304="",L304=""),"",H304*L304)</f>
        <v/>
      </c>
      <c r="N304" s="34" t="str">
        <f aca="false">IF(OR(K304="",M304=""),"",K304-M304)</f>
        <v/>
      </c>
      <c r="O304" s="35" t="str">
        <f aca="false">IF(OR(N304="",K304=""),"",IF(K304=0,"",N304/K304))</f>
        <v/>
      </c>
      <c r="P304" s="25"/>
      <c r="Q304" s="25"/>
      <c r="R304" s="25"/>
      <c r="S304" s="36" t="str">
        <f aca="false">IF(A304="","",YEAR(A304)+IF(AND(FYStart&gt;1,MONTH(A304)&gt;=FYStart),1,0))</f>
        <v/>
      </c>
      <c r="T304" s="36" t="str">
        <f aca="false">IF(A304="","",MOD(MONTH(A304)-FYStart,12)+1)</f>
        <v/>
      </c>
      <c r="U304" s="37" t="str">
        <f aca="false">IF(A304="","",TEXT(A304,"mmm"))</f>
        <v/>
      </c>
      <c r="V304" s="37" t="str">
        <f aca="false">IF(Q304="","",IFERROR(INDEX(Settings!$I$11:$I$15,MATCH(Q304,Settings!$H$11:$H$15,0)),"No"))</f>
        <v/>
      </c>
      <c r="W304" s="37" t="str">
        <f aca="false">IF(Q304="","",IFERROR(INDEX(Settings!$J$11:$J$15,MATCH(Q304,Settings!$H$11:$H$15,0)),"No"))</f>
        <v/>
      </c>
    </row>
    <row r="305" customFormat="false" ht="15" hidden="false" customHeight="false" outlineLevel="0" collapsed="false">
      <c r="A305" s="30"/>
      <c r="B305" s="25"/>
      <c r="C305" s="25"/>
      <c r="D305" s="25"/>
      <c r="E305" s="25"/>
      <c r="F305" s="25"/>
      <c r="G305" s="25"/>
      <c r="H305" s="31"/>
      <c r="I305" s="32"/>
      <c r="J305" s="33"/>
      <c r="K305" s="34" t="str">
        <f aca="false">IF(OR(H305="",I305=""),"",H305*I305*(1-N(J305)))</f>
        <v/>
      </c>
      <c r="L305" s="32"/>
      <c r="M305" s="34" t="str">
        <f aca="false">IF(OR(H305="",L305=""),"",H305*L305)</f>
        <v/>
      </c>
      <c r="N305" s="34" t="str">
        <f aca="false">IF(OR(K305="",M305=""),"",K305-M305)</f>
        <v/>
      </c>
      <c r="O305" s="35" t="str">
        <f aca="false">IF(OR(N305="",K305=""),"",IF(K305=0,"",N305/K305))</f>
        <v/>
      </c>
      <c r="P305" s="25"/>
      <c r="Q305" s="25"/>
      <c r="R305" s="25"/>
      <c r="S305" s="36" t="str">
        <f aca="false">IF(A305="","",YEAR(A305)+IF(AND(FYStart&gt;1,MONTH(A305)&gt;=FYStart),1,0))</f>
        <v/>
      </c>
      <c r="T305" s="36" t="str">
        <f aca="false">IF(A305="","",MOD(MONTH(A305)-FYStart,12)+1)</f>
        <v/>
      </c>
      <c r="U305" s="37" t="str">
        <f aca="false">IF(A305="","",TEXT(A305,"mmm"))</f>
        <v/>
      </c>
      <c r="V305" s="37" t="str">
        <f aca="false">IF(Q305="","",IFERROR(INDEX(Settings!$I$11:$I$15,MATCH(Q305,Settings!$H$11:$H$15,0)),"No"))</f>
        <v/>
      </c>
      <c r="W305" s="37" t="str">
        <f aca="false">IF(Q305="","",IFERROR(INDEX(Settings!$J$11:$J$15,MATCH(Q305,Settings!$H$11:$H$15,0)),"No"))</f>
        <v/>
      </c>
    </row>
    <row r="306" customFormat="false" ht="15" hidden="false" customHeight="false" outlineLevel="0" collapsed="false">
      <c r="A306" s="30"/>
      <c r="B306" s="25"/>
      <c r="C306" s="25"/>
      <c r="D306" s="25"/>
      <c r="E306" s="25"/>
      <c r="F306" s="25"/>
      <c r="G306" s="25"/>
      <c r="H306" s="31"/>
      <c r="I306" s="32"/>
      <c r="J306" s="33"/>
      <c r="K306" s="34" t="str">
        <f aca="false">IF(OR(H306="",I306=""),"",H306*I306*(1-N(J306)))</f>
        <v/>
      </c>
      <c r="L306" s="32"/>
      <c r="M306" s="34" t="str">
        <f aca="false">IF(OR(H306="",L306=""),"",H306*L306)</f>
        <v/>
      </c>
      <c r="N306" s="34" t="str">
        <f aca="false">IF(OR(K306="",M306=""),"",K306-M306)</f>
        <v/>
      </c>
      <c r="O306" s="35" t="str">
        <f aca="false">IF(OR(N306="",K306=""),"",IF(K306=0,"",N306/K306))</f>
        <v/>
      </c>
      <c r="P306" s="25"/>
      <c r="Q306" s="25"/>
      <c r="R306" s="25"/>
      <c r="S306" s="36" t="str">
        <f aca="false">IF(A306="","",YEAR(A306)+IF(AND(FYStart&gt;1,MONTH(A306)&gt;=FYStart),1,0))</f>
        <v/>
      </c>
      <c r="T306" s="36" t="str">
        <f aca="false">IF(A306="","",MOD(MONTH(A306)-FYStart,12)+1)</f>
        <v/>
      </c>
      <c r="U306" s="37" t="str">
        <f aca="false">IF(A306="","",TEXT(A306,"mmm"))</f>
        <v/>
      </c>
      <c r="V306" s="37" t="str">
        <f aca="false">IF(Q306="","",IFERROR(INDEX(Settings!$I$11:$I$15,MATCH(Q306,Settings!$H$11:$H$15,0)),"No"))</f>
        <v/>
      </c>
      <c r="W306" s="37" t="str">
        <f aca="false">IF(Q306="","",IFERROR(INDEX(Settings!$J$11:$J$15,MATCH(Q306,Settings!$H$11:$H$15,0)),"No"))</f>
        <v/>
      </c>
    </row>
    <row r="307" customFormat="false" ht="15" hidden="false" customHeight="false" outlineLevel="0" collapsed="false">
      <c r="A307" s="30"/>
      <c r="B307" s="25"/>
      <c r="C307" s="25"/>
      <c r="D307" s="25"/>
      <c r="E307" s="25"/>
      <c r="F307" s="25"/>
      <c r="G307" s="25"/>
      <c r="H307" s="31"/>
      <c r="I307" s="32"/>
      <c r="J307" s="33"/>
      <c r="K307" s="34" t="str">
        <f aca="false">IF(OR(H307="",I307=""),"",H307*I307*(1-N(J307)))</f>
        <v/>
      </c>
      <c r="L307" s="32"/>
      <c r="M307" s="34" t="str">
        <f aca="false">IF(OR(H307="",L307=""),"",H307*L307)</f>
        <v/>
      </c>
      <c r="N307" s="34" t="str">
        <f aca="false">IF(OR(K307="",M307=""),"",K307-M307)</f>
        <v/>
      </c>
      <c r="O307" s="35" t="str">
        <f aca="false">IF(OR(N307="",K307=""),"",IF(K307=0,"",N307/K307))</f>
        <v/>
      </c>
      <c r="P307" s="25"/>
      <c r="Q307" s="25"/>
      <c r="R307" s="25"/>
      <c r="S307" s="36" t="str">
        <f aca="false">IF(A307="","",YEAR(A307)+IF(AND(FYStart&gt;1,MONTH(A307)&gt;=FYStart),1,0))</f>
        <v/>
      </c>
      <c r="T307" s="36" t="str">
        <f aca="false">IF(A307="","",MOD(MONTH(A307)-FYStart,12)+1)</f>
        <v/>
      </c>
      <c r="U307" s="37" t="str">
        <f aca="false">IF(A307="","",TEXT(A307,"mmm"))</f>
        <v/>
      </c>
      <c r="V307" s="37" t="str">
        <f aca="false">IF(Q307="","",IFERROR(INDEX(Settings!$I$11:$I$15,MATCH(Q307,Settings!$H$11:$H$15,0)),"No"))</f>
        <v/>
      </c>
      <c r="W307" s="37" t="str">
        <f aca="false">IF(Q307="","",IFERROR(INDEX(Settings!$J$11:$J$15,MATCH(Q307,Settings!$H$11:$H$15,0)),"No"))</f>
        <v/>
      </c>
    </row>
    <row r="308" customFormat="false" ht="15" hidden="false" customHeight="false" outlineLevel="0" collapsed="false">
      <c r="A308" s="30"/>
      <c r="B308" s="25"/>
      <c r="C308" s="25"/>
      <c r="D308" s="25"/>
      <c r="E308" s="25"/>
      <c r="F308" s="25"/>
      <c r="G308" s="25"/>
      <c r="H308" s="31"/>
      <c r="I308" s="32"/>
      <c r="J308" s="33"/>
      <c r="K308" s="34" t="str">
        <f aca="false">IF(OR(H308="",I308=""),"",H308*I308*(1-N(J308)))</f>
        <v/>
      </c>
      <c r="L308" s="32"/>
      <c r="M308" s="34" t="str">
        <f aca="false">IF(OR(H308="",L308=""),"",H308*L308)</f>
        <v/>
      </c>
      <c r="N308" s="34" t="str">
        <f aca="false">IF(OR(K308="",M308=""),"",K308-M308)</f>
        <v/>
      </c>
      <c r="O308" s="35" t="str">
        <f aca="false">IF(OR(N308="",K308=""),"",IF(K308=0,"",N308/K308))</f>
        <v/>
      </c>
      <c r="P308" s="25"/>
      <c r="Q308" s="25"/>
      <c r="R308" s="25"/>
      <c r="S308" s="36" t="str">
        <f aca="false">IF(A308="","",YEAR(A308)+IF(AND(FYStart&gt;1,MONTH(A308)&gt;=FYStart),1,0))</f>
        <v/>
      </c>
      <c r="T308" s="36" t="str">
        <f aca="false">IF(A308="","",MOD(MONTH(A308)-FYStart,12)+1)</f>
        <v/>
      </c>
      <c r="U308" s="37" t="str">
        <f aca="false">IF(A308="","",TEXT(A308,"mmm"))</f>
        <v/>
      </c>
      <c r="V308" s="37" t="str">
        <f aca="false">IF(Q308="","",IFERROR(INDEX(Settings!$I$11:$I$15,MATCH(Q308,Settings!$H$11:$H$15,0)),"No"))</f>
        <v/>
      </c>
      <c r="W308" s="37" t="str">
        <f aca="false">IF(Q308="","",IFERROR(INDEX(Settings!$J$11:$J$15,MATCH(Q308,Settings!$H$11:$H$15,0)),"No"))</f>
        <v/>
      </c>
    </row>
    <row r="309" customFormat="false" ht="15" hidden="false" customHeight="false" outlineLevel="0" collapsed="false">
      <c r="A309" s="30"/>
      <c r="B309" s="25"/>
      <c r="C309" s="25"/>
      <c r="D309" s="25"/>
      <c r="E309" s="25"/>
      <c r="F309" s="25"/>
      <c r="G309" s="25"/>
      <c r="H309" s="31"/>
      <c r="I309" s="32"/>
      <c r="J309" s="33"/>
      <c r="K309" s="34" t="str">
        <f aca="false">IF(OR(H309="",I309=""),"",H309*I309*(1-N(J309)))</f>
        <v/>
      </c>
      <c r="L309" s="32"/>
      <c r="M309" s="34" t="str">
        <f aca="false">IF(OR(H309="",L309=""),"",H309*L309)</f>
        <v/>
      </c>
      <c r="N309" s="34" t="str">
        <f aca="false">IF(OR(K309="",M309=""),"",K309-M309)</f>
        <v/>
      </c>
      <c r="O309" s="35" t="str">
        <f aca="false">IF(OR(N309="",K309=""),"",IF(K309=0,"",N309/K309))</f>
        <v/>
      </c>
      <c r="P309" s="25"/>
      <c r="Q309" s="25"/>
      <c r="R309" s="25"/>
      <c r="S309" s="36" t="str">
        <f aca="false">IF(A309="","",YEAR(A309)+IF(AND(FYStart&gt;1,MONTH(A309)&gt;=FYStart),1,0))</f>
        <v/>
      </c>
      <c r="T309" s="36" t="str">
        <f aca="false">IF(A309="","",MOD(MONTH(A309)-FYStart,12)+1)</f>
        <v/>
      </c>
      <c r="U309" s="37" t="str">
        <f aca="false">IF(A309="","",TEXT(A309,"mmm"))</f>
        <v/>
      </c>
      <c r="V309" s="37" t="str">
        <f aca="false">IF(Q309="","",IFERROR(INDEX(Settings!$I$11:$I$15,MATCH(Q309,Settings!$H$11:$H$15,0)),"No"))</f>
        <v/>
      </c>
      <c r="W309" s="37" t="str">
        <f aca="false">IF(Q309="","",IFERROR(INDEX(Settings!$J$11:$J$15,MATCH(Q309,Settings!$H$11:$H$15,0)),"No"))</f>
        <v/>
      </c>
    </row>
    <row r="310" customFormat="false" ht="15" hidden="false" customHeight="false" outlineLevel="0" collapsed="false">
      <c r="A310" s="30"/>
      <c r="B310" s="25"/>
      <c r="C310" s="25"/>
      <c r="D310" s="25"/>
      <c r="E310" s="25"/>
      <c r="F310" s="25"/>
      <c r="G310" s="25"/>
      <c r="H310" s="31"/>
      <c r="I310" s="32"/>
      <c r="J310" s="33"/>
      <c r="K310" s="34" t="str">
        <f aca="false">IF(OR(H310="",I310=""),"",H310*I310*(1-N(J310)))</f>
        <v/>
      </c>
      <c r="L310" s="32"/>
      <c r="M310" s="34" t="str">
        <f aca="false">IF(OR(H310="",L310=""),"",H310*L310)</f>
        <v/>
      </c>
      <c r="N310" s="34" t="str">
        <f aca="false">IF(OR(K310="",M310=""),"",K310-M310)</f>
        <v/>
      </c>
      <c r="O310" s="35" t="str">
        <f aca="false">IF(OR(N310="",K310=""),"",IF(K310=0,"",N310/K310))</f>
        <v/>
      </c>
      <c r="P310" s="25"/>
      <c r="Q310" s="25"/>
      <c r="R310" s="25"/>
      <c r="S310" s="36" t="str">
        <f aca="false">IF(A310="","",YEAR(A310)+IF(AND(FYStart&gt;1,MONTH(A310)&gt;=FYStart),1,0))</f>
        <v/>
      </c>
      <c r="T310" s="36" t="str">
        <f aca="false">IF(A310="","",MOD(MONTH(A310)-FYStart,12)+1)</f>
        <v/>
      </c>
      <c r="U310" s="37" t="str">
        <f aca="false">IF(A310="","",TEXT(A310,"mmm"))</f>
        <v/>
      </c>
      <c r="V310" s="37" t="str">
        <f aca="false">IF(Q310="","",IFERROR(INDEX(Settings!$I$11:$I$15,MATCH(Q310,Settings!$H$11:$H$15,0)),"No"))</f>
        <v/>
      </c>
      <c r="W310" s="37" t="str">
        <f aca="false">IF(Q310="","",IFERROR(INDEX(Settings!$J$11:$J$15,MATCH(Q310,Settings!$H$11:$H$15,0)),"No"))</f>
        <v/>
      </c>
    </row>
    <row r="311" customFormat="false" ht="15" hidden="false" customHeight="false" outlineLevel="0" collapsed="false">
      <c r="A311" s="30"/>
      <c r="B311" s="25"/>
      <c r="C311" s="25"/>
      <c r="D311" s="25"/>
      <c r="E311" s="25"/>
      <c r="F311" s="25"/>
      <c r="G311" s="25"/>
      <c r="H311" s="31"/>
      <c r="I311" s="32"/>
      <c r="J311" s="33"/>
      <c r="K311" s="34" t="str">
        <f aca="false">IF(OR(H311="",I311=""),"",H311*I311*(1-N(J311)))</f>
        <v/>
      </c>
      <c r="L311" s="32"/>
      <c r="M311" s="34" t="str">
        <f aca="false">IF(OR(H311="",L311=""),"",H311*L311)</f>
        <v/>
      </c>
      <c r="N311" s="34" t="str">
        <f aca="false">IF(OR(K311="",M311=""),"",K311-M311)</f>
        <v/>
      </c>
      <c r="O311" s="35" t="str">
        <f aca="false">IF(OR(N311="",K311=""),"",IF(K311=0,"",N311/K311))</f>
        <v/>
      </c>
      <c r="P311" s="25"/>
      <c r="Q311" s="25"/>
      <c r="R311" s="25"/>
      <c r="S311" s="36" t="str">
        <f aca="false">IF(A311="","",YEAR(A311)+IF(AND(FYStart&gt;1,MONTH(A311)&gt;=FYStart),1,0))</f>
        <v/>
      </c>
      <c r="T311" s="36" t="str">
        <f aca="false">IF(A311="","",MOD(MONTH(A311)-FYStart,12)+1)</f>
        <v/>
      </c>
      <c r="U311" s="37" t="str">
        <f aca="false">IF(A311="","",TEXT(A311,"mmm"))</f>
        <v/>
      </c>
      <c r="V311" s="37" t="str">
        <f aca="false">IF(Q311="","",IFERROR(INDEX(Settings!$I$11:$I$15,MATCH(Q311,Settings!$H$11:$H$15,0)),"No"))</f>
        <v/>
      </c>
      <c r="W311" s="37" t="str">
        <f aca="false">IF(Q311="","",IFERROR(INDEX(Settings!$J$11:$J$15,MATCH(Q311,Settings!$H$11:$H$15,0)),"No"))</f>
        <v/>
      </c>
    </row>
    <row r="312" customFormat="false" ht="15" hidden="false" customHeight="false" outlineLevel="0" collapsed="false">
      <c r="A312" s="30"/>
      <c r="B312" s="25"/>
      <c r="C312" s="25"/>
      <c r="D312" s="25"/>
      <c r="E312" s="25"/>
      <c r="F312" s="25"/>
      <c r="G312" s="25"/>
      <c r="H312" s="31"/>
      <c r="I312" s="32"/>
      <c r="J312" s="33"/>
      <c r="K312" s="34" t="str">
        <f aca="false">IF(OR(H312="",I312=""),"",H312*I312*(1-N(J312)))</f>
        <v/>
      </c>
      <c r="L312" s="32"/>
      <c r="M312" s="34" t="str">
        <f aca="false">IF(OR(H312="",L312=""),"",H312*L312)</f>
        <v/>
      </c>
      <c r="N312" s="34" t="str">
        <f aca="false">IF(OR(K312="",M312=""),"",K312-M312)</f>
        <v/>
      </c>
      <c r="O312" s="35" t="str">
        <f aca="false">IF(OR(N312="",K312=""),"",IF(K312=0,"",N312/K312))</f>
        <v/>
      </c>
      <c r="P312" s="25"/>
      <c r="Q312" s="25"/>
      <c r="R312" s="25"/>
      <c r="S312" s="36" t="str">
        <f aca="false">IF(A312="","",YEAR(A312)+IF(AND(FYStart&gt;1,MONTH(A312)&gt;=FYStart),1,0))</f>
        <v/>
      </c>
      <c r="T312" s="36" t="str">
        <f aca="false">IF(A312="","",MOD(MONTH(A312)-FYStart,12)+1)</f>
        <v/>
      </c>
      <c r="U312" s="37" t="str">
        <f aca="false">IF(A312="","",TEXT(A312,"mmm"))</f>
        <v/>
      </c>
      <c r="V312" s="37" t="str">
        <f aca="false">IF(Q312="","",IFERROR(INDEX(Settings!$I$11:$I$15,MATCH(Q312,Settings!$H$11:$H$15,0)),"No"))</f>
        <v/>
      </c>
      <c r="W312" s="37" t="str">
        <f aca="false">IF(Q312="","",IFERROR(INDEX(Settings!$J$11:$J$15,MATCH(Q312,Settings!$H$11:$H$15,0)),"No"))</f>
        <v/>
      </c>
    </row>
    <row r="313" customFormat="false" ht="15" hidden="false" customHeight="false" outlineLevel="0" collapsed="false">
      <c r="A313" s="30"/>
      <c r="B313" s="25"/>
      <c r="C313" s="25"/>
      <c r="D313" s="25"/>
      <c r="E313" s="25"/>
      <c r="F313" s="25"/>
      <c r="G313" s="25"/>
      <c r="H313" s="31"/>
      <c r="I313" s="32"/>
      <c r="J313" s="33"/>
      <c r="K313" s="34" t="str">
        <f aca="false">IF(OR(H313="",I313=""),"",H313*I313*(1-N(J313)))</f>
        <v/>
      </c>
      <c r="L313" s="32"/>
      <c r="M313" s="34" t="str">
        <f aca="false">IF(OR(H313="",L313=""),"",H313*L313)</f>
        <v/>
      </c>
      <c r="N313" s="34" t="str">
        <f aca="false">IF(OR(K313="",M313=""),"",K313-M313)</f>
        <v/>
      </c>
      <c r="O313" s="35" t="str">
        <f aca="false">IF(OR(N313="",K313=""),"",IF(K313=0,"",N313/K313))</f>
        <v/>
      </c>
      <c r="P313" s="25"/>
      <c r="Q313" s="25"/>
      <c r="R313" s="25"/>
      <c r="S313" s="36" t="str">
        <f aca="false">IF(A313="","",YEAR(A313)+IF(AND(FYStart&gt;1,MONTH(A313)&gt;=FYStart),1,0))</f>
        <v/>
      </c>
      <c r="T313" s="36" t="str">
        <f aca="false">IF(A313="","",MOD(MONTH(A313)-FYStart,12)+1)</f>
        <v/>
      </c>
      <c r="U313" s="37" t="str">
        <f aca="false">IF(A313="","",TEXT(A313,"mmm"))</f>
        <v/>
      </c>
      <c r="V313" s="37" t="str">
        <f aca="false">IF(Q313="","",IFERROR(INDEX(Settings!$I$11:$I$15,MATCH(Q313,Settings!$H$11:$H$15,0)),"No"))</f>
        <v/>
      </c>
      <c r="W313" s="37" t="str">
        <f aca="false">IF(Q313="","",IFERROR(INDEX(Settings!$J$11:$J$15,MATCH(Q313,Settings!$H$11:$H$15,0)),"No"))</f>
        <v/>
      </c>
    </row>
    <row r="314" customFormat="false" ht="15" hidden="false" customHeight="false" outlineLevel="0" collapsed="false">
      <c r="A314" s="30"/>
      <c r="B314" s="25"/>
      <c r="C314" s="25"/>
      <c r="D314" s="25"/>
      <c r="E314" s="25"/>
      <c r="F314" s="25"/>
      <c r="G314" s="25"/>
      <c r="H314" s="31"/>
      <c r="I314" s="32"/>
      <c r="J314" s="33"/>
      <c r="K314" s="34" t="str">
        <f aca="false">IF(OR(H314="",I314=""),"",H314*I314*(1-N(J314)))</f>
        <v/>
      </c>
      <c r="L314" s="32"/>
      <c r="M314" s="34" t="str">
        <f aca="false">IF(OR(H314="",L314=""),"",H314*L314)</f>
        <v/>
      </c>
      <c r="N314" s="34" t="str">
        <f aca="false">IF(OR(K314="",M314=""),"",K314-M314)</f>
        <v/>
      </c>
      <c r="O314" s="35" t="str">
        <f aca="false">IF(OR(N314="",K314=""),"",IF(K314=0,"",N314/K314))</f>
        <v/>
      </c>
      <c r="P314" s="25"/>
      <c r="Q314" s="25"/>
      <c r="R314" s="25"/>
      <c r="S314" s="36" t="str">
        <f aca="false">IF(A314="","",YEAR(A314)+IF(AND(FYStart&gt;1,MONTH(A314)&gt;=FYStart),1,0))</f>
        <v/>
      </c>
      <c r="T314" s="36" t="str">
        <f aca="false">IF(A314="","",MOD(MONTH(A314)-FYStart,12)+1)</f>
        <v/>
      </c>
      <c r="U314" s="37" t="str">
        <f aca="false">IF(A314="","",TEXT(A314,"mmm"))</f>
        <v/>
      </c>
      <c r="V314" s="37" t="str">
        <f aca="false">IF(Q314="","",IFERROR(INDEX(Settings!$I$11:$I$15,MATCH(Q314,Settings!$H$11:$H$15,0)),"No"))</f>
        <v/>
      </c>
      <c r="W314" s="37" t="str">
        <f aca="false">IF(Q314="","",IFERROR(INDEX(Settings!$J$11:$J$15,MATCH(Q314,Settings!$H$11:$H$15,0)),"No"))</f>
        <v/>
      </c>
    </row>
    <row r="315" customFormat="false" ht="15" hidden="false" customHeight="false" outlineLevel="0" collapsed="false">
      <c r="A315" s="30"/>
      <c r="B315" s="25"/>
      <c r="C315" s="25"/>
      <c r="D315" s="25"/>
      <c r="E315" s="25"/>
      <c r="F315" s="25"/>
      <c r="G315" s="25"/>
      <c r="H315" s="31"/>
      <c r="I315" s="32"/>
      <c r="J315" s="33"/>
      <c r="K315" s="34" t="str">
        <f aca="false">IF(OR(H315="",I315=""),"",H315*I315*(1-N(J315)))</f>
        <v/>
      </c>
      <c r="L315" s="32"/>
      <c r="M315" s="34" t="str">
        <f aca="false">IF(OR(H315="",L315=""),"",H315*L315)</f>
        <v/>
      </c>
      <c r="N315" s="34" t="str">
        <f aca="false">IF(OR(K315="",M315=""),"",K315-M315)</f>
        <v/>
      </c>
      <c r="O315" s="35" t="str">
        <f aca="false">IF(OR(N315="",K315=""),"",IF(K315=0,"",N315/K315))</f>
        <v/>
      </c>
      <c r="P315" s="25"/>
      <c r="Q315" s="25"/>
      <c r="R315" s="25"/>
      <c r="S315" s="36" t="str">
        <f aca="false">IF(A315="","",YEAR(A315)+IF(AND(FYStart&gt;1,MONTH(A315)&gt;=FYStart),1,0))</f>
        <v/>
      </c>
      <c r="T315" s="36" t="str">
        <f aca="false">IF(A315="","",MOD(MONTH(A315)-FYStart,12)+1)</f>
        <v/>
      </c>
      <c r="U315" s="37" t="str">
        <f aca="false">IF(A315="","",TEXT(A315,"mmm"))</f>
        <v/>
      </c>
      <c r="V315" s="37" t="str">
        <f aca="false">IF(Q315="","",IFERROR(INDEX(Settings!$I$11:$I$15,MATCH(Q315,Settings!$H$11:$H$15,0)),"No"))</f>
        <v/>
      </c>
      <c r="W315" s="37" t="str">
        <f aca="false">IF(Q315="","",IFERROR(INDEX(Settings!$J$11:$J$15,MATCH(Q315,Settings!$H$11:$H$15,0)),"No"))</f>
        <v/>
      </c>
    </row>
    <row r="316" customFormat="false" ht="15" hidden="false" customHeight="false" outlineLevel="0" collapsed="false">
      <c r="A316" s="30"/>
      <c r="B316" s="25"/>
      <c r="C316" s="25"/>
      <c r="D316" s="25"/>
      <c r="E316" s="25"/>
      <c r="F316" s="25"/>
      <c r="G316" s="25"/>
      <c r="H316" s="31"/>
      <c r="I316" s="32"/>
      <c r="J316" s="33"/>
      <c r="K316" s="34" t="str">
        <f aca="false">IF(OR(H316="",I316=""),"",H316*I316*(1-N(J316)))</f>
        <v/>
      </c>
      <c r="L316" s="32"/>
      <c r="M316" s="34" t="str">
        <f aca="false">IF(OR(H316="",L316=""),"",H316*L316)</f>
        <v/>
      </c>
      <c r="N316" s="34" t="str">
        <f aca="false">IF(OR(K316="",M316=""),"",K316-M316)</f>
        <v/>
      </c>
      <c r="O316" s="35" t="str">
        <f aca="false">IF(OR(N316="",K316=""),"",IF(K316=0,"",N316/K316))</f>
        <v/>
      </c>
      <c r="P316" s="25"/>
      <c r="Q316" s="25"/>
      <c r="R316" s="25"/>
      <c r="S316" s="36" t="str">
        <f aca="false">IF(A316="","",YEAR(A316)+IF(AND(FYStart&gt;1,MONTH(A316)&gt;=FYStart),1,0))</f>
        <v/>
      </c>
      <c r="T316" s="36" t="str">
        <f aca="false">IF(A316="","",MOD(MONTH(A316)-FYStart,12)+1)</f>
        <v/>
      </c>
      <c r="U316" s="37" t="str">
        <f aca="false">IF(A316="","",TEXT(A316,"mmm"))</f>
        <v/>
      </c>
      <c r="V316" s="37" t="str">
        <f aca="false">IF(Q316="","",IFERROR(INDEX(Settings!$I$11:$I$15,MATCH(Q316,Settings!$H$11:$H$15,0)),"No"))</f>
        <v/>
      </c>
      <c r="W316" s="37" t="str">
        <f aca="false">IF(Q316="","",IFERROR(INDEX(Settings!$J$11:$J$15,MATCH(Q316,Settings!$H$11:$H$15,0)),"No"))</f>
        <v/>
      </c>
    </row>
    <row r="317" customFormat="false" ht="15" hidden="false" customHeight="false" outlineLevel="0" collapsed="false">
      <c r="A317" s="30"/>
      <c r="B317" s="25"/>
      <c r="C317" s="25"/>
      <c r="D317" s="25"/>
      <c r="E317" s="25"/>
      <c r="F317" s="25"/>
      <c r="G317" s="25"/>
      <c r="H317" s="31"/>
      <c r="I317" s="32"/>
      <c r="J317" s="33"/>
      <c r="K317" s="34" t="str">
        <f aca="false">IF(OR(H317="",I317=""),"",H317*I317*(1-N(J317)))</f>
        <v/>
      </c>
      <c r="L317" s="32"/>
      <c r="M317" s="34" t="str">
        <f aca="false">IF(OR(H317="",L317=""),"",H317*L317)</f>
        <v/>
      </c>
      <c r="N317" s="34" t="str">
        <f aca="false">IF(OR(K317="",M317=""),"",K317-M317)</f>
        <v/>
      </c>
      <c r="O317" s="35" t="str">
        <f aca="false">IF(OR(N317="",K317=""),"",IF(K317=0,"",N317/K317))</f>
        <v/>
      </c>
      <c r="P317" s="25"/>
      <c r="Q317" s="25"/>
      <c r="R317" s="25"/>
      <c r="S317" s="36" t="str">
        <f aca="false">IF(A317="","",YEAR(A317)+IF(AND(FYStart&gt;1,MONTH(A317)&gt;=FYStart),1,0))</f>
        <v/>
      </c>
      <c r="T317" s="36" t="str">
        <f aca="false">IF(A317="","",MOD(MONTH(A317)-FYStart,12)+1)</f>
        <v/>
      </c>
      <c r="U317" s="37" t="str">
        <f aca="false">IF(A317="","",TEXT(A317,"mmm"))</f>
        <v/>
      </c>
      <c r="V317" s="37" t="str">
        <f aca="false">IF(Q317="","",IFERROR(INDEX(Settings!$I$11:$I$15,MATCH(Q317,Settings!$H$11:$H$15,0)),"No"))</f>
        <v/>
      </c>
      <c r="W317" s="37" t="str">
        <f aca="false">IF(Q317="","",IFERROR(INDEX(Settings!$J$11:$J$15,MATCH(Q317,Settings!$H$11:$H$15,0)),"No"))</f>
        <v/>
      </c>
    </row>
    <row r="318" customFormat="false" ht="15" hidden="false" customHeight="false" outlineLevel="0" collapsed="false">
      <c r="A318" s="30"/>
      <c r="B318" s="25"/>
      <c r="C318" s="25"/>
      <c r="D318" s="25"/>
      <c r="E318" s="25"/>
      <c r="F318" s="25"/>
      <c r="G318" s="25"/>
      <c r="H318" s="31"/>
      <c r="I318" s="32"/>
      <c r="J318" s="33"/>
      <c r="K318" s="34" t="str">
        <f aca="false">IF(OR(H318="",I318=""),"",H318*I318*(1-N(J318)))</f>
        <v/>
      </c>
      <c r="L318" s="32"/>
      <c r="M318" s="34" t="str">
        <f aca="false">IF(OR(H318="",L318=""),"",H318*L318)</f>
        <v/>
      </c>
      <c r="N318" s="34" t="str">
        <f aca="false">IF(OR(K318="",M318=""),"",K318-M318)</f>
        <v/>
      </c>
      <c r="O318" s="35" t="str">
        <f aca="false">IF(OR(N318="",K318=""),"",IF(K318=0,"",N318/K318))</f>
        <v/>
      </c>
      <c r="P318" s="25"/>
      <c r="Q318" s="25"/>
      <c r="R318" s="25"/>
      <c r="S318" s="36" t="str">
        <f aca="false">IF(A318="","",YEAR(A318)+IF(AND(FYStart&gt;1,MONTH(A318)&gt;=FYStart),1,0))</f>
        <v/>
      </c>
      <c r="T318" s="36" t="str">
        <f aca="false">IF(A318="","",MOD(MONTH(A318)-FYStart,12)+1)</f>
        <v/>
      </c>
      <c r="U318" s="37" t="str">
        <f aca="false">IF(A318="","",TEXT(A318,"mmm"))</f>
        <v/>
      </c>
      <c r="V318" s="37" t="str">
        <f aca="false">IF(Q318="","",IFERROR(INDEX(Settings!$I$11:$I$15,MATCH(Q318,Settings!$H$11:$H$15,0)),"No"))</f>
        <v/>
      </c>
      <c r="W318" s="37" t="str">
        <f aca="false">IF(Q318="","",IFERROR(INDEX(Settings!$J$11:$J$15,MATCH(Q318,Settings!$H$11:$H$15,0)),"No"))</f>
        <v/>
      </c>
    </row>
    <row r="319" customFormat="false" ht="15" hidden="false" customHeight="false" outlineLevel="0" collapsed="false">
      <c r="A319" s="30"/>
      <c r="B319" s="25"/>
      <c r="C319" s="25"/>
      <c r="D319" s="25"/>
      <c r="E319" s="25"/>
      <c r="F319" s="25"/>
      <c r="G319" s="25"/>
      <c r="H319" s="31"/>
      <c r="I319" s="32"/>
      <c r="J319" s="33"/>
      <c r="K319" s="34" t="str">
        <f aca="false">IF(OR(H319="",I319=""),"",H319*I319*(1-N(J319)))</f>
        <v/>
      </c>
      <c r="L319" s="32"/>
      <c r="M319" s="34" t="str">
        <f aca="false">IF(OR(H319="",L319=""),"",H319*L319)</f>
        <v/>
      </c>
      <c r="N319" s="34" t="str">
        <f aca="false">IF(OR(K319="",M319=""),"",K319-M319)</f>
        <v/>
      </c>
      <c r="O319" s="35" t="str">
        <f aca="false">IF(OR(N319="",K319=""),"",IF(K319=0,"",N319/K319))</f>
        <v/>
      </c>
      <c r="P319" s="25"/>
      <c r="Q319" s="25"/>
      <c r="R319" s="25"/>
      <c r="S319" s="36" t="str">
        <f aca="false">IF(A319="","",YEAR(A319)+IF(AND(FYStart&gt;1,MONTH(A319)&gt;=FYStart),1,0))</f>
        <v/>
      </c>
      <c r="T319" s="36" t="str">
        <f aca="false">IF(A319="","",MOD(MONTH(A319)-FYStart,12)+1)</f>
        <v/>
      </c>
      <c r="U319" s="37" t="str">
        <f aca="false">IF(A319="","",TEXT(A319,"mmm"))</f>
        <v/>
      </c>
      <c r="V319" s="37" t="str">
        <f aca="false">IF(Q319="","",IFERROR(INDEX(Settings!$I$11:$I$15,MATCH(Q319,Settings!$H$11:$H$15,0)),"No"))</f>
        <v/>
      </c>
      <c r="W319" s="37" t="str">
        <f aca="false">IF(Q319="","",IFERROR(INDEX(Settings!$J$11:$J$15,MATCH(Q319,Settings!$H$11:$H$15,0)),"No"))</f>
        <v/>
      </c>
    </row>
    <row r="320" customFormat="false" ht="15" hidden="false" customHeight="false" outlineLevel="0" collapsed="false">
      <c r="A320" s="30"/>
      <c r="B320" s="25"/>
      <c r="C320" s="25"/>
      <c r="D320" s="25"/>
      <c r="E320" s="25"/>
      <c r="F320" s="25"/>
      <c r="G320" s="25"/>
      <c r="H320" s="31"/>
      <c r="I320" s="32"/>
      <c r="J320" s="33"/>
      <c r="K320" s="34" t="str">
        <f aca="false">IF(OR(H320="",I320=""),"",H320*I320*(1-N(J320)))</f>
        <v/>
      </c>
      <c r="L320" s="32"/>
      <c r="M320" s="34" t="str">
        <f aca="false">IF(OR(H320="",L320=""),"",H320*L320)</f>
        <v/>
      </c>
      <c r="N320" s="34" t="str">
        <f aca="false">IF(OR(K320="",M320=""),"",K320-M320)</f>
        <v/>
      </c>
      <c r="O320" s="35" t="str">
        <f aca="false">IF(OR(N320="",K320=""),"",IF(K320=0,"",N320/K320))</f>
        <v/>
      </c>
      <c r="P320" s="25"/>
      <c r="Q320" s="25"/>
      <c r="R320" s="25"/>
      <c r="S320" s="36" t="str">
        <f aca="false">IF(A320="","",YEAR(A320)+IF(AND(FYStart&gt;1,MONTH(A320)&gt;=FYStart),1,0))</f>
        <v/>
      </c>
      <c r="T320" s="36" t="str">
        <f aca="false">IF(A320="","",MOD(MONTH(A320)-FYStart,12)+1)</f>
        <v/>
      </c>
      <c r="U320" s="37" t="str">
        <f aca="false">IF(A320="","",TEXT(A320,"mmm"))</f>
        <v/>
      </c>
      <c r="V320" s="37" t="str">
        <f aca="false">IF(Q320="","",IFERROR(INDEX(Settings!$I$11:$I$15,MATCH(Q320,Settings!$H$11:$H$15,0)),"No"))</f>
        <v/>
      </c>
      <c r="W320" s="37" t="str">
        <f aca="false">IF(Q320="","",IFERROR(INDEX(Settings!$J$11:$J$15,MATCH(Q320,Settings!$H$11:$H$15,0)),"No"))</f>
        <v/>
      </c>
    </row>
    <row r="321" customFormat="false" ht="15" hidden="false" customHeight="false" outlineLevel="0" collapsed="false">
      <c r="A321" s="30"/>
      <c r="B321" s="25"/>
      <c r="C321" s="25"/>
      <c r="D321" s="25"/>
      <c r="E321" s="25"/>
      <c r="F321" s="25"/>
      <c r="G321" s="25"/>
      <c r="H321" s="31"/>
      <c r="I321" s="32"/>
      <c r="J321" s="33"/>
      <c r="K321" s="34" t="str">
        <f aca="false">IF(OR(H321="",I321=""),"",H321*I321*(1-N(J321)))</f>
        <v/>
      </c>
      <c r="L321" s="32"/>
      <c r="M321" s="34" t="str">
        <f aca="false">IF(OR(H321="",L321=""),"",H321*L321)</f>
        <v/>
      </c>
      <c r="N321" s="34" t="str">
        <f aca="false">IF(OR(K321="",M321=""),"",K321-M321)</f>
        <v/>
      </c>
      <c r="O321" s="35" t="str">
        <f aca="false">IF(OR(N321="",K321=""),"",IF(K321=0,"",N321/K321))</f>
        <v/>
      </c>
      <c r="P321" s="25"/>
      <c r="Q321" s="25"/>
      <c r="R321" s="25"/>
      <c r="S321" s="36" t="str">
        <f aca="false">IF(A321="","",YEAR(A321)+IF(AND(FYStart&gt;1,MONTH(A321)&gt;=FYStart),1,0))</f>
        <v/>
      </c>
      <c r="T321" s="36" t="str">
        <f aca="false">IF(A321="","",MOD(MONTH(A321)-FYStart,12)+1)</f>
        <v/>
      </c>
      <c r="U321" s="37" t="str">
        <f aca="false">IF(A321="","",TEXT(A321,"mmm"))</f>
        <v/>
      </c>
      <c r="V321" s="37" t="str">
        <f aca="false">IF(Q321="","",IFERROR(INDEX(Settings!$I$11:$I$15,MATCH(Q321,Settings!$H$11:$H$15,0)),"No"))</f>
        <v/>
      </c>
      <c r="W321" s="37" t="str">
        <f aca="false">IF(Q321="","",IFERROR(INDEX(Settings!$J$11:$J$15,MATCH(Q321,Settings!$H$11:$H$15,0)),"No"))</f>
        <v/>
      </c>
    </row>
    <row r="322" customFormat="false" ht="15" hidden="false" customHeight="false" outlineLevel="0" collapsed="false">
      <c r="A322" s="30"/>
      <c r="B322" s="25"/>
      <c r="C322" s="25"/>
      <c r="D322" s="25"/>
      <c r="E322" s="25"/>
      <c r="F322" s="25"/>
      <c r="G322" s="25"/>
      <c r="H322" s="31"/>
      <c r="I322" s="32"/>
      <c r="J322" s="33"/>
      <c r="K322" s="34" t="str">
        <f aca="false">IF(OR(H322="",I322=""),"",H322*I322*(1-N(J322)))</f>
        <v/>
      </c>
      <c r="L322" s="32"/>
      <c r="M322" s="34" t="str">
        <f aca="false">IF(OR(H322="",L322=""),"",H322*L322)</f>
        <v/>
      </c>
      <c r="N322" s="34" t="str">
        <f aca="false">IF(OR(K322="",M322=""),"",K322-M322)</f>
        <v/>
      </c>
      <c r="O322" s="35" t="str">
        <f aca="false">IF(OR(N322="",K322=""),"",IF(K322=0,"",N322/K322))</f>
        <v/>
      </c>
      <c r="P322" s="25"/>
      <c r="Q322" s="25"/>
      <c r="R322" s="25"/>
      <c r="S322" s="36" t="str">
        <f aca="false">IF(A322="","",YEAR(A322)+IF(AND(FYStart&gt;1,MONTH(A322)&gt;=FYStart),1,0))</f>
        <v/>
      </c>
      <c r="T322" s="36" t="str">
        <f aca="false">IF(A322="","",MOD(MONTH(A322)-FYStart,12)+1)</f>
        <v/>
      </c>
      <c r="U322" s="37" t="str">
        <f aca="false">IF(A322="","",TEXT(A322,"mmm"))</f>
        <v/>
      </c>
      <c r="V322" s="37" t="str">
        <f aca="false">IF(Q322="","",IFERROR(INDEX(Settings!$I$11:$I$15,MATCH(Q322,Settings!$H$11:$H$15,0)),"No"))</f>
        <v/>
      </c>
      <c r="W322" s="37" t="str">
        <f aca="false">IF(Q322="","",IFERROR(INDEX(Settings!$J$11:$J$15,MATCH(Q322,Settings!$H$11:$H$15,0)),"No"))</f>
        <v/>
      </c>
    </row>
    <row r="323" customFormat="false" ht="15" hidden="false" customHeight="false" outlineLevel="0" collapsed="false">
      <c r="A323" s="30"/>
      <c r="B323" s="25"/>
      <c r="C323" s="25"/>
      <c r="D323" s="25"/>
      <c r="E323" s="25"/>
      <c r="F323" s="25"/>
      <c r="G323" s="25"/>
      <c r="H323" s="31"/>
      <c r="I323" s="32"/>
      <c r="J323" s="33"/>
      <c r="K323" s="34" t="str">
        <f aca="false">IF(OR(H323="",I323=""),"",H323*I323*(1-N(J323)))</f>
        <v/>
      </c>
      <c r="L323" s="32"/>
      <c r="M323" s="34" t="str">
        <f aca="false">IF(OR(H323="",L323=""),"",H323*L323)</f>
        <v/>
      </c>
      <c r="N323" s="34" t="str">
        <f aca="false">IF(OR(K323="",M323=""),"",K323-M323)</f>
        <v/>
      </c>
      <c r="O323" s="35" t="str">
        <f aca="false">IF(OR(N323="",K323=""),"",IF(K323=0,"",N323/K323))</f>
        <v/>
      </c>
      <c r="P323" s="25"/>
      <c r="Q323" s="25"/>
      <c r="R323" s="25"/>
      <c r="S323" s="36" t="str">
        <f aca="false">IF(A323="","",YEAR(A323)+IF(AND(FYStart&gt;1,MONTH(A323)&gt;=FYStart),1,0))</f>
        <v/>
      </c>
      <c r="T323" s="36" t="str">
        <f aca="false">IF(A323="","",MOD(MONTH(A323)-FYStart,12)+1)</f>
        <v/>
      </c>
      <c r="U323" s="37" t="str">
        <f aca="false">IF(A323="","",TEXT(A323,"mmm"))</f>
        <v/>
      </c>
      <c r="V323" s="37" t="str">
        <f aca="false">IF(Q323="","",IFERROR(INDEX(Settings!$I$11:$I$15,MATCH(Q323,Settings!$H$11:$H$15,0)),"No"))</f>
        <v/>
      </c>
      <c r="W323" s="37" t="str">
        <f aca="false">IF(Q323="","",IFERROR(INDEX(Settings!$J$11:$J$15,MATCH(Q323,Settings!$H$11:$H$15,0)),"No"))</f>
        <v/>
      </c>
    </row>
    <row r="324" customFormat="false" ht="15" hidden="false" customHeight="false" outlineLevel="0" collapsed="false">
      <c r="A324" s="30"/>
      <c r="B324" s="25"/>
      <c r="C324" s="25"/>
      <c r="D324" s="25"/>
      <c r="E324" s="25"/>
      <c r="F324" s="25"/>
      <c r="G324" s="25"/>
      <c r="H324" s="31"/>
      <c r="I324" s="32"/>
      <c r="J324" s="33"/>
      <c r="K324" s="34" t="str">
        <f aca="false">IF(OR(H324="",I324=""),"",H324*I324*(1-N(J324)))</f>
        <v/>
      </c>
      <c r="L324" s="32"/>
      <c r="M324" s="34" t="str">
        <f aca="false">IF(OR(H324="",L324=""),"",H324*L324)</f>
        <v/>
      </c>
      <c r="N324" s="34" t="str">
        <f aca="false">IF(OR(K324="",M324=""),"",K324-M324)</f>
        <v/>
      </c>
      <c r="O324" s="35" t="str">
        <f aca="false">IF(OR(N324="",K324=""),"",IF(K324=0,"",N324/K324))</f>
        <v/>
      </c>
      <c r="P324" s="25"/>
      <c r="Q324" s="25"/>
      <c r="R324" s="25"/>
      <c r="S324" s="36" t="str">
        <f aca="false">IF(A324="","",YEAR(A324)+IF(AND(FYStart&gt;1,MONTH(A324)&gt;=FYStart),1,0))</f>
        <v/>
      </c>
      <c r="T324" s="36" t="str">
        <f aca="false">IF(A324="","",MOD(MONTH(A324)-FYStart,12)+1)</f>
        <v/>
      </c>
      <c r="U324" s="37" t="str">
        <f aca="false">IF(A324="","",TEXT(A324,"mmm"))</f>
        <v/>
      </c>
      <c r="V324" s="37" t="str">
        <f aca="false">IF(Q324="","",IFERROR(INDEX(Settings!$I$11:$I$15,MATCH(Q324,Settings!$H$11:$H$15,0)),"No"))</f>
        <v/>
      </c>
      <c r="W324" s="37" t="str">
        <f aca="false">IF(Q324="","",IFERROR(INDEX(Settings!$J$11:$J$15,MATCH(Q324,Settings!$H$11:$H$15,0)),"No"))</f>
        <v/>
      </c>
    </row>
    <row r="325" customFormat="false" ht="15" hidden="false" customHeight="false" outlineLevel="0" collapsed="false">
      <c r="A325" s="30"/>
      <c r="B325" s="25"/>
      <c r="C325" s="25"/>
      <c r="D325" s="25"/>
      <c r="E325" s="25"/>
      <c r="F325" s="25"/>
      <c r="G325" s="25"/>
      <c r="H325" s="31"/>
      <c r="I325" s="32"/>
      <c r="J325" s="33"/>
      <c r="K325" s="34" t="str">
        <f aca="false">IF(OR(H325="",I325=""),"",H325*I325*(1-N(J325)))</f>
        <v/>
      </c>
      <c r="L325" s="32"/>
      <c r="M325" s="34" t="str">
        <f aca="false">IF(OR(H325="",L325=""),"",H325*L325)</f>
        <v/>
      </c>
      <c r="N325" s="34" t="str">
        <f aca="false">IF(OR(K325="",M325=""),"",K325-M325)</f>
        <v/>
      </c>
      <c r="O325" s="35" t="str">
        <f aca="false">IF(OR(N325="",K325=""),"",IF(K325=0,"",N325/K325))</f>
        <v/>
      </c>
      <c r="P325" s="25"/>
      <c r="Q325" s="25"/>
      <c r="R325" s="25"/>
      <c r="S325" s="36" t="str">
        <f aca="false">IF(A325="","",YEAR(A325)+IF(AND(FYStart&gt;1,MONTH(A325)&gt;=FYStart),1,0))</f>
        <v/>
      </c>
      <c r="T325" s="36" t="str">
        <f aca="false">IF(A325="","",MOD(MONTH(A325)-FYStart,12)+1)</f>
        <v/>
      </c>
      <c r="U325" s="37" t="str">
        <f aca="false">IF(A325="","",TEXT(A325,"mmm"))</f>
        <v/>
      </c>
      <c r="V325" s="37" t="str">
        <f aca="false">IF(Q325="","",IFERROR(INDEX(Settings!$I$11:$I$15,MATCH(Q325,Settings!$H$11:$H$15,0)),"No"))</f>
        <v/>
      </c>
      <c r="W325" s="37" t="str">
        <f aca="false">IF(Q325="","",IFERROR(INDEX(Settings!$J$11:$J$15,MATCH(Q325,Settings!$H$11:$H$15,0)),"No"))</f>
        <v/>
      </c>
    </row>
    <row r="326" customFormat="false" ht="15" hidden="false" customHeight="false" outlineLevel="0" collapsed="false">
      <c r="A326" s="30"/>
      <c r="B326" s="25"/>
      <c r="C326" s="25"/>
      <c r="D326" s="25"/>
      <c r="E326" s="25"/>
      <c r="F326" s="25"/>
      <c r="G326" s="25"/>
      <c r="H326" s="31"/>
      <c r="I326" s="32"/>
      <c r="J326" s="33"/>
      <c r="K326" s="34" t="str">
        <f aca="false">IF(OR(H326="",I326=""),"",H326*I326*(1-N(J326)))</f>
        <v/>
      </c>
      <c r="L326" s="32"/>
      <c r="M326" s="34" t="str">
        <f aca="false">IF(OR(H326="",L326=""),"",H326*L326)</f>
        <v/>
      </c>
      <c r="N326" s="34" t="str">
        <f aca="false">IF(OR(K326="",M326=""),"",K326-M326)</f>
        <v/>
      </c>
      <c r="O326" s="35" t="str">
        <f aca="false">IF(OR(N326="",K326=""),"",IF(K326=0,"",N326/K326))</f>
        <v/>
      </c>
      <c r="P326" s="25"/>
      <c r="Q326" s="25"/>
      <c r="R326" s="25"/>
      <c r="S326" s="36" t="str">
        <f aca="false">IF(A326="","",YEAR(A326)+IF(AND(FYStart&gt;1,MONTH(A326)&gt;=FYStart),1,0))</f>
        <v/>
      </c>
      <c r="T326" s="36" t="str">
        <f aca="false">IF(A326="","",MOD(MONTH(A326)-FYStart,12)+1)</f>
        <v/>
      </c>
      <c r="U326" s="37" t="str">
        <f aca="false">IF(A326="","",TEXT(A326,"mmm"))</f>
        <v/>
      </c>
      <c r="V326" s="37" t="str">
        <f aca="false">IF(Q326="","",IFERROR(INDEX(Settings!$I$11:$I$15,MATCH(Q326,Settings!$H$11:$H$15,0)),"No"))</f>
        <v/>
      </c>
      <c r="W326" s="37" t="str">
        <f aca="false">IF(Q326="","",IFERROR(INDEX(Settings!$J$11:$J$15,MATCH(Q326,Settings!$H$11:$H$15,0)),"No"))</f>
        <v/>
      </c>
    </row>
    <row r="327" customFormat="false" ht="15" hidden="false" customHeight="false" outlineLevel="0" collapsed="false">
      <c r="A327" s="30"/>
      <c r="B327" s="25"/>
      <c r="C327" s="25"/>
      <c r="D327" s="25"/>
      <c r="E327" s="25"/>
      <c r="F327" s="25"/>
      <c r="G327" s="25"/>
      <c r="H327" s="31"/>
      <c r="I327" s="32"/>
      <c r="J327" s="33"/>
      <c r="K327" s="34" t="str">
        <f aca="false">IF(OR(H327="",I327=""),"",H327*I327*(1-N(J327)))</f>
        <v/>
      </c>
      <c r="L327" s="32"/>
      <c r="M327" s="34" t="str">
        <f aca="false">IF(OR(H327="",L327=""),"",H327*L327)</f>
        <v/>
      </c>
      <c r="N327" s="34" t="str">
        <f aca="false">IF(OR(K327="",M327=""),"",K327-M327)</f>
        <v/>
      </c>
      <c r="O327" s="35" t="str">
        <f aca="false">IF(OR(N327="",K327=""),"",IF(K327=0,"",N327/K327))</f>
        <v/>
      </c>
      <c r="P327" s="25"/>
      <c r="Q327" s="25"/>
      <c r="R327" s="25"/>
      <c r="S327" s="36" t="str">
        <f aca="false">IF(A327="","",YEAR(A327)+IF(AND(FYStart&gt;1,MONTH(A327)&gt;=FYStart),1,0))</f>
        <v/>
      </c>
      <c r="T327" s="36" t="str">
        <f aca="false">IF(A327="","",MOD(MONTH(A327)-FYStart,12)+1)</f>
        <v/>
      </c>
      <c r="U327" s="37" t="str">
        <f aca="false">IF(A327="","",TEXT(A327,"mmm"))</f>
        <v/>
      </c>
      <c r="V327" s="37" t="str">
        <f aca="false">IF(Q327="","",IFERROR(INDEX(Settings!$I$11:$I$15,MATCH(Q327,Settings!$H$11:$H$15,0)),"No"))</f>
        <v/>
      </c>
      <c r="W327" s="37" t="str">
        <f aca="false">IF(Q327="","",IFERROR(INDEX(Settings!$J$11:$J$15,MATCH(Q327,Settings!$H$11:$H$15,0)),"No"))</f>
        <v/>
      </c>
    </row>
    <row r="328" customFormat="false" ht="15" hidden="false" customHeight="false" outlineLevel="0" collapsed="false">
      <c r="A328" s="30"/>
      <c r="B328" s="25"/>
      <c r="C328" s="25"/>
      <c r="D328" s="25"/>
      <c r="E328" s="25"/>
      <c r="F328" s="25"/>
      <c r="G328" s="25"/>
      <c r="H328" s="31"/>
      <c r="I328" s="32"/>
      <c r="J328" s="33"/>
      <c r="K328" s="34" t="str">
        <f aca="false">IF(OR(H328="",I328=""),"",H328*I328*(1-N(J328)))</f>
        <v/>
      </c>
      <c r="L328" s="32"/>
      <c r="M328" s="34" t="str">
        <f aca="false">IF(OR(H328="",L328=""),"",H328*L328)</f>
        <v/>
      </c>
      <c r="N328" s="34" t="str">
        <f aca="false">IF(OR(K328="",M328=""),"",K328-M328)</f>
        <v/>
      </c>
      <c r="O328" s="35" t="str">
        <f aca="false">IF(OR(N328="",K328=""),"",IF(K328=0,"",N328/K328))</f>
        <v/>
      </c>
      <c r="P328" s="25"/>
      <c r="Q328" s="25"/>
      <c r="R328" s="25"/>
      <c r="S328" s="36" t="str">
        <f aca="false">IF(A328="","",YEAR(A328)+IF(AND(FYStart&gt;1,MONTH(A328)&gt;=FYStart),1,0))</f>
        <v/>
      </c>
      <c r="T328" s="36" t="str">
        <f aca="false">IF(A328="","",MOD(MONTH(A328)-FYStart,12)+1)</f>
        <v/>
      </c>
      <c r="U328" s="37" t="str">
        <f aca="false">IF(A328="","",TEXT(A328,"mmm"))</f>
        <v/>
      </c>
      <c r="V328" s="37" t="str">
        <f aca="false">IF(Q328="","",IFERROR(INDEX(Settings!$I$11:$I$15,MATCH(Q328,Settings!$H$11:$H$15,0)),"No"))</f>
        <v/>
      </c>
      <c r="W328" s="37" t="str">
        <f aca="false">IF(Q328="","",IFERROR(INDEX(Settings!$J$11:$J$15,MATCH(Q328,Settings!$H$11:$H$15,0)),"No"))</f>
        <v/>
      </c>
    </row>
    <row r="329" customFormat="false" ht="15" hidden="false" customHeight="false" outlineLevel="0" collapsed="false">
      <c r="A329" s="30"/>
      <c r="B329" s="25"/>
      <c r="C329" s="25"/>
      <c r="D329" s="25"/>
      <c r="E329" s="25"/>
      <c r="F329" s="25"/>
      <c r="G329" s="25"/>
      <c r="H329" s="31"/>
      <c r="I329" s="32"/>
      <c r="J329" s="33"/>
      <c r="K329" s="34" t="str">
        <f aca="false">IF(OR(H329="",I329=""),"",H329*I329*(1-N(J329)))</f>
        <v/>
      </c>
      <c r="L329" s="32"/>
      <c r="M329" s="34" t="str">
        <f aca="false">IF(OR(H329="",L329=""),"",H329*L329)</f>
        <v/>
      </c>
      <c r="N329" s="34" t="str">
        <f aca="false">IF(OR(K329="",M329=""),"",K329-M329)</f>
        <v/>
      </c>
      <c r="O329" s="35" t="str">
        <f aca="false">IF(OR(N329="",K329=""),"",IF(K329=0,"",N329/K329))</f>
        <v/>
      </c>
      <c r="P329" s="25"/>
      <c r="Q329" s="25"/>
      <c r="R329" s="25"/>
      <c r="S329" s="36" t="str">
        <f aca="false">IF(A329="","",YEAR(A329)+IF(AND(FYStart&gt;1,MONTH(A329)&gt;=FYStart),1,0))</f>
        <v/>
      </c>
      <c r="T329" s="36" t="str">
        <f aca="false">IF(A329="","",MOD(MONTH(A329)-FYStart,12)+1)</f>
        <v/>
      </c>
      <c r="U329" s="37" t="str">
        <f aca="false">IF(A329="","",TEXT(A329,"mmm"))</f>
        <v/>
      </c>
      <c r="V329" s="37" t="str">
        <f aca="false">IF(Q329="","",IFERROR(INDEX(Settings!$I$11:$I$15,MATCH(Q329,Settings!$H$11:$H$15,0)),"No"))</f>
        <v/>
      </c>
      <c r="W329" s="37" t="str">
        <f aca="false">IF(Q329="","",IFERROR(INDEX(Settings!$J$11:$J$15,MATCH(Q329,Settings!$H$11:$H$15,0)),"No"))</f>
        <v/>
      </c>
    </row>
    <row r="330" customFormat="false" ht="15" hidden="false" customHeight="false" outlineLevel="0" collapsed="false">
      <c r="A330" s="30"/>
      <c r="B330" s="25"/>
      <c r="C330" s="25"/>
      <c r="D330" s="25"/>
      <c r="E330" s="25"/>
      <c r="F330" s="25"/>
      <c r="G330" s="25"/>
      <c r="H330" s="31"/>
      <c r="I330" s="32"/>
      <c r="J330" s="33"/>
      <c r="K330" s="34" t="str">
        <f aca="false">IF(OR(H330="",I330=""),"",H330*I330*(1-N(J330)))</f>
        <v/>
      </c>
      <c r="L330" s="32"/>
      <c r="M330" s="34" t="str">
        <f aca="false">IF(OR(H330="",L330=""),"",H330*L330)</f>
        <v/>
      </c>
      <c r="N330" s="34" t="str">
        <f aca="false">IF(OR(K330="",M330=""),"",K330-M330)</f>
        <v/>
      </c>
      <c r="O330" s="35" t="str">
        <f aca="false">IF(OR(N330="",K330=""),"",IF(K330=0,"",N330/K330))</f>
        <v/>
      </c>
      <c r="P330" s="25"/>
      <c r="Q330" s="25"/>
      <c r="R330" s="25"/>
      <c r="S330" s="36" t="str">
        <f aca="false">IF(A330="","",YEAR(A330)+IF(AND(FYStart&gt;1,MONTH(A330)&gt;=FYStart),1,0))</f>
        <v/>
      </c>
      <c r="T330" s="36" t="str">
        <f aca="false">IF(A330="","",MOD(MONTH(A330)-FYStart,12)+1)</f>
        <v/>
      </c>
      <c r="U330" s="37" t="str">
        <f aca="false">IF(A330="","",TEXT(A330,"mmm"))</f>
        <v/>
      </c>
      <c r="V330" s="37" t="str">
        <f aca="false">IF(Q330="","",IFERROR(INDEX(Settings!$I$11:$I$15,MATCH(Q330,Settings!$H$11:$H$15,0)),"No"))</f>
        <v/>
      </c>
      <c r="W330" s="37" t="str">
        <f aca="false">IF(Q330="","",IFERROR(INDEX(Settings!$J$11:$J$15,MATCH(Q330,Settings!$H$11:$H$15,0)),"No"))</f>
        <v/>
      </c>
    </row>
    <row r="331" customFormat="false" ht="15" hidden="false" customHeight="false" outlineLevel="0" collapsed="false">
      <c r="A331" s="30"/>
      <c r="B331" s="25"/>
      <c r="C331" s="25"/>
      <c r="D331" s="25"/>
      <c r="E331" s="25"/>
      <c r="F331" s="25"/>
      <c r="G331" s="25"/>
      <c r="H331" s="31"/>
      <c r="I331" s="32"/>
      <c r="J331" s="33"/>
      <c r="K331" s="34" t="str">
        <f aca="false">IF(OR(H331="",I331=""),"",H331*I331*(1-N(J331)))</f>
        <v/>
      </c>
      <c r="L331" s="32"/>
      <c r="M331" s="34" t="str">
        <f aca="false">IF(OR(H331="",L331=""),"",H331*L331)</f>
        <v/>
      </c>
      <c r="N331" s="34" t="str">
        <f aca="false">IF(OR(K331="",M331=""),"",K331-M331)</f>
        <v/>
      </c>
      <c r="O331" s="35" t="str">
        <f aca="false">IF(OR(N331="",K331=""),"",IF(K331=0,"",N331/K331))</f>
        <v/>
      </c>
      <c r="P331" s="25"/>
      <c r="Q331" s="25"/>
      <c r="R331" s="25"/>
      <c r="S331" s="36" t="str">
        <f aca="false">IF(A331="","",YEAR(A331)+IF(AND(FYStart&gt;1,MONTH(A331)&gt;=FYStart),1,0))</f>
        <v/>
      </c>
      <c r="T331" s="36" t="str">
        <f aca="false">IF(A331="","",MOD(MONTH(A331)-FYStart,12)+1)</f>
        <v/>
      </c>
      <c r="U331" s="37" t="str">
        <f aca="false">IF(A331="","",TEXT(A331,"mmm"))</f>
        <v/>
      </c>
      <c r="V331" s="37" t="str">
        <f aca="false">IF(Q331="","",IFERROR(INDEX(Settings!$I$11:$I$15,MATCH(Q331,Settings!$H$11:$H$15,0)),"No"))</f>
        <v/>
      </c>
      <c r="W331" s="37" t="str">
        <f aca="false">IF(Q331="","",IFERROR(INDEX(Settings!$J$11:$J$15,MATCH(Q331,Settings!$H$11:$H$15,0)),"No"))</f>
        <v/>
      </c>
    </row>
    <row r="332" customFormat="false" ht="15" hidden="false" customHeight="false" outlineLevel="0" collapsed="false">
      <c r="A332" s="30"/>
      <c r="B332" s="25"/>
      <c r="C332" s="25"/>
      <c r="D332" s="25"/>
      <c r="E332" s="25"/>
      <c r="F332" s="25"/>
      <c r="G332" s="25"/>
      <c r="H332" s="31"/>
      <c r="I332" s="32"/>
      <c r="J332" s="33"/>
      <c r="K332" s="34" t="str">
        <f aca="false">IF(OR(H332="",I332=""),"",H332*I332*(1-N(J332)))</f>
        <v/>
      </c>
      <c r="L332" s="32"/>
      <c r="M332" s="34" t="str">
        <f aca="false">IF(OR(H332="",L332=""),"",H332*L332)</f>
        <v/>
      </c>
      <c r="N332" s="34" t="str">
        <f aca="false">IF(OR(K332="",M332=""),"",K332-M332)</f>
        <v/>
      </c>
      <c r="O332" s="35" t="str">
        <f aca="false">IF(OR(N332="",K332=""),"",IF(K332=0,"",N332/K332))</f>
        <v/>
      </c>
      <c r="P332" s="25"/>
      <c r="Q332" s="25"/>
      <c r="R332" s="25"/>
      <c r="S332" s="36" t="str">
        <f aca="false">IF(A332="","",YEAR(A332)+IF(AND(FYStart&gt;1,MONTH(A332)&gt;=FYStart),1,0))</f>
        <v/>
      </c>
      <c r="T332" s="36" t="str">
        <f aca="false">IF(A332="","",MOD(MONTH(A332)-FYStart,12)+1)</f>
        <v/>
      </c>
      <c r="U332" s="37" t="str">
        <f aca="false">IF(A332="","",TEXT(A332,"mmm"))</f>
        <v/>
      </c>
      <c r="V332" s="37" t="str">
        <f aca="false">IF(Q332="","",IFERROR(INDEX(Settings!$I$11:$I$15,MATCH(Q332,Settings!$H$11:$H$15,0)),"No"))</f>
        <v/>
      </c>
      <c r="W332" s="37" t="str">
        <f aca="false">IF(Q332="","",IFERROR(INDEX(Settings!$J$11:$J$15,MATCH(Q332,Settings!$H$11:$H$15,0)),"No"))</f>
        <v/>
      </c>
    </row>
    <row r="333" customFormat="false" ht="15" hidden="false" customHeight="false" outlineLevel="0" collapsed="false">
      <c r="A333" s="30"/>
      <c r="B333" s="25"/>
      <c r="C333" s="25"/>
      <c r="D333" s="25"/>
      <c r="E333" s="25"/>
      <c r="F333" s="25"/>
      <c r="G333" s="25"/>
      <c r="H333" s="31"/>
      <c r="I333" s="32"/>
      <c r="J333" s="33"/>
      <c r="K333" s="34" t="str">
        <f aca="false">IF(OR(H333="",I333=""),"",H333*I333*(1-N(J333)))</f>
        <v/>
      </c>
      <c r="L333" s="32"/>
      <c r="M333" s="34" t="str">
        <f aca="false">IF(OR(H333="",L333=""),"",H333*L333)</f>
        <v/>
      </c>
      <c r="N333" s="34" t="str">
        <f aca="false">IF(OR(K333="",M333=""),"",K333-M333)</f>
        <v/>
      </c>
      <c r="O333" s="35" t="str">
        <f aca="false">IF(OR(N333="",K333=""),"",IF(K333=0,"",N333/K333))</f>
        <v/>
      </c>
      <c r="P333" s="25"/>
      <c r="Q333" s="25"/>
      <c r="R333" s="25"/>
      <c r="S333" s="36" t="str">
        <f aca="false">IF(A333="","",YEAR(A333)+IF(AND(FYStart&gt;1,MONTH(A333)&gt;=FYStart),1,0))</f>
        <v/>
      </c>
      <c r="T333" s="36" t="str">
        <f aca="false">IF(A333="","",MOD(MONTH(A333)-FYStart,12)+1)</f>
        <v/>
      </c>
      <c r="U333" s="37" t="str">
        <f aca="false">IF(A333="","",TEXT(A333,"mmm"))</f>
        <v/>
      </c>
      <c r="V333" s="37" t="str">
        <f aca="false">IF(Q333="","",IFERROR(INDEX(Settings!$I$11:$I$15,MATCH(Q333,Settings!$H$11:$H$15,0)),"No"))</f>
        <v/>
      </c>
      <c r="W333" s="37" t="str">
        <f aca="false">IF(Q333="","",IFERROR(INDEX(Settings!$J$11:$J$15,MATCH(Q333,Settings!$H$11:$H$15,0)),"No"))</f>
        <v/>
      </c>
    </row>
    <row r="334" customFormat="false" ht="15" hidden="false" customHeight="false" outlineLevel="0" collapsed="false">
      <c r="A334" s="30"/>
      <c r="B334" s="25"/>
      <c r="C334" s="25"/>
      <c r="D334" s="25"/>
      <c r="E334" s="25"/>
      <c r="F334" s="25"/>
      <c r="G334" s="25"/>
      <c r="H334" s="31"/>
      <c r="I334" s="32"/>
      <c r="J334" s="33"/>
      <c r="K334" s="34" t="str">
        <f aca="false">IF(OR(H334="",I334=""),"",H334*I334*(1-N(J334)))</f>
        <v/>
      </c>
      <c r="L334" s="32"/>
      <c r="M334" s="34" t="str">
        <f aca="false">IF(OR(H334="",L334=""),"",H334*L334)</f>
        <v/>
      </c>
      <c r="N334" s="34" t="str">
        <f aca="false">IF(OR(K334="",M334=""),"",K334-M334)</f>
        <v/>
      </c>
      <c r="O334" s="35" t="str">
        <f aca="false">IF(OR(N334="",K334=""),"",IF(K334=0,"",N334/K334))</f>
        <v/>
      </c>
      <c r="P334" s="25"/>
      <c r="Q334" s="25"/>
      <c r="R334" s="25"/>
      <c r="S334" s="36" t="str">
        <f aca="false">IF(A334="","",YEAR(A334)+IF(AND(FYStart&gt;1,MONTH(A334)&gt;=FYStart),1,0))</f>
        <v/>
      </c>
      <c r="T334" s="36" t="str">
        <f aca="false">IF(A334="","",MOD(MONTH(A334)-FYStart,12)+1)</f>
        <v/>
      </c>
      <c r="U334" s="37" t="str">
        <f aca="false">IF(A334="","",TEXT(A334,"mmm"))</f>
        <v/>
      </c>
      <c r="V334" s="37" t="str">
        <f aca="false">IF(Q334="","",IFERROR(INDEX(Settings!$I$11:$I$15,MATCH(Q334,Settings!$H$11:$H$15,0)),"No"))</f>
        <v/>
      </c>
      <c r="W334" s="37" t="str">
        <f aca="false">IF(Q334="","",IFERROR(INDEX(Settings!$J$11:$J$15,MATCH(Q334,Settings!$H$11:$H$15,0)),"No"))</f>
        <v/>
      </c>
    </row>
    <row r="335" customFormat="false" ht="15" hidden="false" customHeight="false" outlineLevel="0" collapsed="false">
      <c r="A335" s="30"/>
      <c r="B335" s="25"/>
      <c r="C335" s="25"/>
      <c r="D335" s="25"/>
      <c r="E335" s="25"/>
      <c r="F335" s="25"/>
      <c r="G335" s="25"/>
      <c r="H335" s="31"/>
      <c r="I335" s="32"/>
      <c r="J335" s="33"/>
      <c r="K335" s="34" t="str">
        <f aca="false">IF(OR(H335="",I335=""),"",H335*I335*(1-N(J335)))</f>
        <v/>
      </c>
      <c r="L335" s="32"/>
      <c r="M335" s="34" t="str">
        <f aca="false">IF(OR(H335="",L335=""),"",H335*L335)</f>
        <v/>
      </c>
      <c r="N335" s="34" t="str">
        <f aca="false">IF(OR(K335="",M335=""),"",K335-M335)</f>
        <v/>
      </c>
      <c r="O335" s="35" t="str">
        <f aca="false">IF(OR(N335="",K335=""),"",IF(K335=0,"",N335/K335))</f>
        <v/>
      </c>
      <c r="P335" s="25"/>
      <c r="Q335" s="25"/>
      <c r="R335" s="25"/>
      <c r="S335" s="36" t="str">
        <f aca="false">IF(A335="","",YEAR(A335)+IF(AND(FYStart&gt;1,MONTH(A335)&gt;=FYStart),1,0))</f>
        <v/>
      </c>
      <c r="T335" s="36" t="str">
        <f aca="false">IF(A335="","",MOD(MONTH(A335)-FYStart,12)+1)</f>
        <v/>
      </c>
      <c r="U335" s="37" t="str">
        <f aca="false">IF(A335="","",TEXT(A335,"mmm"))</f>
        <v/>
      </c>
      <c r="V335" s="37" t="str">
        <f aca="false">IF(Q335="","",IFERROR(INDEX(Settings!$I$11:$I$15,MATCH(Q335,Settings!$H$11:$H$15,0)),"No"))</f>
        <v/>
      </c>
      <c r="W335" s="37" t="str">
        <f aca="false">IF(Q335="","",IFERROR(INDEX(Settings!$J$11:$J$15,MATCH(Q335,Settings!$H$11:$H$15,0)),"No"))</f>
        <v/>
      </c>
    </row>
    <row r="336" customFormat="false" ht="15" hidden="false" customHeight="false" outlineLevel="0" collapsed="false">
      <c r="A336" s="30"/>
      <c r="B336" s="25"/>
      <c r="C336" s="25"/>
      <c r="D336" s="25"/>
      <c r="E336" s="25"/>
      <c r="F336" s="25"/>
      <c r="G336" s="25"/>
      <c r="H336" s="31"/>
      <c r="I336" s="32"/>
      <c r="J336" s="33"/>
      <c r="K336" s="34" t="str">
        <f aca="false">IF(OR(H336="",I336=""),"",H336*I336*(1-N(J336)))</f>
        <v/>
      </c>
      <c r="L336" s="32"/>
      <c r="M336" s="34" t="str">
        <f aca="false">IF(OR(H336="",L336=""),"",H336*L336)</f>
        <v/>
      </c>
      <c r="N336" s="34" t="str">
        <f aca="false">IF(OR(K336="",M336=""),"",K336-M336)</f>
        <v/>
      </c>
      <c r="O336" s="35" t="str">
        <f aca="false">IF(OR(N336="",K336=""),"",IF(K336=0,"",N336/K336))</f>
        <v/>
      </c>
      <c r="P336" s="25"/>
      <c r="Q336" s="25"/>
      <c r="R336" s="25"/>
      <c r="S336" s="36" t="str">
        <f aca="false">IF(A336="","",YEAR(A336)+IF(AND(FYStart&gt;1,MONTH(A336)&gt;=FYStart),1,0))</f>
        <v/>
      </c>
      <c r="T336" s="36" t="str">
        <f aca="false">IF(A336="","",MOD(MONTH(A336)-FYStart,12)+1)</f>
        <v/>
      </c>
      <c r="U336" s="37" t="str">
        <f aca="false">IF(A336="","",TEXT(A336,"mmm"))</f>
        <v/>
      </c>
      <c r="V336" s="37" t="str">
        <f aca="false">IF(Q336="","",IFERROR(INDEX(Settings!$I$11:$I$15,MATCH(Q336,Settings!$H$11:$H$15,0)),"No"))</f>
        <v/>
      </c>
      <c r="W336" s="37" t="str">
        <f aca="false">IF(Q336="","",IFERROR(INDEX(Settings!$J$11:$J$15,MATCH(Q336,Settings!$H$11:$H$15,0)),"No"))</f>
        <v/>
      </c>
    </row>
    <row r="337" customFormat="false" ht="15" hidden="false" customHeight="false" outlineLevel="0" collapsed="false">
      <c r="A337" s="30"/>
      <c r="B337" s="25"/>
      <c r="C337" s="25"/>
      <c r="D337" s="25"/>
      <c r="E337" s="25"/>
      <c r="F337" s="25"/>
      <c r="G337" s="25"/>
      <c r="H337" s="31"/>
      <c r="I337" s="32"/>
      <c r="J337" s="33"/>
      <c r="K337" s="34" t="str">
        <f aca="false">IF(OR(H337="",I337=""),"",H337*I337*(1-N(J337)))</f>
        <v/>
      </c>
      <c r="L337" s="32"/>
      <c r="M337" s="34" t="str">
        <f aca="false">IF(OR(H337="",L337=""),"",H337*L337)</f>
        <v/>
      </c>
      <c r="N337" s="34" t="str">
        <f aca="false">IF(OR(K337="",M337=""),"",K337-M337)</f>
        <v/>
      </c>
      <c r="O337" s="35" t="str">
        <f aca="false">IF(OR(N337="",K337=""),"",IF(K337=0,"",N337/K337))</f>
        <v/>
      </c>
      <c r="P337" s="25"/>
      <c r="Q337" s="25"/>
      <c r="R337" s="25"/>
      <c r="S337" s="36" t="str">
        <f aca="false">IF(A337="","",YEAR(A337)+IF(AND(FYStart&gt;1,MONTH(A337)&gt;=FYStart),1,0))</f>
        <v/>
      </c>
      <c r="T337" s="36" t="str">
        <f aca="false">IF(A337="","",MOD(MONTH(A337)-FYStart,12)+1)</f>
        <v/>
      </c>
      <c r="U337" s="37" t="str">
        <f aca="false">IF(A337="","",TEXT(A337,"mmm"))</f>
        <v/>
      </c>
      <c r="V337" s="37" t="str">
        <f aca="false">IF(Q337="","",IFERROR(INDEX(Settings!$I$11:$I$15,MATCH(Q337,Settings!$H$11:$H$15,0)),"No"))</f>
        <v/>
      </c>
      <c r="W337" s="37" t="str">
        <f aca="false">IF(Q337="","",IFERROR(INDEX(Settings!$J$11:$J$15,MATCH(Q337,Settings!$H$11:$H$15,0)),"No"))</f>
        <v/>
      </c>
    </row>
    <row r="338" customFormat="false" ht="15" hidden="false" customHeight="false" outlineLevel="0" collapsed="false">
      <c r="A338" s="30"/>
      <c r="B338" s="25"/>
      <c r="C338" s="25"/>
      <c r="D338" s="25"/>
      <c r="E338" s="25"/>
      <c r="F338" s="25"/>
      <c r="G338" s="25"/>
      <c r="H338" s="31"/>
      <c r="I338" s="32"/>
      <c r="J338" s="33"/>
      <c r="K338" s="34" t="str">
        <f aca="false">IF(OR(H338="",I338=""),"",H338*I338*(1-N(J338)))</f>
        <v/>
      </c>
      <c r="L338" s="32"/>
      <c r="M338" s="34" t="str">
        <f aca="false">IF(OR(H338="",L338=""),"",H338*L338)</f>
        <v/>
      </c>
      <c r="N338" s="34" t="str">
        <f aca="false">IF(OR(K338="",M338=""),"",K338-M338)</f>
        <v/>
      </c>
      <c r="O338" s="35" t="str">
        <f aca="false">IF(OR(N338="",K338=""),"",IF(K338=0,"",N338/K338))</f>
        <v/>
      </c>
      <c r="P338" s="25"/>
      <c r="Q338" s="25"/>
      <c r="R338" s="25"/>
      <c r="S338" s="36" t="str">
        <f aca="false">IF(A338="","",YEAR(A338)+IF(AND(FYStart&gt;1,MONTH(A338)&gt;=FYStart),1,0))</f>
        <v/>
      </c>
      <c r="T338" s="36" t="str">
        <f aca="false">IF(A338="","",MOD(MONTH(A338)-FYStart,12)+1)</f>
        <v/>
      </c>
      <c r="U338" s="37" t="str">
        <f aca="false">IF(A338="","",TEXT(A338,"mmm"))</f>
        <v/>
      </c>
      <c r="V338" s="37" t="str">
        <f aca="false">IF(Q338="","",IFERROR(INDEX(Settings!$I$11:$I$15,MATCH(Q338,Settings!$H$11:$H$15,0)),"No"))</f>
        <v/>
      </c>
      <c r="W338" s="37" t="str">
        <f aca="false">IF(Q338="","",IFERROR(INDEX(Settings!$J$11:$J$15,MATCH(Q338,Settings!$H$11:$H$15,0)),"No"))</f>
        <v/>
      </c>
    </row>
    <row r="339" customFormat="false" ht="15" hidden="false" customHeight="false" outlineLevel="0" collapsed="false">
      <c r="A339" s="30"/>
      <c r="B339" s="25"/>
      <c r="C339" s="25"/>
      <c r="D339" s="25"/>
      <c r="E339" s="25"/>
      <c r="F339" s="25"/>
      <c r="G339" s="25"/>
      <c r="H339" s="31"/>
      <c r="I339" s="32"/>
      <c r="J339" s="33"/>
      <c r="K339" s="34" t="str">
        <f aca="false">IF(OR(H339="",I339=""),"",H339*I339*(1-N(J339)))</f>
        <v/>
      </c>
      <c r="L339" s="32"/>
      <c r="M339" s="34" t="str">
        <f aca="false">IF(OR(H339="",L339=""),"",H339*L339)</f>
        <v/>
      </c>
      <c r="N339" s="34" t="str">
        <f aca="false">IF(OR(K339="",M339=""),"",K339-M339)</f>
        <v/>
      </c>
      <c r="O339" s="35" t="str">
        <f aca="false">IF(OR(N339="",K339=""),"",IF(K339=0,"",N339/K339))</f>
        <v/>
      </c>
      <c r="P339" s="25"/>
      <c r="Q339" s="25"/>
      <c r="R339" s="25"/>
      <c r="S339" s="36" t="str">
        <f aca="false">IF(A339="","",YEAR(A339)+IF(AND(FYStart&gt;1,MONTH(A339)&gt;=FYStart),1,0))</f>
        <v/>
      </c>
      <c r="T339" s="36" t="str">
        <f aca="false">IF(A339="","",MOD(MONTH(A339)-FYStart,12)+1)</f>
        <v/>
      </c>
      <c r="U339" s="37" t="str">
        <f aca="false">IF(A339="","",TEXT(A339,"mmm"))</f>
        <v/>
      </c>
      <c r="V339" s="37" t="str">
        <f aca="false">IF(Q339="","",IFERROR(INDEX(Settings!$I$11:$I$15,MATCH(Q339,Settings!$H$11:$H$15,0)),"No"))</f>
        <v/>
      </c>
      <c r="W339" s="37" t="str">
        <f aca="false">IF(Q339="","",IFERROR(INDEX(Settings!$J$11:$J$15,MATCH(Q339,Settings!$H$11:$H$15,0)),"No"))</f>
        <v/>
      </c>
    </row>
    <row r="340" customFormat="false" ht="15" hidden="false" customHeight="false" outlineLevel="0" collapsed="false">
      <c r="A340" s="30"/>
      <c r="B340" s="25"/>
      <c r="C340" s="25"/>
      <c r="D340" s="25"/>
      <c r="E340" s="25"/>
      <c r="F340" s="25"/>
      <c r="G340" s="25"/>
      <c r="H340" s="31"/>
      <c r="I340" s="32"/>
      <c r="J340" s="33"/>
      <c r="K340" s="34" t="str">
        <f aca="false">IF(OR(H340="",I340=""),"",H340*I340*(1-N(J340)))</f>
        <v/>
      </c>
      <c r="L340" s="32"/>
      <c r="M340" s="34" t="str">
        <f aca="false">IF(OR(H340="",L340=""),"",H340*L340)</f>
        <v/>
      </c>
      <c r="N340" s="34" t="str">
        <f aca="false">IF(OR(K340="",M340=""),"",K340-M340)</f>
        <v/>
      </c>
      <c r="O340" s="35" t="str">
        <f aca="false">IF(OR(N340="",K340=""),"",IF(K340=0,"",N340/K340))</f>
        <v/>
      </c>
      <c r="P340" s="25"/>
      <c r="Q340" s="25"/>
      <c r="R340" s="25"/>
      <c r="S340" s="36" t="str">
        <f aca="false">IF(A340="","",YEAR(A340)+IF(AND(FYStart&gt;1,MONTH(A340)&gt;=FYStart),1,0))</f>
        <v/>
      </c>
      <c r="T340" s="36" t="str">
        <f aca="false">IF(A340="","",MOD(MONTH(A340)-FYStart,12)+1)</f>
        <v/>
      </c>
      <c r="U340" s="37" t="str">
        <f aca="false">IF(A340="","",TEXT(A340,"mmm"))</f>
        <v/>
      </c>
      <c r="V340" s="37" t="str">
        <f aca="false">IF(Q340="","",IFERROR(INDEX(Settings!$I$11:$I$15,MATCH(Q340,Settings!$H$11:$H$15,0)),"No"))</f>
        <v/>
      </c>
      <c r="W340" s="37" t="str">
        <f aca="false">IF(Q340="","",IFERROR(INDEX(Settings!$J$11:$J$15,MATCH(Q340,Settings!$H$11:$H$15,0)),"No"))</f>
        <v/>
      </c>
    </row>
    <row r="341" customFormat="false" ht="15" hidden="false" customHeight="false" outlineLevel="0" collapsed="false">
      <c r="A341" s="30"/>
      <c r="B341" s="25"/>
      <c r="C341" s="25"/>
      <c r="D341" s="25"/>
      <c r="E341" s="25"/>
      <c r="F341" s="25"/>
      <c r="G341" s="25"/>
      <c r="H341" s="31"/>
      <c r="I341" s="32"/>
      <c r="J341" s="33"/>
      <c r="K341" s="34" t="str">
        <f aca="false">IF(OR(H341="",I341=""),"",H341*I341*(1-N(J341)))</f>
        <v/>
      </c>
      <c r="L341" s="32"/>
      <c r="M341" s="34" t="str">
        <f aca="false">IF(OR(H341="",L341=""),"",H341*L341)</f>
        <v/>
      </c>
      <c r="N341" s="34" t="str">
        <f aca="false">IF(OR(K341="",M341=""),"",K341-M341)</f>
        <v/>
      </c>
      <c r="O341" s="35" t="str">
        <f aca="false">IF(OR(N341="",K341=""),"",IF(K341=0,"",N341/K341))</f>
        <v/>
      </c>
      <c r="P341" s="25"/>
      <c r="Q341" s="25"/>
      <c r="R341" s="25"/>
      <c r="S341" s="36" t="str">
        <f aca="false">IF(A341="","",YEAR(A341)+IF(AND(FYStart&gt;1,MONTH(A341)&gt;=FYStart),1,0))</f>
        <v/>
      </c>
      <c r="T341" s="36" t="str">
        <f aca="false">IF(A341="","",MOD(MONTH(A341)-FYStart,12)+1)</f>
        <v/>
      </c>
      <c r="U341" s="37" t="str">
        <f aca="false">IF(A341="","",TEXT(A341,"mmm"))</f>
        <v/>
      </c>
      <c r="V341" s="37" t="str">
        <f aca="false">IF(Q341="","",IFERROR(INDEX(Settings!$I$11:$I$15,MATCH(Q341,Settings!$H$11:$H$15,0)),"No"))</f>
        <v/>
      </c>
      <c r="W341" s="37" t="str">
        <f aca="false">IF(Q341="","",IFERROR(INDEX(Settings!$J$11:$J$15,MATCH(Q341,Settings!$H$11:$H$15,0)),"No"))</f>
        <v/>
      </c>
    </row>
    <row r="342" customFormat="false" ht="15" hidden="false" customHeight="false" outlineLevel="0" collapsed="false">
      <c r="A342" s="30"/>
      <c r="B342" s="25"/>
      <c r="C342" s="25"/>
      <c r="D342" s="25"/>
      <c r="E342" s="25"/>
      <c r="F342" s="25"/>
      <c r="G342" s="25"/>
      <c r="H342" s="31"/>
      <c r="I342" s="32"/>
      <c r="J342" s="33"/>
      <c r="K342" s="34" t="str">
        <f aca="false">IF(OR(H342="",I342=""),"",H342*I342*(1-N(J342)))</f>
        <v/>
      </c>
      <c r="L342" s="32"/>
      <c r="M342" s="34" t="str">
        <f aca="false">IF(OR(H342="",L342=""),"",H342*L342)</f>
        <v/>
      </c>
      <c r="N342" s="34" t="str">
        <f aca="false">IF(OR(K342="",M342=""),"",K342-M342)</f>
        <v/>
      </c>
      <c r="O342" s="35" t="str">
        <f aca="false">IF(OR(N342="",K342=""),"",IF(K342=0,"",N342/K342))</f>
        <v/>
      </c>
      <c r="P342" s="25"/>
      <c r="Q342" s="25"/>
      <c r="R342" s="25"/>
      <c r="S342" s="36" t="str">
        <f aca="false">IF(A342="","",YEAR(A342)+IF(AND(FYStart&gt;1,MONTH(A342)&gt;=FYStart),1,0))</f>
        <v/>
      </c>
      <c r="T342" s="36" t="str">
        <f aca="false">IF(A342="","",MOD(MONTH(A342)-FYStart,12)+1)</f>
        <v/>
      </c>
      <c r="U342" s="37" t="str">
        <f aca="false">IF(A342="","",TEXT(A342,"mmm"))</f>
        <v/>
      </c>
      <c r="V342" s="37" t="str">
        <f aca="false">IF(Q342="","",IFERROR(INDEX(Settings!$I$11:$I$15,MATCH(Q342,Settings!$H$11:$H$15,0)),"No"))</f>
        <v/>
      </c>
      <c r="W342" s="37" t="str">
        <f aca="false">IF(Q342="","",IFERROR(INDEX(Settings!$J$11:$J$15,MATCH(Q342,Settings!$H$11:$H$15,0)),"No"))</f>
        <v/>
      </c>
    </row>
    <row r="343" customFormat="false" ht="15" hidden="false" customHeight="false" outlineLevel="0" collapsed="false">
      <c r="A343" s="30"/>
      <c r="B343" s="25"/>
      <c r="C343" s="25"/>
      <c r="D343" s="25"/>
      <c r="E343" s="25"/>
      <c r="F343" s="25"/>
      <c r="G343" s="25"/>
      <c r="H343" s="31"/>
      <c r="I343" s="32"/>
      <c r="J343" s="33"/>
      <c r="K343" s="34" t="str">
        <f aca="false">IF(OR(H343="",I343=""),"",H343*I343*(1-N(J343)))</f>
        <v/>
      </c>
      <c r="L343" s="32"/>
      <c r="M343" s="34" t="str">
        <f aca="false">IF(OR(H343="",L343=""),"",H343*L343)</f>
        <v/>
      </c>
      <c r="N343" s="34" t="str">
        <f aca="false">IF(OR(K343="",M343=""),"",K343-M343)</f>
        <v/>
      </c>
      <c r="O343" s="35" t="str">
        <f aca="false">IF(OR(N343="",K343=""),"",IF(K343=0,"",N343/K343))</f>
        <v/>
      </c>
      <c r="P343" s="25"/>
      <c r="Q343" s="25"/>
      <c r="R343" s="25"/>
      <c r="S343" s="36" t="str">
        <f aca="false">IF(A343="","",YEAR(A343)+IF(AND(FYStart&gt;1,MONTH(A343)&gt;=FYStart),1,0))</f>
        <v/>
      </c>
      <c r="T343" s="36" t="str">
        <f aca="false">IF(A343="","",MOD(MONTH(A343)-FYStart,12)+1)</f>
        <v/>
      </c>
      <c r="U343" s="37" t="str">
        <f aca="false">IF(A343="","",TEXT(A343,"mmm"))</f>
        <v/>
      </c>
      <c r="V343" s="37" t="str">
        <f aca="false">IF(Q343="","",IFERROR(INDEX(Settings!$I$11:$I$15,MATCH(Q343,Settings!$H$11:$H$15,0)),"No"))</f>
        <v/>
      </c>
      <c r="W343" s="37" t="str">
        <f aca="false">IF(Q343="","",IFERROR(INDEX(Settings!$J$11:$J$15,MATCH(Q343,Settings!$H$11:$H$15,0)),"No"))</f>
        <v/>
      </c>
    </row>
    <row r="344" customFormat="false" ht="15" hidden="false" customHeight="false" outlineLevel="0" collapsed="false">
      <c r="A344" s="30"/>
      <c r="B344" s="25"/>
      <c r="C344" s="25"/>
      <c r="D344" s="25"/>
      <c r="E344" s="25"/>
      <c r="F344" s="25"/>
      <c r="G344" s="25"/>
      <c r="H344" s="31"/>
      <c r="I344" s="32"/>
      <c r="J344" s="33"/>
      <c r="K344" s="34" t="str">
        <f aca="false">IF(OR(H344="",I344=""),"",H344*I344*(1-N(J344)))</f>
        <v/>
      </c>
      <c r="L344" s="32"/>
      <c r="M344" s="34" t="str">
        <f aca="false">IF(OR(H344="",L344=""),"",H344*L344)</f>
        <v/>
      </c>
      <c r="N344" s="34" t="str">
        <f aca="false">IF(OR(K344="",M344=""),"",K344-M344)</f>
        <v/>
      </c>
      <c r="O344" s="35" t="str">
        <f aca="false">IF(OR(N344="",K344=""),"",IF(K344=0,"",N344/K344))</f>
        <v/>
      </c>
      <c r="P344" s="25"/>
      <c r="Q344" s="25"/>
      <c r="R344" s="25"/>
      <c r="S344" s="36" t="str">
        <f aca="false">IF(A344="","",YEAR(A344)+IF(AND(FYStart&gt;1,MONTH(A344)&gt;=FYStart),1,0))</f>
        <v/>
      </c>
      <c r="T344" s="36" t="str">
        <f aca="false">IF(A344="","",MOD(MONTH(A344)-FYStart,12)+1)</f>
        <v/>
      </c>
      <c r="U344" s="37" t="str">
        <f aca="false">IF(A344="","",TEXT(A344,"mmm"))</f>
        <v/>
      </c>
      <c r="V344" s="37" t="str">
        <f aca="false">IF(Q344="","",IFERROR(INDEX(Settings!$I$11:$I$15,MATCH(Q344,Settings!$H$11:$H$15,0)),"No"))</f>
        <v/>
      </c>
      <c r="W344" s="37" t="str">
        <f aca="false">IF(Q344="","",IFERROR(INDEX(Settings!$J$11:$J$15,MATCH(Q344,Settings!$H$11:$H$15,0)),"No"))</f>
        <v/>
      </c>
    </row>
    <row r="345" customFormat="false" ht="15" hidden="false" customHeight="false" outlineLevel="0" collapsed="false">
      <c r="A345" s="30"/>
      <c r="B345" s="25"/>
      <c r="C345" s="25"/>
      <c r="D345" s="25"/>
      <c r="E345" s="25"/>
      <c r="F345" s="25"/>
      <c r="G345" s="25"/>
      <c r="H345" s="31"/>
      <c r="I345" s="32"/>
      <c r="J345" s="33"/>
      <c r="K345" s="34" t="str">
        <f aca="false">IF(OR(H345="",I345=""),"",H345*I345*(1-N(J345)))</f>
        <v/>
      </c>
      <c r="L345" s="32"/>
      <c r="M345" s="34" t="str">
        <f aca="false">IF(OR(H345="",L345=""),"",H345*L345)</f>
        <v/>
      </c>
      <c r="N345" s="34" t="str">
        <f aca="false">IF(OR(K345="",M345=""),"",K345-M345)</f>
        <v/>
      </c>
      <c r="O345" s="35" t="str">
        <f aca="false">IF(OR(N345="",K345=""),"",IF(K345=0,"",N345/K345))</f>
        <v/>
      </c>
      <c r="P345" s="25"/>
      <c r="Q345" s="25"/>
      <c r="R345" s="25"/>
      <c r="S345" s="36" t="str">
        <f aca="false">IF(A345="","",YEAR(A345)+IF(AND(FYStart&gt;1,MONTH(A345)&gt;=FYStart),1,0))</f>
        <v/>
      </c>
      <c r="T345" s="36" t="str">
        <f aca="false">IF(A345="","",MOD(MONTH(A345)-FYStart,12)+1)</f>
        <v/>
      </c>
      <c r="U345" s="37" t="str">
        <f aca="false">IF(A345="","",TEXT(A345,"mmm"))</f>
        <v/>
      </c>
      <c r="V345" s="37" t="str">
        <f aca="false">IF(Q345="","",IFERROR(INDEX(Settings!$I$11:$I$15,MATCH(Q345,Settings!$H$11:$H$15,0)),"No"))</f>
        <v/>
      </c>
      <c r="W345" s="37" t="str">
        <f aca="false">IF(Q345="","",IFERROR(INDEX(Settings!$J$11:$J$15,MATCH(Q345,Settings!$H$11:$H$15,0)),"No"))</f>
        <v/>
      </c>
    </row>
    <row r="346" customFormat="false" ht="15" hidden="false" customHeight="false" outlineLevel="0" collapsed="false">
      <c r="A346" s="30"/>
      <c r="B346" s="25"/>
      <c r="C346" s="25"/>
      <c r="D346" s="25"/>
      <c r="E346" s="25"/>
      <c r="F346" s="25"/>
      <c r="G346" s="25"/>
      <c r="H346" s="31"/>
      <c r="I346" s="32"/>
      <c r="J346" s="33"/>
      <c r="K346" s="34" t="str">
        <f aca="false">IF(OR(H346="",I346=""),"",H346*I346*(1-N(J346)))</f>
        <v/>
      </c>
      <c r="L346" s="32"/>
      <c r="M346" s="34" t="str">
        <f aca="false">IF(OR(H346="",L346=""),"",H346*L346)</f>
        <v/>
      </c>
      <c r="N346" s="34" t="str">
        <f aca="false">IF(OR(K346="",M346=""),"",K346-M346)</f>
        <v/>
      </c>
      <c r="O346" s="35" t="str">
        <f aca="false">IF(OR(N346="",K346=""),"",IF(K346=0,"",N346/K346))</f>
        <v/>
      </c>
      <c r="P346" s="25"/>
      <c r="Q346" s="25"/>
      <c r="R346" s="25"/>
      <c r="S346" s="36" t="str">
        <f aca="false">IF(A346="","",YEAR(A346)+IF(AND(FYStart&gt;1,MONTH(A346)&gt;=FYStart),1,0))</f>
        <v/>
      </c>
      <c r="T346" s="36" t="str">
        <f aca="false">IF(A346="","",MOD(MONTH(A346)-FYStart,12)+1)</f>
        <v/>
      </c>
      <c r="U346" s="37" t="str">
        <f aca="false">IF(A346="","",TEXT(A346,"mmm"))</f>
        <v/>
      </c>
      <c r="V346" s="37" t="str">
        <f aca="false">IF(Q346="","",IFERROR(INDEX(Settings!$I$11:$I$15,MATCH(Q346,Settings!$H$11:$H$15,0)),"No"))</f>
        <v/>
      </c>
      <c r="W346" s="37" t="str">
        <f aca="false">IF(Q346="","",IFERROR(INDEX(Settings!$J$11:$J$15,MATCH(Q346,Settings!$H$11:$H$15,0)),"No"))</f>
        <v/>
      </c>
    </row>
    <row r="347" customFormat="false" ht="15" hidden="false" customHeight="false" outlineLevel="0" collapsed="false">
      <c r="A347" s="30"/>
      <c r="B347" s="25"/>
      <c r="C347" s="25"/>
      <c r="D347" s="25"/>
      <c r="E347" s="25"/>
      <c r="F347" s="25"/>
      <c r="G347" s="25"/>
      <c r="H347" s="31"/>
      <c r="I347" s="32"/>
      <c r="J347" s="33"/>
      <c r="K347" s="34" t="str">
        <f aca="false">IF(OR(H347="",I347=""),"",H347*I347*(1-N(J347)))</f>
        <v/>
      </c>
      <c r="L347" s="32"/>
      <c r="M347" s="34" t="str">
        <f aca="false">IF(OR(H347="",L347=""),"",H347*L347)</f>
        <v/>
      </c>
      <c r="N347" s="34" t="str">
        <f aca="false">IF(OR(K347="",M347=""),"",K347-M347)</f>
        <v/>
      </c>
      <c r="O347" s="35" t="str">
        <f aca="false">IF(OR(N347="",K347=""),"",IF(K347=0,"",N347/K347))</f>
        <v/>
      </c>
      <c r="P347" s="25"/>
      <c r="Q347" s="25"/>
      <c r="R347" s="25"/>
      <c r="S347" s="36" t="str">
        <f aca="false">IF(A347="","",YEAR(A347)+IF(AND(FYStart&gt;1,MONTH(A347)&gt;=FYStart),1,0))</f>
        <v/>
      </c>
      <c r="T347" s="36" t="str">
        <f aca="false">IF(A347="","",MOD(MONTH(A347)-FYStart,12)+1)</f>
        <v/>
      </c>
      <c r="U347" s="37" t="str">
        <f aca="false">IF(A347="","",TEXT(A347,"mmm"))</f>
        <v/>
      </c>
      <c r="V347" s="37" t="str">
        <f aca="false">IF(Q347="","",IFERROR(INDEX(Settings!$I$11:$I$15,MATCH(Q347,Settings!$H$11:$H$15,0)),"No"))</f>
        <v/>
      </c>
      <c r="W347" s="37" t="str">
        <f aca="false">IF(Q347="","",IFERROR(INDEX(Settings!$J$11:$J$15,MATCH(Q347,Settings!$H$11:$H$15,0)),"No"))</f>
        <v/>
      </c>
    </row>
    <row r="348" customFormat="false" ht="15" hidden="false" customHeight="false" outlineLevel="0" collapsed="false">
      <c r="A348" s="30"/>
      <c r="B348" s="25"/>
      <c r="C348" s="25"/>
      <c r="D348" s="25"/>
      <c r="E348" s="25"/>
      <c r="F348" s="25"/>
      <c r="G348" s="25"/>
      <c r="H348" s="31"/>
      <c r="I348" s="32"/>
      <c r="J348" s="33"/>
      <c r="K348" s="34" t="str">
        <f aca="false">IF(OR(H348="",I348=""),"",H348*I348*(1-N(J348)))</f>
        <v/>
      </c>
      <c r="L348" s="32"/>
      <c r="M348" s="34" t="str">
        <f aca="false">IF(OR(H348="",L348=""),"",H348*L348)</f>
        <v/>
      </c>
      <c r="N348" s="34" t="str">
        <f aca="false">IF(OR(K348="",M348=""),"",K348-M348)</f>
        <v/>
      </c>
      <c r="O348" s="35" t="str">
        <f aca="false">IF(OR(N348="",K348=""),"",IF(K348=0,"",N348/K348))</f>
        <v/>
      </c>
      <c r="P348" s="25"/>
      <c r="Q348" s="25"/>
      <c r="R348" s="25"/>
      <c r="S348" s="36" t="str">
        <f aca="false">IF(A348="","",YEAR(A348)+IF(AND(FYStart&gt;1,MONTH(A348)&gt;=FYStart),1,0))</f>
        <v/>
      </c>
      <c r="T348" s="36" t="str">
        <f aca="false">IF(A348="","",MOD(MONTH(A348)-FYStart,12)+1)</f>
        <v/>
      </c>
      <c r="U348" s="37" t="str">
        <f aca="false">IF(A348="","",TEXT(A348,"mmm"))</f>
        <v/>
      </c>
      <c r="V348" s="37" t="str">
        <f aca="false">IF(Q348="","",IFERROR(INDEX(Settings!$I$11:$I$15,MATCH(Q348,Settings!$H$11:$H$15,0)),"No"))</f>
        <v/>
      </c>
      <c r="W348" s="37" t="str">
        <f aca="false">IF(Q348="","",IFERROR(INDEX(Settings!$J$11:$J$15,MATCH(Q348,Settings!$H$11:$H$15,0)),"No"))</f>
        <v/>
      </c>
    </row>
    <row r="349" customFormat="false" ht="15" hidden="false" customHeight="false" outlineLevel="0" collapsed="false">
      <c r="A349" s="30"/>
      <c r="B349" s="25"/>
      <c r="C349" s="25"/>
      <c r="D349" s="25"/>
      <c r="E349" s="25"/>
      <c r="F349" s="25"/>
      <c r="G349" s="25"/>
      <c r="H349" s="31"/>
      <c r="I349" s="32"/>
      <c r="J349" s="33"/>
      <c r="K349" s="34" t="str">
        <f aca="false">IF(OR(H349="",I349=""),"",H349*I349*(1-N(J349)))</f>
        <v/>
      </c>
      <c r="L349" s="32"/>
      <c r="M349" s="34" t="str">
        <f aca="false">IF(OR(H349="",L349=""),"",H349*L349)</f>
        <v/>
      </c>
      <c r="N349" s="34" t="str">
        <f aca="false">IF(OR(K349="",M349=""),"",K349-M349)</f>
        <v/>
      </c>
      <c r="O349" s="35" t="str">
        <f aca="false">IF(OR(N349="",K349=""),"",IF(K349=0,"",N349/K349))</f>
        <v/>
      </c>
      <c r="P349" s="25"/>
      <c r="Q349" s="25"/>
      <c r="R349" s="25"/>
      <c r="S349" s="36" t="str">
        <f aca="false">IF(A349="","",YEAR(A349)+IF(AND(FYStart&gt;1,MONTH(A349)&gt;=FYStart),1,0))</f>
        <v/>
      </c>
      <c r="T349" s="36" t="str">
        <f aca="false">IF(A349="","",MOD(MONTH(A349)-FYStart,12)+1)</f>
        <v/>
      </c>
      <c r="U349" s="37" t="str">
        <f aca="false">IF(A349="","",TEXT(A349,"mmm"))</f>
        <v/>
      </c>
      <c r="V349" s="37" t="str">
        <f aca="false">IF(Q349="","",IFERROR(INDEX(Settings!$I$11:$I$15,MATCH(Q349,Settings!$H$11:$H$15,0)),"No"))</f>
        <v/>
      </c>
      <c r="W349" s="37" t="str">
        <f aca="false">IF(Q349="","",IFERROR(INDEX(Settings!$J$11:$J$15,MATCH(Q349,Settings!$H$11:$H$15,0)),"No"))</f>
        <v/>
      </c>
    </row>
    <row r="350" customFormat="false" ht="15" hidden="false" customHeight="false" outlineLevel="0" collapsed="false">
      <c r="A350" s="30"/>
      <c r="B350" s="25"/>
      <c r="C350" s="25"/>
      <c r="D350" s="25"/>
      <c r="E350" s="25"/>
      <c r="F350" s="25"/>
      <c r="G350" s="25"/>
      <c r="H350" s="31"/>
      <c r="I350" s="32"/>
      <c r="J350" s="33"/>
      <c r="K350" s="34" t="str">
        <f aca="false">IF(OR(H350="",I350=""),"",H350*I350*(1-N(J350)))</f>
        <v/>
      </c>
      <c r="L350" s="32"/>
      <c r="M350" s="34" t="str">
        <f aca="false">IF(OR(H350="",L350=""),"",H350*L350)</f>
        <v/>
      </c>
      <c r="N350" s="34" t="str">
        <f aca="false">IF(OR(K350="",M350=""),"",K350-M350)</f>
        <v/>
      </c>
      <c r="O350" s="35" t="str">
        <f aca="false">IF(OR(N350="",K350=""),"",IF(K350=0,"",N350/K350))</f>
        <v/>
      </c>
      <c r="P350" s="25"/>
      <c r="Q350" s="25"/>
      <c r="R350" s="25"/>
      <c r="S350" s="36" t="str">
        <f aca="false">IF(A350="","",YEAR(A350)+IF(AND(FYStart&gt;1,MONTH(A350)&gt;=FYStart),1,0))</f>
        <v/>
      </c>
      <c r="T350" s="36" t="str">
        <f aca="false">IF(A350="","",MOD(MONTH(A350)-FYStart,12)+1)</f>
        <v/>
      </c>
      <c r="U350" s="37" t="str">
        <f aca="false">IF(A350="","",TEXT(A350,"mmm"))</f>
        <v/>
      </c>
      <c r="V350" s="37" t="str">
        <f aca="false">IF(Q350="","",IFERROR(INDEX(Settings!$I$11:$I$15,MATCH(Q350,Settings!$H$11:$H$15,0)),"No"))</f>
        <v/>
      </c>
      <c r="W350" s="37" t="str">
        <f aca="false">IF(Q350="","",IFERROR(INDEX(Settings!$J$11:$J$15,MATCH(Q350,Settings!$H$11:$H$15,0)),"No"))</f>
        <v/>
      </c>
    </row>
    <row r="351" customFormat="false" ht="15" hidden="false" customHeight="false" outlineLevel="0" collapsed="false">
      <c r="A351" s="30"/>
      <c r="B351" s="25"/>
      <c r="C351" s="25"/>
      <c r="D351" s="25"/>
      <c r="E351" s="25"/>
      <c r="F351" s="25"/>
      <c r="G351" s="25"/>
      <c r="H351" s="31"/>
      <c r="I351" s="32"/>
      <c r="J351" s="33"/>
      <c r="K351" s="34" t="str">
        <f aca="false">IF(OR(H351="",I351=""),"",H351*I351*(1-N(J351)))</f>
        <v/>
      </c>
      <c r="L351" s="32"/>
      <c r="M351" s="34" t="str">
        <f aca="false">IF(OR(H351="",L351=""),"",H351*L351)</f>
        <v/>
      </c>
      <c r="N351" s="34" t="str">
        <f aca="false">IF(OR(K351="",M351=""),"",K351-M351)</f>
        <v/>
      </c>
      <c r="O351" s="35" t="str">
        <f aca="false">IF(OR(N351="",K351=""),"",IF(K351=0,"",N351/K351))</f>
        <v/>
      </c>
      <c r="P351" s="25"/>
      <c r="Q351" s="25"/>
      <c r="R351" s="25"/>
      <c r="S351" s="36" t="str">
        <f aca="false">IF(A351="","",YEAR(A351)+IF(AND(FYStart&gt;1,MONTH(A351)&gt;=FYStart),1,0))</f>
        <v/>
      </c>
      <c r="T351" s="36" t="str">
        <f aca="false">IF(A351="","",MOD(MONTH(A351)-FYStart,12)+1)</f>
        <v/>
      </c>
      <c r="U351" s="37" t="str">
        <f aca="false">IF(A351="","",TEXT(A351,"mmm"))</f>
        <v/>
      </c>
      <c r="V351" s="37" t="str">
        <f aca="false">IF(Q351="","",IFERROR(INDEX(Settings!$I$11:$I$15,MATCH(Q351,Settings!$H$11:$H$15,0)),"No"))</f>
        <v/>
      </c>
      <c r="W351" s="37" t="str">
        <f aca="false">IF(Q351="","",IFERROR(INDEX(Settings!$J$11:$J$15,MATCH(Q351,Settings!$H$11:$H$15,0)),"No"))</f>
        <v/>
      </c>
    </row>
    <row r="352" customFormat="false" ht="15" hidden="false" customHeight="false" outlineLevel="0" collapsed="false">
      <c r="A352" s="30"/>
      <c r="B352" s="25"/>
      <c r="C352" s="25"/>
      <c r="D352" s="25"/>
      <c r="E352" s="25"/>
      <c r="F352" s="25"/>
      <c r="G352" s="25"/>
      <c r="H352" s="31"/>
      <c r="I352" s="32"/>
      <c r="J352" s="33"/>
      <c r="K352" s="34" t="str">
        <f aca="false">IF(OR(H352="",I352=""),"",H352*I352*(1-N(J352)))</f>
        <v/>
      </c>
      <c r="L352" s="32"/>
      <c r="M352" s="34" t="str">
        <f aca="false">IF(OR(H352="",L352=""),"",H352*L352)</f>
        <v/>
      </c>
      <c r="N352" s="34" t="str">
        <f aca="false">IF(OR(K352="",M352=""),"",K352-M352)</f>
        <v/>
      </c>
      <c r="O352" s="35" t="str">
        <f aca="false">IF(OR(N352="",K352=""),"",IF(K352=0,"",N352/K352))</f>
        <v/>
      </c>
      <c r="P352" s="25"/>
      <c r="Q352" s="25"/>
      <c r="R352" s="25"/>
      <c r="S352" s="36" t="str">
        <f aca="false">IF(A352="","",YEAR(A352)+IF(AND(FYStart&gt;1,MONTH(A352)&gt;=FYStart),1,0))</f>
        <v/>
      </c>
      <c r="T352" s="36" t="str">
        <f aca="false">IF(A352="","",MOD(MONTH(A352)-FYStart,12)+1)</f>
        <v/>
      </c>
      <c r="U352" s="37" t="str">
        <f aca="false">IF(A352="","",TEXT(A352,"mmm"))</f>
        <v/>
      </c>
      <c r="V352" s="37" t="str">
        <f aca="false">IF(Q352="","",IFERROR(INDEX(Settings!$I$11:$I$15,MATCH(Q352,Settings!$H$11:$H$15,0)),"No"))</f>
        <v/>
      </c>
      <c r="W352" s="37" t="str">
        <f aca="false">IF(Q352="","",IFERROR(INDEX(Settings!$J$11:$J$15,MATCH(Q352,Settings!$H$11:$H$15,0)),"No"))</f>
        <v/>
      </c>
    </row>
    <row r="353" customFormat="false" ht="15" hidden="false" customHeight="false" outlineLevel="0" collapsed="false">
      <c r="A353" s="30"/>
      <c r="B353" s="25"/>
      <c r="C353" s="25"/>
      <c r="D353" s="25"/>
      <c r="E353" s="25"/>
      <c r="F353" s="25"/>
      <c r="G353" s="25"/>
      <c r="H353" s="31"/>
      <c r="I353" s="32"/>
      <c r="J353" s="33"/>
      <c r="K353" s="34" t="str">
        <f aca="false">IF(OR(H353="",I353=""),"",H353*I353*(1-N(J353)))</f>
        <v/>
      </c>
      <c r="L353" s="32"/>
      <c r="M353" s="34" t="str">
        <f aca="false">IF(OR(H353="",L353=""),"",H353*L353)</f>
        <v/>
      </c>
      <c r="N353" s="34" t="str">
        <f aca="false">IF(OR(K353="",M353=""),"",K353-M353)</f>
        <v/>
      </c>
      <c r="O353" s="35" t="str">
        <f aca="false">IF(OR(N353="",K353=""),"",IF(K353=0,"",N353/K353))</f>
        <v/>
      </c>
      <c r="P353" s="25"/>
      <c r="Q353" s="25"/>
      <c r="R353" s="25"/>
      <c r="S353" s="36" t="str">
        <f aca="false">IF(A353="","",YEAR(A353)+IF(AND(FYStart&gt;1,MONTH(A353)&gt;=FYStart),1,0))</f>
        <v/>
      </c>
      <c r="T353" s="36" t="str">
        <f aca="false">IF(A353="","",MOD(MONTH(A353)-FYStart,12)+1)</f>
        <v/>
      </c>
      <c r="U353" s="37" t="str">
        <f aca="false">IF(A353="","",TEXT(A353,"mmm"))</f>
        <v/>
      </c>
      <c r="V353" s="37" t="str">
        <f aca="false">IF(Q353="","",IFERROR(INDEX(Settings!$I$11:$I$15,MATCH(Q353,Settings!$H$11:$H$15,0)),"No"))</f>
        <v/>
      </c>
      <c r="W353" s="37" t="str">
        <f aca="false">IF(Q353="","",IFERROR(INDEX(Settings!$J$11:$J$15,MATCH(Q353,Settings!$H$11:$H$15,0)),"No"))</f>
        <v/>
      </c>
    </row>
    <row r="354" customFormat="false" ht="15" hidden="false" customHeight="false" outlineLevel="0" collapsed="false">
      <c r="A354" s="30"/>
      <c r="B354" s="25"/>
      <c r="C354" s="25"/>
      <c r="D354" s="25"/>
      <c r="E354" s="25"/>
      <c r="F354" s="25"/>
      <c r="G354" s="25"/>
      <c r="H354" s="31"/>
      <c r="I354" s="32"/>
      <c r="J354" s="33"/>
      <c r="K354" s="34" t="str">
        <f aca="false">IF(OR(H354="",I354=""),"",H354*I354*(1-N(J354)))</f>
        <v/>
      </c>
      <c r="L354" s="32"/>
      <c r="M354" s="34" t="str">
        <f aca="false">IF(OR(H354="",L354=""),"",H354*L354)</f>
        <v/>
      </c>
      <c r="N354" s="34" t="str">
        <f aca="false">IF(OR(K354="",M354=""),"",K354-M354)</f>
        <v/>
      </c>
      <c r="O354" s="35" t="str">
        <f aca="false">IF(OR(N354="",K354=""),"",IF(K354=0,"",N354/K354))</f>
        <v/>
      </c>
      <c r="P354" s="25"/>
      <c r="Q354" s="25"/>
      <c r="R354" s="25"/>
      <c r="S354" s="36" t="str">
        <f aca="false">IF(A354="","",YEAR(A354)+IF(AND(FYStart&gt;1,MONTH(A354)&gt;=FYStart),1,0))</f>
        <v/>
      </c>
      <c r="T354" s="36" t="str">
        <f aca="false">IF(A354="","",MOD(MONTH(A354)-FYStart,12)+1)</f>
        <v/>
      </c>
      <c r="U354" s="37" t="str">
        <f aca="false">IF(A354="","",TEXT(A354,"mmm"))</f>
        <v/>
      </c>
      <c r="V354" s="37" t="str">
        <f aca="false">IF(Q354="","",IFERROR(INDEX(Settings!$I$11:$I$15,MATCH(Q354,Settings!$H$11:$H$15,0)),"No"))</f>
        <v/>
      </c>
      <c r="W354" s="37" t="str">
        <f aca="false">IF(Q354="","",IFERROR(INDEX(Settings!$J$11:$J$15,MATCH(Q354,Settings!$H$11:$H$15,0)),"No"))</f>
        <v/>
      </c>
    </row>
    <row r="355" customFormat="false" ht="15" hidden="false" customHeight="false" outlineLevel="0" collapsed="false">
      <c r="A355" s="30"/>
      <c r="B355" s="25"/>
      <c r="C355" s="25"/>
      <c r="D355" s="25"/>
      <c r="E355" s="25"/>
      <c r="F355" s="25"/>
      <c r="G355" s="25"/>
      <c r="H355" s="31"/>
      <c r="I355" s="32"/>
      <c r="J355" s="33"/>
      <c r="K355" s="34" t="str">
        <f aca="false">IF(OR(H355="",I355=""),"",H355*I355*(1-N(J355)))</f>
        <v/>
      </c>
      <c r="L355" s="32"/>
      <c r="M355" s="34" t="str">
        <f aca="false">IF(OR(H355="",L355=""),"",H355*L355)</f>
        <v/>
      </c>
      <c r="N355" s="34" t="str">
        <f aca="false">IF(OR(K355="",M355=""),"",K355-M355)</f>
        <v/>
      </c>
      <c r="O355" s="35" t="str">
        <f aca="false">IF(OR(N355="",K355=""),"",IF(K355=0,"",N355/K355))</f>
        <v/>
      </c>
      <c r="P355" s="25"/>
      <c r="Q355" s="25"/>
      <c r="R355" s="25"/>
      <c r="S355" s="36" t="str">
        <f aca="false">IF(A355="","",YEAR(A355)+IF(AND(FYStart&gt;1,MONTH(A355)&gt;=FYStart),1,0))</f>
        <v/>
      </c>
      <c r="T355" s="36" t="str">
        <f aca="false">IF(A355="","",MOD(MONTH(A355)-FYStart,12)+1)</f>
        <v/>
      </c>
      <c r="U355" s="37" t="str">
        <f aca="false">IF(A355="","",TEXT(A355,"mmm"))</f>
        <v/>
      </c>
      <c r="V355" s="37" t="str">
        <f aca="false">IF(Q355="","",IFERROR(INDEX(Settings!$I$11:$I$15,MATCH(Q355,Settings!$H$11:$H$15,0)),"No"))</f>
        <v/>
      </c>
      <c r="W355" s="37" t="str">
        <f aca="false">IF(Q355="","",IFERROR(INDEX(Settings!$J$11:$J$15,MATCH(Q355,Settings!$H$11:$H$15,0)),"No"))</f>
        <v/>
      </c>
    </row>
    <row r="356" customFormat="false" ht="15" hidden="false" customHeight="false" outlineLevel="0" collapsed="false">
      <c r="A356" s="30"/>
      <c r="B356" s="25"/>
      <c r="C356" s="25"/>
      <c r="D356" s="25"/>
      <c r="E356" s="25"/>
      <c r="F356" s="25"/>
      <c r="G356" s="25"/>
      <c r="H356" s="31"/>
      <c r="I356" s="32"/>
      <c r="J356" s="33"/>
      <c r="K356" s="34" t="str">
        <f aca="false">IF(OR(H356="",I356=""),"",H356*I356*(1-N(J356)))</f>
        <v/>
      </c>
      <c r="L356" s="32"/>
      <c r="M356" s="34" t="str">
        <f aca="false">IF(OR(H356="",L356=""),"",H356*L356)</f>
        <v/>
      </c>
      <c r="N356" s="34" t="str">
        <f aca="false">IF(OR(K356="",M356=""),"",K356-M356)</f>
        <v/>
      </c>
      <c r="O356" s="35" t="str">
        <f aca="false">IF(OR(N356="",K356=""),"",IF(K356=0,"",N356/K356))</f>
        <v/>
      </c>
      <c r="P356" s="25"/>
      <c r="Q356" s="25"/>
      <c r="R356" s="25"/>
      <c r="S356" s="36" t="str">
        <f aca="false">IF(A356="","",YEAR(A356)+IF(AND(FYStart&gt;1,MONTH(A356)&gt;=FYStart),1,0))</f>
        <v/>
      </c>
      <c r="T356" s="36" t="str">
        <f aca="false">IF(A356="","",MOD(MONTH(A356)-FYStart,12)+1)</f>
        <v/>
      </c>
      <c r="U356" s="37" t="str">
        <f aca="false">IF(A356="","",TEXT(A356,"mmm"))</f>
        <v/>
      </c>
      <c r="V356" s="37" t="str">
        <f aca="false">IF(Q356="","",IFERROR(INDEX(Settings!$I$11:$I$15,MATCH(Q356,Settings!$H$11:$H$15,0)),"No"))</f>
        <v/>
      </c>
      <c r="W356" s="37" t="str">
        <f aca="false">IF(Q356="","",IFERROR(INDEX(Settings!$J$11:$J$15,MATCH(Q356,Settings!$H$11:$H$15,0)),"No"))</f>
        <v/>
      </c>
    </row>
    <row r="357" customFormat="false" ht="15" hidden="false" customHeight="false" outlineLevel="0" collapsed="false">
      <c r="A357" s="30"/>
      <c r="B357" s="25"/>
      <c r="C357" s="25"/>
      <c r="D357" s="25"/>
      <c r="E357" s="25"/>
      <c r="F357" s="25"/>
      <c r="G357" s="25"/>
      <c r="H357" s="31"/>
      <c r="I357" s="32"/>
      <c r="J357" s="33"/>
      <c r="K357" s="34" t="str">
        <f aca="false">IF(OR(H357="",I357=""),"",H357*I357*(1-N(J357)))</f>
        <v/>
      </c>
      <c r="L357" s="32"/>
      <c r="M357" s="34" t="str">
        <f aca="false">IF(OR(H357="",L357=""),"",H357*L357)</f>
        <v/>
      </c>
      <c r="N357" s="34" t="str">
        <f aca="false">IF(OR(K357="",M357=""),"",K357-M357)</f>
        <v/>
      </c>
      <c r="O357" s="35" t="str">
        <f aca="false">IF(OR(N357="",K357=""),"",IF(K357=0,"",N357/K357))</f>
        <v/>
      </c>
      <c r="P357" s="25"/>
      <c r="Q357" s="25"/>
      <c r="R357" s="25"/>
      <c r="S357" s="36" t="str">
        <f aca="false">IF(A357="","",YEAR(A357)+IF(AND(FYStart&gt;1,MONTH(A357)&gt;=FYStart),1,0))</f>
        <v/>
      </c>
      <c r="T357" s="36" t="str">
        <f aca="false">IF(A357="","",MOD(MONTH(A357)-FYStart,12)+1)</f>
        <v/>
      </c>
      <c r="U357" s="37" t="str">
        <f aca="false">IF(A357="","",TEXT(A357,"mmm"))</f>
        <v/>
      </c>
      <c r="V357" s="37" t="str">
        <f aca="false">IF(Q357="","",IFERROR(INDEX(Settings!$I$11:$I$15,MATCH(Q357,Settings!$H$11:$H$15,0)),"No"))</f>
        <v/>
      </c>
      <c r="W357" s="37" t="str">
        <f aca="false">IF(Q357="","",IFERROR(INDEX(Settings!$J$11:$J$15,MATCH(Q357,Settings!$H$11:$H$15,0)),"No"))</f>
        <v/>
      </c>
    </row>
    <row r="358" customFormat="false" ht="15" hidden="false" customHeight="false" outlineLevel="0" collapsed="false">
      <c r="A358" s="30"/>
      <c r="B358" s="25"/>
      <c r="C358" s="25"/>
      <c r="D358" s="25"/>
      <c r="E358" s="25"/>
      <c r="F358" s="25"/>
      <c r="G358" s="25"/>
      <c r="H358" s="31"/>
      <c r="I358" s="32"/>
      <c r="J358" s="33"/>
      <c r="K358" s="34" t="str">
        <f aca="false">IF(OR(H358="",I358=""),"",H358*I358*(1-N(J358)))</f>
        <v/>
      </c>
      <c r="L358" s="32"/>
      <c r="M358" s="34" t="str">
        <f aca="false">IF(OR(H358="",L358=""),"",H358*L358)</f>
        <v/>
      </c>
      <c r="N358" s="34" t="str">
        <f aca="false">IF(OR(K358="",M358=""),"",K358-M358)</f>
        <v/>
      </c>
      <c r="O358" s="35" t="str">
        <f aca="false">IF(OR(N358="",K358=""),"",IF(K358=0,"",N358/K358))</f>
        <v/>
      </c>
      <c r="P358" s="25"/>
      <c r="Q358" s="25"/>
      <c r="R358" s="25"/>
      <c r="S358" s="36" t="str">
        <f aca="false">IF(A358="","",YEAR(A358)+IF(AND(FYStart&gt;1,MONTH(A358)&gt;=FYStart),1,0))</f>
        <v/>
      </c>
      <c r="T358" s="36" t="str">
        <f aca="false">IF(A358="","",MOD(MONTH(A358)-FYStart,12)+1)</f>
        <v/>
      </c>
      <c r="U358" s="37" t="str">
        <f aca="false">IF(A358="","",TEXT(A358,"mmm"))</f>
        <v/>
      </c>
      <c r="V358" s="37" t="str">
        <f aca="false">IF(Q358="","",IFERROR(INDEX(Settings!$I$11:$I$15,MATCH(Q358,Settings!$H$11:$H$15,0)),"No"))</f>
        <v/>
      </c>
      <c r="W358" s="37" t="str">
        <f aca="false">IF(Q358="","",IFERROR(INDEX(Settings!$J$11:$J$15,MATCH(Q358,Settings!$H$11:$H$15,0)),"No"))</f>
        <v/>
      </c>
    </row>
    <row r="359" customFormat="false" ht="15" hidden="false" customHeight="false" outlineLevel="0" collapsed="false">
      <c r="A359" s="30"/>
      <c r="B359" s="25"/>
      <c r="C359" s="25"/>
      <c r="D359" s="25"/>
      <c r="E359" s="25"/>
      <c r="F359" s="25"/>
      <c r="G359" s="25"/>
      <c r="H359" s="31"/>
      <c r="I359" s="32"/>
      <c r="J359" s="33"/>
      <c r="K359" s="34" t="str">
        <f aca="false">IF(OR(H359="",I359=""),"",H359*I359*(1-N(J359)))</f>
        <v/>
      </c>
      <c r="L359" s="32"/>
      <c r="M359" s="34" t="str">
        <f aca="false">IF(OR(H359="",L359=""),"",H359*L359)</f>
        <v/>
      </c>
      <c r="N359" s="34" t="str">
        <f aca="false">IF(OR(K359="",M359=""),"",K359-M359)</f>
        <v/>
      </c>
      <c r="O359" s="35" t="str">
        <f aca="false">IF(OR(N359="",K359=""),"",IF(K359=0,"",N359/K359))</f>
        <v/>
      </c>
      <c r="P359" s="25"/>
      <c r="Q359" s="25"/>
      <c r="R359" s="25"/>
      <c r="S359" s="36" t="str">
        <f aca="false">IF(A359="","",YEAR(A359)+IF(AND(FYStart&gt;1,MONTH(A359)&gt;=FYStart),1,0))</f>
        <v/>
      </c>
      <c r="T359" s="36" t="str">
        <f aca="false">IF(A359="","",MOD(MONTH(A359)-FYStart,12)+1)</f>
        <v/>
      </c>
      <c r="U359" s="37" t="str">
        <f aca="false">IF(A359="","",TEXT(A359,"mmm"))</f>
        <v/>
      </c>
      <c r="V359" s="37" t="str">
        <f aca="false">IF(Q359="","",IFERROR(INDEX(Settings!$I$11:$I$15,MATCH(Q359,Settings!$H$11:$H$15,0)),"No"))</f>
        <v/>
      </c>
      <c r="W359" s="37" t="str">
        <f aca="false">IF(Q359="","",IFERROR(INDEX(Settings!$J$11:$J$15,MATCH(Q359,Settings!$H$11:$H$15,0)),"No"))</f>
        <v/>
      </c>
    </row>
    <row r="360" customFormat="false" ht="15" hidden="false" customHeight="false" outlineLevel="0" collapsed="false">
      <c r="A360" s="30"/>
      <c r="B360" s="25"/>
      <c r="C360" s="25"/>
      <c r="D360" s="25"/>
      <c r="E360" s="25"/>
      <c r="F360" s="25"/>
      <c r="G360" s="25"/>
      <c r="H360" s="31"/>
      <c r="I360" s="32"/>
      <c r="J360" s="33"/>
      <c r="K360" s="34" t="str">
        <f aca="false">IF(OR(H360="",I360=""),"",H360*I360*(1-N(J360)))</f>
        <v/>
      </c>
      <c r="L360" s="32"/>
      <c r="M360" s="34" t="str">
        <f aca="false">IF(OR(H360="",L360=""),"",H360*L360)</f>
        <v/>
      </c>
      <c r="N360" s="34" t="str">
        <f aca="false">IF(OR(K360="",M360=""),"",K360-M360)</f>
        <v/>
      </c>
      <c r="O360" s="35" t="str">
        <f aca="false">IF(OR(N360="",K360=""),"",IF(K360=0,"",N360/K360))</f>
        <v/>
      </c>
      <c r="P360" s="25"/>
      <c r="Q360" s="25"/>
      <c r="R360" s="25"/>
      <c r="S360" s="36" t="str">
        <f aca="false">IF(A360="","",YEAR(A360)+IF(AND(FYStart&gt;1,MONTH(A360)&gt;=FYStart),1,0))</f>
        <v/>
      </c>
      <c r="T360" s="36" t="str">
        <f aca="false">IF(A360="","",MOD(MONTH(A360)-FYStart,12)+1)</f>
        <v/>
      </c>
      <c r="U360" s="37" t="str">
        <f aca="false">IF(A360="","",TEXT(A360,"mmm"))</f>
        <v/>
      </c>
      <c r="V360" s="37" t="str">
        <f aca="false">IF(Q360="","",IFERROR(INDEX(Settings!$I$11:$I$15,MATCH(Q360,Settings!$H$11:$H$15,0)),"No"))</f>
        <v/>
      </c>
      <c r="W360" s="37" t="str">
        <f aca="false">IF(Q360="","",IFERROR(INDEX(Settings!$J$11:$J$15,MATCH(Q360,Settings!$H$11:$H$15,0)),"No"))</f>
        <v/>
      </c>
    </row>
    <row r="361" customFormat="false" ht="15" hidden="false" customHeight="false" outlineLevel="0" collapsed="false">
      <c r="A361" s="30"/>
      <c r="B361" s="25"/>
      <c r="C361" s="25"/>
      <c r="D361" s="25"/>
      <c r="E361" s="25"/>
      <c r="F361" s="25"/>
      <c r="G361" s="25"/>
      <c r="H361" s="31"/>
      <c r="I361" s="32"/>
      <c r="J361" s="33"/>
      <c r="K361" s="34" t="str">
        <f aca="false">IF(OR(H361="",I361=""),"",H361*I361*(1-N(J361)))</f>
        <v/>
      </c>
      <c r="L361" s="32"/>
      <c r="M361" s="34" t="str">
        <f aca="false">IF(OR(H361="",L361=""),"",H361*L361)</f>
        <v/>
      </c>
      <c r="N361" s="34" t="str">
        <f aca="false">IF(OR(K361="",M361=""),"",K361-M361)</f>
        <v/>
      </c>
      <c r="O361" s="35" t="str">
        <f aca="false">IF(OR(N361="",K361=""),"",IF(K361=0,"",N361/K361))</f>
        <v/>
      </c>
      <c r="P361" s="25"/>
      <c r="Q361" s="25"/>
      <c r="R361" s="25"/>
      <c r="S361" s="36" t="str">
        <f aca="false">IF(A361="","",YEAR(A361)+IF(AND(FYStart&gt;1,MONTH(A361)&gt;=FYStart),1,0))</f>
        <v/>
      </c>
      <c r="T361" s="36" t="str">
        <f aca="false">IF(A361="","",MOD(MONTH(A361)-FYStart,12)+1)</f>
        <v/>
      </c>
      <c r="U361" s="37" t="str">
        <f aca="false">IF(A361="","",TEXT(A361,"mmm"))</f>
        <v/>
      </c>
      <c r="V361" s="37" t="str">
        <f aca="false">IF(Q361="","",IFERROR(INDEX(Settings!$I$11:$I$15,MATCH(Q361,Settings!$H$11:$H$15,0)),"No"))</f>
        <v/>
      </c>
      <c r="W361" s="37" t="str">
        <f aca="false">IF(Q361="","",IFERROR(INDEX(Settings!$J$11:$J$15,MATCH(Q361,Settings!$H$11:$H$15,0)),"No"))</f>
        <v/>
      </c>
    </row>
    <row r="362" customFormat="false" ht="15" hidden="false" customHeight="false" outlineLevel="0" collapsed="false">
      <c r="A362" s="30"/>
      <c r="B362" s="25"/>
      <c r="C362" s="25"/>
      <c r="D362" s="25"/>
      <c r="E362" s="25"/>
      <c r="F362" s="25"/>
      <c r="G362" s="25"/>
      <c r="H362" s="31"/>
      <c r="I362" s="32"/>
      <c r="J362" s="33"/>
      <c r="K362" s="34" t="str">
        <f aca="false">IF(OR(H362="",I362=""),"",H362*I362*(1-N(J362)))</f>
        <v/>
      </c>
      <c r="L362" s="32"/>
      <c r="M362" s="34" t="str">
        <f aca="false">IF(OR(H362="",L362=""),"",H362*L362)</f>
        <v/>
      </c>
      <c r="N362" s="34" t="str">
        <f aca="false">IF(OR(K362="",M362=""),"",K362-M362)</f>
        <v/>
      </c>
      <c r="O362" s="35" t="str">
        <f aca="false">IF(OR(N362="",K362=""),"",IF(K362=0,"",N362/K362))</f>
        <v/>
      </c>
      <c r="P362" s="25"/>
      <c r="Q362" s="25"/>
      <c r="R362" s="25"/>
      <c r="S362" s="36" t="str">
        <f aca="false">IF(A362="","",YEAR(A362)+IF(AND(FYStart&gt;1,MONTH(A362)&gt;=FYStart),1,0))</f>
        <v/>
      </c>
      <c r="T362" s="36" t="str">
        <f aca="false">IF(A362="","",MOD(MONTH(A362)-FYStart,12)+1)</f>
        <v/>
      </c>
      <c r="U362" s="37" t="str">
        <f aca="false">IF(A362="","",TEXT(A362,"mmm"))</f>
        <v/>
      </c>
      <c r="V362" s="37" t="str">
        <f aca="false">IF(Q362="","",IFERROR(INDEX(Settings!$I$11:$I$15,MATCH(Q362,Settings!$H$11:$H$15,0)),"No"))</f>
        <v/>
      </c>
      <c r="W362" s="37" t="str">
        <f aca="false">IF(Q362="","",IFERROR(INDEX(Settings!$J$11:$J$15,MATCH(Q362,Settings!$H$11:$H$15,0)),"No"))</f>
        <v/>
      </c>
    </row>
    <row r="363" customFormat="false" ht="15" hidden="false" customHeight="false" outlineLevel="0" collapsed="false">
      <c r="A363" s="30"/>
      <c r="B363" s="25"/>
      <c r="C363" s="25"/>
      <c r="D363" s="25"/>
      <c r="E363" s="25"/>
      <c r="F363" s="25"/>
      <c r="G363" s="25"/>
      <c r="H363" s="31"/>
      <c r="I363" s="32"/>
      <c r="J363" s="33"/>
      <c r="K363" s="34" t="str">
        <f aca="false">IF(OR(H363="",I363=""),"",H363*I363*(1-N(J363)))</f>
        <v/>
      </c>
      <c r="L363" s="32"/>
      <c r="M363" s="34" t="str">
        <f aca="false">IF(OR(H363="",L363=""),"",H363*L363)</f>
        <v/>
      </c>
      <c r="N363" s="34" t="str">
        <f aca="false">IF(OR(K363="",M363=""),"",K363-M363)</f>
        <v/>
      </c>
      <c r="O363" s="35" t="str">
        <f aca="false">IF(OR(N363="",K363=""),"",IF(K363=0,"",N363/K363))</f>
        <v/>
      </c>
      <c r="P363" s="25"/>
      <c r="Q363" s="25"/>
      <c r="R363" s="25"/>
      <c r="S363" s="36" t="str">
        <f aca="false">IF(A363="","",YEAR(A363)+IF(AND(FYStart&gt;1,MONTH(A363)&gt;=FYStart),1,0))</f>
        <v/>
      </c>
      <c r="T363" s="36" t="str">
        <f aca="false">IF(A363="","",MOD(MONTH(A363)-FYStart,12)+1)</f>
        <v/>
      </c>
      <c r="U363" s="37" t="str">
        <f aca="false">IF(A363="","",TEXT(A363,"mmm"))</f>
        <v/>
      </c>
      <c r="V363" s="37" t="str">
        <f aca="false">IF(Q363="","",IFERROR(INDEX(Settings!$I$11:$I$15,MATCH(Q363,Settings!$H$11:$H$15,0)),"No"))</f>
        <v/>
      </c>
      <c r="W363" s="37" t="str">
        <f aca="false">IF(Q363="","",IFERROR(INDEX(Settings!$J$11:$J$15,MATCH(Q363,Settings!$H$11:$H$15,0)),"No"))</f>
        <v/>
      </c>
    </row>
    <row r="364" customFormat="false" ht="15" hidden="false" customHeight="false" outlineLevel="0" collapsed="false">
      <c r="A364" s="30"/>
      <c r="B364" s="25"/>
      <c r="C364" s="25"/>
      <c r="D364" s="25"/>
      <c r="E364" s="25"/>
      <c r="F364" s="25"/>
      <c r="G364" s="25"/>
      <c r="H364" s="31"/>
      <c r="I364" s="32"/>
      <c r="J364" s="33"/>
      <c r="K364" s="34" t="str">
        <f aca="false">IF(OR(H364="",I364=""),"",H364*I364*(1-N(J364)))</f>
        <v/>
      </c>
      <c r="L364" s="32"/>
      <c r="M364" s="34" t="str">
        <f aca="false">IF(OR(H364="",L364=""),"",H364*L364)</f>
        <v/>
      </c>
      <c r="N364" s="34" t="str">
        <f aca="false">IF(OR(K364="",M364=""),"",K364-M364)</f>
        <v/>
      </c>
      <c r="O364" s="35" t="str">
        <f aca="false">IF(OR(N364="",K364=""),"",IF(K364=0,"",N364/K364))</f>
        <v/>
      </c>
      <c r="P364" s="25"/>
      <c r="Q364" s="25"/>
      <c r="R364" s="25"/>
      <c r="S364" s="36" t="str">
        <f aca="false">IF(A364="","",YEAR(A364)+IF(AND(FYStart&gt;1,MONTH(A364)&gt;=FYStart),1,0))</f>
        <v/>
      </c>
      <c r="T364" s="36" t="str">
        <f aca="false">IF(A364="","",MOD(MONTH(A364)-FYStart,12)+1)</f>
        <v/>
      </c>
      <c r="U364" s="37" t="str">
        <f aca="false">IF(A364="","",TEXT(A364,"mmm"))</f>
        <v/>
      </c>
      <c r="V364" s="37" t="str">
        <f aca="false">IF(Q364="","",IFERROR(INDEX(Settings!$I$11:$I$15,MATCH(Q364,Settings!$H$11:$H$15,0)),"No"))</f>
        <v/>
      </c>
      <c r="W364" s="37" t="str">
        <f aca="false">IF(Q364="","",IFERROR(INDEX(Settings!$J$11:$J$15,MATCH(Q364,Settings!$H$11:$H$15,0)),"No"))</f>
        <v/>
      </c>
    </row>
    <row r="365" customFormat="false" ht="15" hidden="false" customHeight="false" outlineLevel="0" collapsed="false">
      <c r="A365" s="30"/>
      <c r="B365" s="25"/>
      <c r="C365" s="25"/>
      <c r="D365" s="25"/>
      <c r="E365" s="25"/>
      <c r="F365" s="25"/>
      <c r="G365" s="25"/>
      <c r="H365" s="31"/>
      <c r="I365" s="32"/>
      <c r="J365" s="33"/>
      <c r="K365" s="34" t="str">
        <f aca="false">IF(OR(H365="",I365=""),"",H365*I365*(1-N(J365)))</f>
        <v/>
      </c>
      <c r="L365" s="32"/>
      <c r="M365" s="34" t="str">
        <f aca="false">IF(OR(H365="",L365=""),"",H365*L365)</f>
        <v/>
      </c>
      <c r="N365" s="34" t="str">
        <f aca="false">IF(OR(K365="",M365=""),"",K365-M365)</f>
        <v/>
      </c>
      <c r="O365" s="35" t="str">
        <f aca="false">IF(OR(N365="",K365=""),"",IF(K365=0,"",N365/K365))</f>
        <v/>
      </c>
      <c r="P365" s="25"/>
      <c r="Q365" s="25"/>
      <c r="R365" s="25"/>
      <c r="S365" s="36" t="str">
        <f aca="false">IF(A365="","",YEAR(A365)+IF(AND(FYStart&gt;1,MONTH(A365)&gt;=FYStart),1,0))</f>
        <v/>
      </c>
      <c r="T365" s="36" t="str">
        <f aca="false">IF(A365="","",MOD(MONTH(A365)-FYStart,12)+1)</f>
        <v/>
      </c>
      <c r="U365" s="37" t="str">
        <f aca="false">IF(A365="","",TEXT(A365,"mmm"))</f>
        <v/>
      </c>
      <c r="V365" s="37" t="str">
        <f aca="false">IF(Q365="","",IFERROR(INDEX(Settings!$I$11:$I$15,MATCH(Q365,Settings!$H$11:$H$15,0)),"No"))</f>
        <v/>
      </c>
      <c r="W365" s="37" t="str">
        <f aca="false">IF(Q365="","",IFERROR(INDEX(Settings!$J$11:$J$15,MATCH(Q365,Settings!$H$11:$H$15,0)),"No"))</f>
        <v/>
      </c>
    </row>
    <row r="366" customFormat="false" ht="15" hidden="false" customHeight="false" outlineLevel="0" collapsed="false">
      <c r="A366" s="30"/>
      <c r="B366" s="25"/>
      <c r="C366" s="25"/>
      <c r="D366" s="25"/>
      <c r="E366" s="25"/>
      <c r="F366" s="25"/>
      <c r="G366" s="25"/>
      <c r="H366" s="31"/>
      <c r="I366" s="32"/>
      <c r="J366" s="33"/>
      <c r="K366" s="34" t="str">
        <f aca="false">IF(OR(H366="",I366=""),"",H366*I366*(1-N(J366)))</f>
        <v/>
      </c>
      <c r="L366" s="32"/>
      <c r="M366" s="34" t="str">
        <f aca="false">IF(OR(H366="",L366=""),"",H366*L366)</f>
        <v/>
      </c>
      <c r="N366" s="34" t="str">
        <f aca="false">IF(OR(K366="",M366=""),"",K366-M366)</f>
        <v/>
      </c>
      <c r="O366" s="35" t="str">
        <f aca="false">IF(OR(N366="",K366=""),"",IF(K366=0,"",N366/K366))</f>
        <v/>
      </c>
      <c r="P366" s="25"/>
      <c r="Q366" s="25"/>
      <c r="R366" s="25"/>
      <c r="S366" s="36" t="str">
        <f aca="false">IF(A366="","",YEAR(A366)+IF(AND(FYStart&gt;1,MONTH(A366)&gt;=FYStart),1,0))</f>
        <v/>
      </c>
      <c r="T366" s="36" t="str">
        <f aca="false">IF(A366="","",MOD(MONTH(A366)-FYStart,12)+1)</f>
        <v/>
      </c>
      <c r="U366" s="37" t="str">
        <f aca="false">IF(A366="","",TEXT(A366,"mmm"))</f>
        <v/>
      </c>
      <c r="V366" s="37" t="str">
        <f aca="false">IF(Q366="","",IFERROR(INDEX(Settings!$I$11:$I$15,MATCH(Q366,Settings!$H$11:$H$15,0)),"No"))</f>
        <v/>
      </c>
      <c r="W366" s="37" t="str">
        <f aca="false">IF(Q366="","",IFERROR(INDEX(Settings!$J$11:$J$15,MATCH(Q366,Settings!$H$11:$H$15,0)),"No"))</f>
        <v/>
      </c>
    </row>
    <row r="367" customFormat="false" ht="15" hidden="false" customHeight="false" outlineLevel="0" collapsed="false">
      <c r="A367" s="30"/>
      <c r="B367" s="25"/>
      <c r="C367" s="25"/>
      <c r="D367" s="25"/>
      <c r="E367" s="25"/>
      <c r="F367" s="25"/>
      <c r="G367" s="25"/>
      <c r="H367" s="31"/>
      <c r="I367" s="32"/>
      <c r="J367" s="33"/>
      <c r="K367" s="34" t="str">
        <f aca="false">IF(OR(H367="",I367=""),"",H367*I367*(1-N(J367)))</f>
        <v/>
      </c>
      <c r="L367" s="32"/>
      <c r="M367" s="34" t="str">
        <f aca="false">IF(OR(H367="",L367=""),"",H367*L367)</f>
        <v/>
      </c>
      <c r="N367" s="34" t="str">
        <f aca="false">IF(OR(K367="",M367=""),"",K367-M367)</f>
        <v/>
      </c>
      <c r="O367" s="35" t="str">
        <f aca="false">IF(OR(N367="",K367=""),"",IF(K367=0,"",N367/K367))</f>
        <v/>
      </c>
      <c r="P367" s="25"/>
      <c r="Q367" s="25"/>
      <c r="R367" s="25"/>
      <c r="S367" s="36" t="str">
        <f aca="false">IF(A367="","",YEAR(A367)+IF(AND(FYStart&gt;1,MONTH(A367)&gt;=FYStart),1,0))</f>
        <v/>
      </c>
      <c r="T367" s="36" t="str">
        <f aca="false">IF(A367="","",MOD(MONTH(A367)-FYStart,12)+1)</f>
        <v/>
      </c>
      <c r="U367" s="37" t="str">
        <f aca="false">IF(A367="","",TEXT(A367,"mmm"))</f>
        <v/>
      </c>
      <c r="V367" s="37" t="str">
        <f aca="false">IF(Q367="","",IFERROR(INDEX(Settings!$I$11:$I$15,MATCH(Q367,Settings!$H$11:$H$15,0)),"No"))</f>
        <v/>
      </c>
      <c r="W367" s="37" t="str">
        <f aca="false">IF(Q367="","",IFERROR(INDEX(Settings!$J$11:$J$15,MATCH(Q367,Settings!$H$11:$H$15,0)),"No"))</f>
        <v/>
      </c>
    </row>
    <row r="368" customFormat="false" ht="15" hidden="false" customHeight="false" outlineLevel="0" collapsed="false">
      <c r="A368" s="30"/>
      <c r="B368" s="25"/>
      <c r="C368" s="25"/>
      <c r="D368" s="25"/>
      <c r="E368" s="25"/>
      <c r="F368" s="25"/>
      <c r="G368" s="25"/>
      <c r="H368" s="31"/>
      <c r="I368" s="32"/>
      <c r="J368" s="33"/>
      <c r="K368" s="34" t="str">
        <f aca="false">IF(OR(H368="",I368=""),"",H368*I368*(1-N(J368)))</f>
        <v/>
      </c>
      <c r="L368" s="32"/>
      <c r="M368" s="34" t="str">
        <f aca="false">IF(OR(H368="",L368=""),"",H368*L368)</f>
        <v/>
      </c>
      <c r="N368" s="34" t="str">
        <f aca="false">IF(OR(K368="",M368=""),"",K368-M368)</f>
        <v/>
      </c>
      <c r="O368" s="35" t="str">
        <f aca="false">IF(OR(N368="",K368=""),"",IF(K368=0,"",N368/K368))</f>
        <v/>
      </c>
      <c r="P368" s="25"/>
      <c r="Q368" s="25"/>
      <c r="R368" s="25"/>
      <c r="S368" s="36" t="str">
        <f aca="false">IF(A368="","",YEAR(A368)+IF(AND(FYStart&gt;1,MONTH(A368)&gt;=FYStart),1,0))</f>
        <v/>
      </c>
      <c r="T368" s="36" t="str">
        <f aca="false">IF(A368="","",MOD(MONTH(A368)-FYStart,12)+1)</f>
        <v/>
      </c>
      <c r="U368" s="37" t="str">
        <f aca="false">IF(A368="","",TEXT(A368,"mmm"))</f>
        <v/>
      </c>
      <c r="V368" s="37" t="str">
        <f aca="false">IF(Q368="","",IFERROR(INDEX(Settings!$I$11:$I$15,MATCH(Q368,Settings!$H$11:$H$15,0)),"No"))</f>
        <v/>
      </c>
      <c r="W368" s="37" t="str">
        <f aca="false">IF(Q368="","",IFERROR(INDEX(Settings!$J$11:$J$15,MATCH(Q368,Settings!$H$11:$H$15,0)),"No"))</f>
        <v/>
      </c>
    </row>
    <row r="369" customFormat="false" ht="15" hidden="false" customHeight="false" outlineLevel="0" collapsed="false">
      <c r="A369" s="30"/>
      <c r="B369" s="25"/>
      <c r="C369" s="25"/>
      <c r="D369" s="25"/>
      <c r="E369" s="25"/>
      <c r="F369" s="25"/>
      <c r="G369" s="25"/>
      <c r="H369" s="31"/>
      <c r="I369" s="32"/>
      <c r="J369" s="33"/>
      <c r="K369" s="34" t="str">
        <f aca="false">IF(OR(H369="",I369=""),"",H369*I369*(1-N(J369)))</f>
        <v/>
      </c>
      <c r="L369" s="32"/>
      <c r="M369" s="34" t="str">
        <f aca="false">IF(OR(H369="",L369=""),"",H369*L369)</f>
        <v/>
      </c>
      <c r="N369" s="34" t="str">
        <f aca="false">IF(OR(K369="",M369=""),"",K369-M369)</f>
        <v/>
      </c>
      <c r="O369" s="35" t="str">
        <f aca="false">IF(OR(N369="",K369=""),"",IF(K369=0,"",N369/K369))</f>
        <v/>
      </c>
      <c r="P369" s="25"/>
      <c r="Q369" s="25"/>
      <c r="R369" s="25"/>
      <c r="S369" s="36" t="str">
        <f aca="false">IF(A369="","",YEAR(A369)+IF(AND(FYStart&gt;1,MONTH(A369)&gt;=FYStart),1,0))</f>
        <v/>
      </c>
      <c r="T369" s="36" t="str">
        <f aca="false">IF(A369="","",MOD(MONTH(A369)-FYStart,12)+1)</f>
        <v/>
      </c>
      <c r="U369" s="37" t="str">
        <f aca="false">IF(A369="","",TEXT(A369,"mmm"))</f>
        <v/>
      </c>
      <c r="V369" s="37" t="str">
        <f aca="false">IF(Q369="","",IFERROR(INDEX(Settings!$I$11:$I$15,MATCH(Q369,Settings!$H$11:$H$15,0)),"No"))</f>
        <v/>
      </c>
      <c r="W369" s="37" t="str">
        <f aca="false">IF(Q369="","",IFERROR(INDEX(Settings!$J$11:$J$15,MATCH(Q369,Settings!$H$11:$H$15,0)),"No"))</f>
        <v/>
      </c>
    </row>
    <row r="370" customFormat="false" ht="15" hidden="false" customHeight="false" outlineLevel="0" collapsed="false">
      <c r="A370" s="30"/>
      <c r="B370" s="25"/>
      <c r="C370" s="25"/>
      <c r="D370" s="25"/>
      <c r="E370" s="25"/>
      <c r="F370" s="25"/>
      <c r="G370" s="25"/>
      <c r="H370" s="31"/>
      <c r="I370" s="32"/>
      <c r="J370" s="33"/>
      <c r="K370" s="34" t="str">
        <f aca="false">IF(OR(H370="",I370=""),"",H370*I370*(1-N(J370)))</f>
        <v/>
      </c>
      <c r="L370" s="32"/>
      <c r="M370" s="34" t="str">
        <f aca="false">IF(OR(H370="",L370=""),"",H370*L370)</f>
        <v/>
      </c>
      <c r="N370" s="34" t="str">
        <f aca="false">IF(OR(K370="",M370=""),"",K370-M370)</f>
        <v/>
      </c>
      <c r="O370" s="35" t="str">
        <f aca="false">IF(OR(N370="",K370=""),"",IF(K370=0,"",N370/K370))</f>
        <v/>
      </c>
      <c r="P370" s="25"/>
      <c r="Q370" s="25"/>
      <c r="R370" s="25"/>
      <c r="S370" s="36" t="str">
        <f aca="false">IF(A370="","",YEAR(A370)+IF(AND(FYStart&gt;1,MONTH(A370)&gt;=FYStart),1,0))</f>
        <v/>
      </c>
      <c r="T370" s="36" t="str">
        <f aca="false">IF(A370="","",MOD(MONTH(A370)-FYStart,12)+1)</f>
        <v/>
      </c>
      <c r="U370" s="37" t="str">
        <f aca="false">IF(A370="","",TEXT(A370,"mmm"))</f>
        <v/>
      </c>
      <c r="V370" s="37" t="str">
        <f aca="false">IF(Q370="","",IFERROR(INDEX(Settings!$I$11:$I$15,MATCH(Q370,Settings!$H$11:$H$15,0)),"No"))</f>
        <v/>
      </c>
      <c r="W370" s="37" t="str">
        <f aca="false">IF(Q370="","",IFERROR(INDEX(Settings!$J$11:$J$15,MATCH(Q370,Settings!$H$11:$H$15,0)),"No"))</f>
        <v/>
      </c>
    </row>
    <row r="371" customFormat="false" ht="15" hidden="false" customHeight="false" outlineLevel="0" collapsed="false">
      <c r="A371" s="30"/>
      <c r="B371" s="25"/>
      <c r="C371" s="25"/>
      <c r="D371" s="25"/>
      <c r="E371" s="25"/>
      <c r="F371" s="25"/>
      <c r="G371" s="25"/>
      <c r="H371" s="31"/>
      <c r="I371" s="32"/>
      <c r="J371" s="33"/>
      <c r="K371" s="34" t="str">
        <f aca="false">IF(OR(H371="",I371=""),"",H371*I371*(1-N(J371)))</f>
        <v/>
      </c>
      <c r="L371" s="32"/>
      <c r="M371" s="34" t="str">
        <f aca="false">IF(OR(H371="",L371=""),"",H371*L371)</f>
        <v/>
      </c>
      <c r="N371" s="34" t="str">
        <f aca="false">IF(OR(K371="",M371=""),"",K371-M371)</f>
        <v/>
      </c>
      <c r="O371" s="35" t="str">
        <f aca="false">IF(OR(N371="",K371=""),"",IF(K371=0,"",N371/K371))</f>
        <v/>
      </c>
      <c r="P371" s="25"/>
      <c r="Q371" s="25"/>
      <c r="R371" s="25"/>
      <c r="S371" s="36" t="str">
        <f aca="false">IF(A371="","",YEAR(A371)+IF(AND(FYStart&gt;1,MONTH(A371)&gt;=FYStart),1,0))</f>
        <v/>
      </c>
      <c r="T371" s="36" t="str">
        <f aca="false">IF(A371="","",MOD(MONTH(A371)-FYStart,12)+1)</f>
        <v/>
      </c>
      <c r="U371" s="37" t="str">
        <f aca="false">IF(A371="","",TEXT(A371,"mmm"))</f>
        <v/>
      </c>
      <c r="V371" s="37" t="str">
        <f aca="false">IF(Q371="","",IFERROR(INDEX(Settings!$I$11:$I$15,MATCH(Q371,Settings!$H$11:$H$15,0)),"No"))</f>
        <v/>
      </c>
      <c r="W371" s="37" t="str">
        <f aca="false">IF(Q371="","",IFERROR(INDEX(Settings!$J$11:$J$15,MATCH(Q371,Settings!$H$11:$H$15,0)),"No"))</f>
        <v/>
      </c>
    </row>
    <row r="372" customFormat="false" ht="15" hidden="false" customHeight="false" outlineLevel="0" collapsed="false">
      <c r="A372" s="30"/>
      <c r="B372" s="25"/>
      <c r="C372" s="25"/>
      <c r="D372" s="25"/>
      <c r="E372" s="25"/>
      <c r="F372" s="25"/>
      <c r="G372" s="25"/>
      <c r="H372" s="31"/>
      <c r="I372" s="32"/>
      <c r="J372" s="33"/>
      <c r="K372" s="34" t="str">
        <f aca="false">IF(OR(H372="",I372=""),"",H372*I372*(1-N(J372)))</f>
        <v/>
      </c>
      <c r="L372" s="32"/>
      <c r="M372" s="34" t="str">
        <f aca="false">IF(OR(H372="",L372=""),"",H372*L372)</f>
        <v/>
      </c>
      <c r="N372" s="34" t="str">
        <f aca="false">IF(OR(K372="",M372=""),"",K372-M372)</f>
        <v/>
      </c>
      <c r="O372" s="35" t="str">
        <f aca="false">IF(OR(N372="",K372=""),"",IF(K372=0,"",N372/K372))</f>
        <v/>
      </c>
      <c r="P372" s="25"/>
      <c r="Q372" s="25"/>
      <c r="R372" s="25"/>
      <c r="S372" s="36" t="str">
        <f aca="false">IF(A372="","",YEAR(A372)+IF(AND(FYStart&gt;1,MONTH(A372)&gt;=FYStart),1,0))</f>
        <v/>
      </c>
      <c r="T372" s="36" t="str">
        <f aca="false">IF(A372="","",MOD(MONTH(A372)-FYStart,12)+1)</f>
        <v/>
      </c>
      <c r="U372" s="37" t="str">
        <f aca="false">IF(A372="","",TEXT(A372,"mmm"))</f>
        <v/>
      </c>
      <c r="V372" s="37" t="str">
        <f aca="false">IF(Q372="","",IFERROR(INDEX(Settings!$I$11:$I$15,MATCH(Q372,Settings!$H$11:$H$15,0)),"No"))</f>
        <v/>
      </c>
      <c r="W372" s="37" t="str">
        <f aca="false">IF(Q372="","",IFERROR(INDEX(Settings!$J$11:$J$15,MATCH(Q372,Settings!$H$11:$H$15,0)),"No"))</f>
        <v/>
      </c>
    </row>
    <row r="373" customFormat="false" ht="15" hidden="false" customHeight="false" outlineLevel="0" collapsed="false">
      <c r="A373" s="30"/>
      <c r="B373" s="25"/>
      <c r="C373" s="25"/>
      <c r="D373" s="25"/>
      <c r="E373" s="25"/>
      <c r="F373" s="25"/>
      <c r="G373" s="25"/>
      <c r="H373" s="31"/>
      <c r="I373" s="32"/>
      <c r="J373" s="33"/>
      <c r="K373" s="34" t="str">
        <f aca="false">IF(OR(H373="",I373=""),"",H373*I373*(1-N(J373)))</f>
        <v/>
      </c>
      <c r="L373" s="32"/>
      <c r="M373" s="34" t="str">
        <f aca="false">IF(OR(H373="",L373=""),"",H373*L373)</f>
        <v/>
      </c>
      <c r="N373" s="34" t="str">
        <f aca="false">IF(OR(K373="",M373=""),"",K373-M373)</f>
        <v/>
      </c>
      <c r="O373" s="35" t="str">
        <f aca="false">IF(OR(N373="",K373=""),"",IF(K373=0,"",N373/K373))</f>
        <v/>
      </c>
      <c r="P373" s="25"/>
      <c r="Q373" s="25"/>
      <c r="R373" s="25"/>
      <c r="S373" s="36" t="str">
        <f aca="false">IF(A373="","",YEAR(A373)+IF(AND(FYStart&gt;1,MONTH(A373)&gt;=FYStart),1,0))</f>
        <v/>
      </c>
      <c r="T373" s="36" t="str">
        <f aca="false">IF(A373="","",MOD(MONTH(A373)-FYStart,12)+1)</f>
        <v/>
      </c>
      <c r="U373" s="37" t="str">
        <f aca="false">IF(A373="","",TEXT(A373,"mmm"))</f>
        <v/>
      </c>
      <c r="V373" s="37" t="str">
        <f aca="false">IF(Q373="","",IFERROR(INDEX(Settings!$I$11:$I$15,MATCH(Q373,Settings!$H$11:$H$15,0)),"No"))</f>
        <v/>
      </c>
      <c r="W373" s="37" t="str">
        <f aca="false">IF(Q373="","",IFERROR(INDEX(Settings!$J$11:$J$15,MATCH(Q373,Settings!$H$11:$H$15,0)),"No"))</f>
        <v/>
      </c>
    </row>
    <row r="374" customFormat="false" ht="15" hidden="false" customHeight="false" outlineLevel="0" collapsed="false">
      <c r="A374" s="30"/>
      <c r="B374" s="25"/>
      <c r="C374" s="25"/>
      <c r="D374" s="25"/>
      <c r="E374" s="25"/>
      <c r="F374" s="25"/>
      <c r="G374" s="25"/>
      <c r="H374" s="31"/>
      <c r="I374" s="32"/>
      <c r="J374" s="33"/>
      <c r="K374" s="34" t="str">
        <f aca="false">IF(OR(H374="",I374=""),"",H374*I374*(1-N(J374)))</f>
        <v/>
      </c>
      <c r="L374" s="32"/>
      <c r="M374" s="34" t="str">
        <f aca="false">IF(OR(H374="",L374=""),"",H374*L374)</f>
        <v/>
      </c>
      <c r="N374" s="34" t="str">
        <f aca="false">IF(OR(K374="",M374=""),"",K374-M374)</f>
        <v/>
      </c>
      <c r="O374" s="35" t="str">
        <f aca="false">IF(OR(N374="",K374=""),"",IF(K374=0,"",N374/K374))</f>
        <v/>
      </c>
      <c r="P374" s="25"/>
      <c r="Q374" s="25"/>
      <c r="R374" s="25"/>
      <c r="S374" s="36" t="str">
        <f aca="false">IF(A374="","",YEAR(A374)+IF(AND(FYStart&gt;1,MONTH(A374)&gt;=FYStart),1,0))</f>
        <v/>
      </c>
      <c r="T374" s="36" t="str">
        <f aca="false">IF(A374="","",MOD(MONTH(A374)-FYStart,12)+1)</f>
        <v/>
      </c>
      <c r="U374" s="37" t="str">
        <f aca="false">IF(A374="","",TEXT(A374,"mmm"))</f>
        <v/>
      </c>
      <c r="V374" s="37" t="str">
        <f aca="false">IF(Q374="","",IFERROR(INDEX(Settings!$I$11:$I$15,MATCH(Q374,Settings!$H$11:$H$15,0)),"No"))</f>
        <v/>
      </c>
      <c r="W374" s="37" t="str">
        <f aca="false">IF(Q374="","",IFERROR(INDEX(Settings!$J$11:$J$15,MATCH(Q374,Settings!$H$11:$H$15,0)),"No"))</f>
        <v/>
      </c>
    </row>
    <row r="375" customFormat="false" ht="15" hidden="false" customHeight="false" outlineLevel="0" collapsed="false">
      <c r="A375" s="30"/>
      <c r="B375" s="25"/>
      <c r="C375" s="25"/>
      <c r="D375" s="25"/>
      <c r="E375" s="25"/>
      <c r="F375" s="25"/>
      <c r="G375" s="25"/>
      <c r="H375" s="31"/>
      <c r="I375" s="32"/>
      <c r="J375" s="33"/>
      <c r="K375" s="34" t="str">
        <f aca="false">IF(OR(H375="",I375=""),"",H375*I375*(1-N(J375)))</f>
        <v/>
      </c>
      <c r="L375" s="32"/>
      <c r="M375" s="34" t="str">
        <f aca="false">IF(OR(H375="",L375=""),"",H375*L375)</f>
        <v/>
      </c>
      <c r="N375" s="34" t="str">
        <f aca="false">IF(OR(K375="",M375=""),"",K375-M375)</f>
        <v/>
      </c>
      <c r="O375" s="35" t="str">
        <f aca="false">IF(OR(N375="",K375=""),"",IF(K375=0,"",N375/K375))</f>
        <v/>
      </c>
      <c r="P375" s="25"/>
      <c r="Q375" s="25"/>
      <c r="R375" s="25"/>
      <c r="S375" s="36" t="str">
        <f aca="false">IF(A375="","",YEAR(A375)+IF(AND(FYStart&gt;1,MONTH(A375)&gt;=FYStart),1,0))</f>
        <v/>
      </c>
      <c r="T375" s="36" t="str">
        <f aca="false">IF(A375="","",MOD(MONTH(A375)-FYStart,12)+1)</f>
        <v/>
      </c>
      <c r="U375" s="37" t="str">
        <f aca="false">IF(A375="","",TEXT(A375,"mmm"))</f>
        <v/>
      </c>
      <c r="V375" s="37" t="str">
        <f aca="false">IF(Q375="","",IFERROR(INDEX(Settings!$I$11:$I$15,MATCH(Q375,Settings!$H$11:$H$15,0)),"No"))</f>
        <v/>
      </c>
      <c r="W375" s="37" t="str">
        <f aca="false">IF(Q375="","",IFERROR(INDEX(Settings!$J$11:$J$15,MATCH(Q375,Settings!$H$11:$H$15,0)),"No"))</f>
        <v/>
      </c>
    </row>
    <row r="376" customFormat="false" ht="15" hidden="false" customHeight="false" outlineLevel="0" collapsed="false">
      <c r="A376" s="30"/>
      <c r="B376" s="25"/>
      <c r="C376" s="25"/>
      <c r="D376" s="25"/>
      <c r="E376" s="25"/>
      <c r="F376" s="25"/>
      <c r="G376" s="25"/>
      <c r="H376" s="31"/>
      <c r="I376" s="32"/>
      <c r="J376" s="33"/>
      <c r="K376" s="34" t="str">
        <f aca="false">IF(OR(H376="",I376=""),"",H376*I376*(1-N(J376)))</f>
        <v/>
      </c>
      <c r="L376" s="32"/>
      <c r="M376" s="34" t="str">
        <f aca="false">IF(OR(H376="",L376=""),"",H376*L376)</f>
        <v/>
      </c>
      <c r="N376" s="34" t="str">
        <f aca="false">IF(OR(K376="",M376=""),"",K376-M376)</f>
        <v/>
      </c>
      <c r="O376" s="35" t="str">
        <f aca="false">IF(OR(N376="",K376=""),"",IF(K376=0,"",N376/K376))</f>
        <v/>
      </c>
      <c r="P376" s="25"/>
      <c r="Q376" s="25"/>
      <c r="R376" s="25"/>
      <c r="S376" s="36" t="str">
        <f aca="false">IF(A376="","",YEAR(A376)+IF(AND(FYStart&gt;1,MONTH(A376)&gt;=FYStart),1,0))</f>
        <v/>
      </c>
      <c r="T376" s="36" t="str">
        <f aca="false">IF(A376="","",MOD(MONTH(A376)-FYStart,12)+1)</f>
        <v/>
      </c>
      <c r="U376" s="37" t="str">
        <f aca="false">IF(A376="","",TEXT(A376,"mmm"))</f>
        <v/>
      </c>
      <c r="V376" s="37" t="str">
        <f aca="false">IF(Q376="","",IFERROR(INDEX(Settings!$I$11:$I$15,MATCH(Q376,Settings!$H$11:$H$15,0)),"No"))</f>
        <v/>
      </c>
      <c r="W376" s="37" t="str">
        <f aca="false">IF(Q376="","",IFERROR(INDEX(Settings!$J$11:$J$15,MATCH(Q376,Settings!$H$11:$H$15,0)),"No"))</f>
        <v/>
      </c>
    </row>
    <row r="377" customFormat="false" ht="15" hidden="false" customHeight="false" outlineLevel="0" collapsed="false">
      <c r="A377" s="30"/>
      <c r="B377" s="25"/>
      <c r="C377" s="25"/>
      <c r="D377" s="25"/>
      <c r="E377" s="25"/>
      <c r="F377" s="25"/>
      <c r="G377" s="25"/>
      <c r="H377" s="31"/>
      <c r="I377" s="32"/>
      <c r="J377" s="33"/>
      <c r="K377" s="34" t="str">
        <f aca="false">IF(OR(H377="",I377=""),"",H377*I377*(1-N(J377)))</f>
        <v/>
      </c>
      <c r="L377" s="32"/>
      <c r="M377" s="34" t="str">
        <f aca="false">IF(OR(H377="",L377=""),"",H377*L377)</f>
        <v/>
      </c>
      <c r="N377" s="34" t="str">
        <f aca="false">IF(OR(K377="",M377=""),"",K377-M377)</f>
        <v/>
      </c>
      <c r="O377" s="35" t="str">
        <f aca="false">IF(OR(N377="",K377=""),"",IF(K377=0,"",N377/K377))</f>
        <v/>
      </c>
      <c r="P377" s="25"/>
      <c r="Q377" s="25"/>
      <c r="R377" s="25"/>
      <c r="S377" s="36" t="str">
        <f aca="false">IF(A377="","",YEAR(A377)+IF(AND(FYStart&gt;1,MONTH(A377)&gt;=FYStart),1,0))</f>
        <v/>
      </c>
      <c r="T377" s="36" t="str">
        <f aca="false">IF(A377="","",MOD(MONTH(A377)-FYStart,12)+1)</f>
        <v/>
      </c>
      <c r="U377" s="37" t="str">
        <f aca="false">IF(A377="","",TEXT(A377,"mmm"))</f>
        <v/>
      </c>
      <c r="V377" s="37" t="str">
        <f aca="false">IF(Q377="","",IFERROR(INDEX(Settings!$I$11:$I$15,MATCH(Q377,Settings!$H$11:$H$15,0)),"No"))</f>
        <v/>
      </c>
      <c r="W377" s="37" t="str">
        <f aca="false">IF(Q377="","",IFERROR(INDEX(Settings!$J$11:$J$15,MATCH(Q377,Settings!$H$11:$H$15,0)),"No"))</f>
        <v/>
      </c>
    </row>
    <row r="378" customFormat="false" ht="15" hidden="false" customHeight="false" outlineLevel="0" collapsed="false">
      <c r="A378" s="30"/>
      <c r="B378" s="25"/>
      <c r="C378" s="25"/>
      <c r="D378" s="25"/>
      <c r="E378" s="25"/>
      <c r="F378" s="25"/>
      <c r="G378" s="25"/>
      <c r="H378" s="31"/>
      <c r="I378" s="32"/>
      <c r="J378" s="33"/>
      <c r="K378" s="34" t="str">
        <f aca="false">IF(OR(H378="",I378=""),"",H378*I378*(1-N(J378)))</f>
        <v/>
      </c>
      <c r="L378" s="32"/>
      <c r="M378" s="34" t="str">
        <f aca="false">IF(OR(H378="",L378=""),"",H378*L378)</f>
        <v/>
      </c>
      <c r="N378" s="34" t="str">
        <f aca="false">IF(OR(K378="",M378=""),"",K378-M378)</f>
        <v/>
      </c>
      <c r="O378" s="35" t="str">
        <f aca="false">IF(OR(N378="",K378=""),"",IF(K378=0,"",N378/K378))</f>
        <v/>
      </c>
      <c r="P378" s="25"/>
      <c r="Q378" s="25"/>
      <c r="R378" s="25"/>
      <c r="S378" s="36" t="str">
        <f aca="false">IF(A378="","",YEAR(A378)+IF(AND(FYStart&gt;1,MONTH(A378)&gt;=FYStart),1,0))</f>
        <v/>
      </c>
      <c r="T378" s="36" t="str">
        <f aca="false">IF(A378="","",MOD(MONTH(A378)-FYStart,12)+1)</f>
        <v/>
      </c>
      <c r="U378" s="37" t="str">
        <f aca="false">IF(A378="","",TEXT(A378,"mmm"))</f>
        <v/>
      </c>
      <c r="V378" s="37" t="str">
        <f aca="false">IF(Q378="","",IFERROR(INDEX(Settings!$I$11:$I$15,MATCH(Q378,Settings!$H$11:$H$15,0)),"No"))</f>
        <v/>
      </c>
      <c r="W378" s="37" t="str">
        <f aca="false">IF(Q378="","",IFERROR(INDEX(Settings!$J$11:$J$15,MATCH(Q378,Settings!$H$11:$H$15,0)),"No"))</f>
        <v/>
      </c>
    </row>
    <row r="379" customFormat="false" ht="15" hidden="false" customHeight="false" outlineLevel="0" collapsed="false">
      <c r="A379" s="30"/>
      <c r="B379" s="25"/>
      <c r="C379" s="25"/>
      <c r="D379" s="25"/>
      <c r="E379" s="25"/>
      <c r="F379" s="25"/>
      <c r="G379" s="25"/>
      <c r="H379" s="31"/>
      <c r="I379" s="32"/>
      <c r="J379" s="33"/>
      <c r="K379" s="34" t="str">
        <f aca="false">IF(OR(H379="",I379=""),"",H379*I379*(1-N(J379)))</f>
        <v/>
      </c>
      <c r="L379" s="32"/>
      <c r="M379" s="34" t="str">
        <f aca="false">IF(OR(H379="",L379=""),"",H379*L379)</f>
        <v/>
      </c>
      <c r="N379" s="34" t="str">
        <f aca="false">IF(OR(K379="",M379=""),"",K379-M379)</f>
        <v/>
      </c>
      <c r="O379" s="35" t="str">
        <f aca="false">IF(OR(N379="",K379=""),"",IF(K379=0,"",N379/K379))</f>
        <v/>
      </c>
      <c r="P379" s="25"/>
      <c r="Q379" s="25"/>
      <c r="R379" s="25"/>
      <c r="S379" s="36" t="str">
        <f aca="false">IF(A379="","",YEAR(A379)+IF(AND(FYStart&gt;1,MONTH(A379)&gt;=FYStart),1,0))</f>
        <v/>
      </c>
      <c r="T379" s="36" t="str">
        <f aca="false">IF(A379="","",MOD(MONTH(A379)-FYStart,12)+1)</f>
        <v/>
      </c>
      <c r="U379" s="37" t="str">
        <f aca="false">IF(A379="","",TEXT(A379,"mmm"))</f>
        <v/>
      </c>
      <c r="V379" s="37" t="str">
        <f aca="false">IF(Q379="","",IFERROR(INDEX(Settings!$I$11:$I$15,MATCH(Q379,Settings!$H$11:$H$15,0)),"No"))</f>
        <v/>
      </c>
      <c r="W379" s="37" t="str">
        <f aca="false">IF(Q379="","",IFERROR(INDEX(Settings!$J$11:$J$15,MATCH(Q379,Settings!$H$11:$H$15,0)),"No"))</f>
        <v/>
      </c>
    </row>
    <row r="380" customFormat="false" ht="15" hidden="false" customHeight="false" outlineLevel="0" collapsed="false">
      <c r="A380" s="30"/>
      <c r="B380" s="25"/>
      <c r="C380" s="25"/>
      <c r="D380" s="25"/>
      <c r="E380" s="25"/>
      <c r="F380" s="25"/>
      <c r="G380" s="25"/>
      <c r="H380" s="31"/>
      <c r="I380" s="32"/>
      <c r="J380" s="33"/>
      <c r="K380" s="34" t="str">
        <f aca="false">IF(OR(H380="",I380=""),"",H380*I380*(1-N(J380)))</f>
        <v/>
      </c>
      <c r="L380" s="32"/>
      <c r="M380" s="34" t="str">
        <f aca="false">IF(OR(H380="",L380=""),"",H380*L380)</f>
        <v/>
      </c>
      <c r="N380" s="34" t="str">
        <f aca="false">IF(OR(K380="",M380=""),"",K380-M380)</f>
        <v/>
      </c>
      <c r="O380" s="35" t="str">
        <f aca="false">IF(OR(N380="",K380=""),"",IF(K380=0,"",N380/K380))</f>
        <v/>
      </c>
      <c r="P380" s="25"/>
      <c r="Q380" s="25"/>
      <c r="R380" s="25"/>
      <c r="S380" s="36" t="str">
        <f aca="false">IF(A380="","",YEAR(A380)+IF(AND(FYStart&gt;1,MONTH(A380)&gt;=FYStart),1,0))</f>
        <v/>
      </c>
      <c r="T380" s="36" t="str">
        <f aca="false">IF(A380="","",MOD(MONTH(A380)-FYStart,12)+1)</f>
        <v/>
      </c>
      <c r="U380" s="37" t="str">
        <f aca="false">IF(A380="","",TEXT(A380,"mmm"))</f>
        <v/>
      </c>
      <c r="V380" s="37" t="str">
        <f aca="false">IF(Q380="","",IFERROR(INDEX(Settings!$I$11:$I$15,MATCH(Q380,Settings!$H$11:$H$15,0)),"No"))</f>
        <v/>
      </c>
      <c r="W380" s="37" t="str">
        <f aca="false">IF(Q380="","",IFERROR(INDEX(Settings!$J$11:$J$15,MATCH(Q380,Settings!$H$11:$H$15,0)),"No"))</f>
        <v/>
      </c>
    </row>
    <row r="381" customFormat="false" ht="15" hidden="false" customHeight="false" outlineLevel="0" collapsed="false">
      <c r="A381" s="30"/>
      <c r="B381" s="25"/>
      <c r="C381" s="25"/>
      <c r="D381" s="25"/>
      <c r="E381" s="25"/>
      <c r="F381" s="25"/>
      <c r="G381" s="25"/>
      <c r="H381" s="31"/>
      <c r="I381" s="32"/>
      <c r="J381" s="33"/>
      <c r="K381" s="34" t="str">
        <f aca="false">IF(OR(H381="",I381=""),"",H381*I381*(1-N(J381)))</f>
        <v/>
      </c>
      <c r="L381" s="32"/>
      <c r="M381" s="34" t="str">
        <f aca="false">IF(OR(H381="",L381=""),"",H381*L381)</f>
        <v/>
      </c>
      <c r="N381" s="34" t="str">
        <f aca="false">IF(OR(K381="",M381=""),"",K381-M381)</f>
        <v/>
      </c>
      <c r="O381" s="35" t="str">
        <f aca="false">IF(OR(N381="",K381=""),"",IF(K381=0,"",N381/K381))</f>
        <v/>
      </c>
      <c r="P381" s="25"/>
      <c r="Q381" s="25"/>
      <c r="R381" s="25"/>
      <c r="S381" s="36" t="str">
        <f aca="false">IF(A381="","",YEAR(A381)+IF(AND(FYStart&gt;1,MONTH(A381)&gt;=FYStart),1,0))</f>
        <v/>
      </c>
      <c r="T381" s="36" t="str">
        <f aca="false">IF(A381="","",MOD(MONTH(A381)-FYStart,12)+1)</f>
        <v/>
      </c>
      <c r="U381" s="37" t="str">
        <f aca="false">IF(A381="","",TEXT(A381,"mmm"))</f>
        <v/>
      </c>
      <c r="V381" s="37" t="str">
        <f aca="false">IF(Q381="","",IFERROR(INDEX(Settings!$I$11:$I$15,MATCH(Q381,Settings!$H$11:$H$15,0)),"No"))</f>
        <v/>
      </c>
      <c r="W381" s="37" t="str">
        <f aca="false">IF(Q381="","",IFERROR(INDEX(Settings!$J$11:$J$15,MATCH(Q381,Settings!$H$11:$H$15,0)),"No"))</f>
        <v/>
      </c>
    </row>
    <row r="382" customFormat="false" ht="15" hidden="false" customHeight="false" outlineLevel="0" collapsed="false">
      <c r="A382" s="30"/>
      <c r="B382" s="25"/>
      <c r="C382" s="25"/>
      <c r="D382" s="25"/>
      <c r="E382" s="25"/>
      <c r="F382" s="25"/>
      <c r="G382" s="25"/>
      <c r="H382" s="31"/>
      <c r="I382" s="32"/>
      <c r="J382" s="33"/>
      <c r="K382" s="34" t="str">
        <f aca="false">IF(OR(H382="",I382=""),"",H382*I382*(1-N(J382)))</f>
        <v/>
      </c>
      <c r="L382" s="32"/>
      <c r="M382" s="34" t="str">
        <f aca="false">IF(OR(H382="",L382=""),"",H382*L382)</f>
        <v/>
      </c>
      <c r="N382" s="34" t="str">
        <f aca="false">IF(OR(K382="",M382=""),"",K382-M382)</f>
        <v/>
      </c>
      <c r="O382" s="35" t="str">
        <f aca="false">IF(OR(N382="",K382=""),"",IF(K382=0,"",N382/K382))</f>
        <v/>
      </c>
      <c r="P382" s="25"/>
      <c r="Q382" s="25"/>
      <c r="R382" s="25"/>
      <c r="S382" s="36" t="str">
        <f aca="false">IF(A382="","",YEAR(A382)+IF(AND(FYStart&gt;1,MONTH(A382)&gt;=FYStart),1,0))</f>
        <v/>
      </c>
      <c r="T382" s="36" t="str">
        <f aca="false">IF(A382="","",MOD(MONTH(A382)-FYStart,12)+1)</f>
        <v/>
      </c>
      <c r="U382" s="37" t="str">
        <f aca="false">IF(A382="","",TEXT(A382,"mmm"))</f>
        <v/>
      </c>
      <c r="V382" s="37" t="str">
        <f aca="false">IF(Q382="","",IFERROR(INDEX(Settings!$I$11:$I$15,MATCH(Q382,Settings!$H$11:$H$15,0)),"No"))</f>
        <v/>
      </c>
      <c r="W382" s="37" t="str">
        <f aca="false">IF(Q382="","",IFERROR(INDEX(Settings!$J$11:$J$15,MATCH(Q382,Settings!$H$11:$H$15,0)),"No"))</f>
        <v/>
      </c>
    </row>
    <row r="383" customFormat="false" ht="15" hidden="false" customHeight="false" outlineLevel="0" collapsed="false">
      <c r="A383" s="30"/>
      <c r="B383" s="25"/>
      <c r="C383" s="25"/>
      <c r="D383" s="25"/>
      <c r="E383" s="25"/>
      <c r="F383" s="25"/>
      <c r="G383" s="25"/>
      <c r="H383" s="31"/>
      <c r="I383" s="32"/>
      <c r="J383" s="33"/>
      <c r="K383" s="34" t="str">
        <f aca="false">IF(OR(H383="",I383=""),"",H383*I383*(1-N(J383)))</f>
        <v/>
      </c>
      <c r="L383" s="32"/>
      <c r="M383" s="34" t="str">
        <f aca="false">IF(OR(H383="",L383=""),"",H383*L383)</f>
        <v/>
      </c>
      <c r="N383" s="34" t="str">
        <f aca="false">IF(OR(K383="",M383=""),"",K383-M383)</f>
        <v/>
      </c>
      <c r="O383" s="35" t="str">
        <f aca="false">IF(OR(N383="",K383=""),"",IF(K383=0,"",N383/K383))</f>
        <v/>
      </c>
      <c r="P383" s="25"/>
      <c r="Q383" s="25"/>
      <c r="R383" s="25"/>
      <c r="S383" s="36" t="str">
        <f aca="false">IF(A383="","",YEAR(A383)+IF(AND(FYStart&gt;1,MONTH(A383)&gt;=FYStart),1,0))</f>
        <v/>
      </c>
      <c r="T383" s="36" t="str">
        <f aca="false">IF(A383="","",MOD(MONTH(A383)-FYStart,12)+1)</f>
        <v/>
      </c>
      <c r="U383" s="37" t="str">
        <f aca="false">IF(A383="","",TEXT(A383,"mmm"))</f>
        <v/>
      </c>
      <c r="V383" s="37" t="str">
        <f aca="false">IF(Q383="","",IFERROR(INDEX(Settings!$I$11:$I$15,MATCH(Q383,Settings!$H$11:$H$15,0)),"No"))</f>
        <v/>
      </c>
      <c r="W383" s="37" t="str">
        <f aca="false">IF(Q383="","",IFERROR(INDEX(Settings!$J$11:$J$15,MATCH(Q383,Settings!$H$11:$H$15,0)),"No"))</f>
        <v/>
      </c>
    </row>
    <row r="384" customFormat="false" ht="15" hidden="false" customHeight="false" outlineLevel="0" collapsed="false">
      <c r="A384" s="30"/>
      <c r="B384" s="25"/>
      <c r="C384" s="25"/>
      <c r="D384" s="25"/>
      <c r="E384" s="25"/>
      <c r="F384" s="25"/>
      <c r="G384" s="25"/>
      <c r="H384" s="31"/>
      <c r="I384" s="32"/>
      <c r="J384" s="33"/>
      <c r="K384" s="34" t="str">
        <f aca="false">IF(OR(H384="",I384=""),"",H384*I384*(1-N(J384)))</f>
        <v/>
      </c>
      <c r="L384" s="32"/>
      <c r="M384" s="34" t="str">
        <f aca="false">IF(OR(H384="",L384=""),"",H384*L384)</f>
        <v/>
      </c>
      <c r="N384" s="34" t="str">
        <f aca="false">IF(OR(K384="",M384=""),"",K384-M384)</f>
        <v/>
      </c>
      <c r="O384" s="35" t="str">
        <f aca="false">IF(OR(N384="",K384=""),"",IF(K384=0,"",N384/K384))</f>
        <v/>
      </c>
      <c r="P384" s="25"/>
      <c r="Q384" s="25"/>
      <c r="R384" s="25"/>
      <c r="S384" s="36" t="str">
        <f aca="false">IF(A384="","",YEAR(A384)+IF(AND(FYStart&gt;1,MONTH(A384)&gt;=FYStart),1,0))</f>
        <v/>
      </c>
      <c r="T384" s="36" t="str">
        <f aca="false">IF(A384="","",MOD(MONTH(A384)-FYStart,12)+1)</f>
        <v/>
      </c>
      <c r="U384" s="37" t="str">
        <f aca="false">IF(A384="","",TEXT(A384,"mmm"))</f>
        <v/>
      </c>
      <c r="V384" s="37" t="str">
        <f aca="false">IF(Q384="","",IFERROR(INDEX(Settings!$I$11:$I$15,MATCH(Q384,Settings!$H$11:$H$15,0)),"No"))</f>
        <v/>
      </c>
      <c r="W384" s="37" t="str">
        <f aca="false">IF(Q384="","",IFERROR(INDEX(Settings!$J$11:$J$15,MATCH(Q384,Settings!$H$11:$H$15,0)),"No"))</f>
        <v/>
      </c>
    </row>
    <row r="385" customFormat="false" ht="15" hidden="false" customHeight="false" outlineLevel="0" collapsed="false">
      <c r="A385" s="30"/>
      <c r="B385" s="25"/>
      <c r="C385" s="25"/>
      <c r="D385" s="25"/>
      <c r="E385" s="25"/>
      <c r="F385" s="25"/>
      <c r="G385" s="25"/>
      <c r="H385" s="31"/>
      <c r="I385" s="32"/>
      <c r="J385" s="33"/>
      <c r="K385" s="34" t="str">
        <f aca="false">IF(OR(H385="",I385=""),"",H385*I385*(1-N(J385)))</f>
        <v/>
      </c>
      <c r="L385" s="32"/>
      <c r="M385" s="34" t="str">
        <f aca="false">IF(OR(H385="",L385=""),"",H385*L385)</f>
        <v/>
      </c>
      <c r="N385" s="34" t="str">
        <f aca="false">IF(OR(K385="",M385=""),"",K385-M385)</f>
        <v/>
      </c>
      <c r="O385" s="35" t="str">
        <f aca="false">IF(OR(N385="",K385=""),"",IF(K385=0,"",N385/K385))</f>
        <v/>
      </c>
      <c r="P385" s="25"/>
      <c r="Q385" s="25"/>
      <c r="R385" s="25"/>
      <c r="S385" s="36" t="str">
        <f aca="false">IF(A385="","",YEAR(A385)+IF(AND(FYStart&gt;1,MONTH(A385)&gt;=FYStart),1,0))</f>
        <v/>
      </c>
      <c r="T385" s="36" t="str">
        <f aca="false">IF(A385="","",MOD(MONTH(A385)-FYStart,12)+1)</f>
        <v/>
      </c>
      <c r="U385" s="37" t="str">
        <f aca="false">IF(A385="","",TEXT(A385,"mmm"))</f>
        <v/>
      </c>
      <c r="V385" s="37" t="str">
        <f aca="false">IF(Q385="","",IFERROR(INDEX(Settings!$I$11:$I$15,MATCH(Q385,Settings!$H$11:$H$15,0)),"No"))</f>
        <v/>
      </c>
      <c r="W385" s="37" t="str">
        <f aca="false">IF(Q385="","",IFERROR(INDEX(Settings!$J$11:$J$15,MATCH(Q385,Settings!$H$11:$H$15,0)),"No"))</f>
        <v/>
      </c>
    </row>
    <row r="386" customFormat="false" ht="15" hidden="false" customHeight="false" outlineLevel="0" collapsed="false">
      <c r="A386" s="30"/>
      <c r="B386" s="25"/>
      <c r="C386" s="25"/>
      <c r="D386" s="25"/>
      <c r="E386" s="25"/>
      <c r="F386" s="25"/>
      <c r="G386" s="25"/>
      <c r="H386" s="31"/>
      <c r="I386" s="32"/>
      <c r="J386" s="33"/>
      <c r="K386" s="34" t="str">
        <f aca="false">IF(OR(H386="",I386=""),"",H386*I386*(1-N(J386)))</f>
        <v/>
      </c>
      <c r="L386" s="32"/>
      <c r="M386" s="34" t="str">
        <f aca="false">IF(OR(H386="",L386=""),"",H386*L386)</f>
        <v/>
      </c>
      <c r="N386" s="34" t="str">
        <f aca="false">IF(OR(K386="",M386=""),"",K386-M386)</f>
        <v/>
      </c>
      <c r="O386" s="35" t="str">
        <f aca="false">IF(OR(N386="",K386=""),"",IF(K386=0,"",N386/K386))</f>
        <v/>
      </c>
      <c r="P386" s="25"/>
      <c r="Q386" s="25"/>
      <c r="R386" s="25"/>
      <c r="S386" s="36" t="str">
        <f aca="false">IF(A386="","",YEAR(A386)+IF(AND(FYStart&gt;1,MONTH(A386)&gt;=FYStart),1,0))</f>
        <v/>
      </c>
      <c r="T386" s="36" t="str">
        <f aca="false">IF(A386="","",MOD(MONTH(A386)-FYStart,12)+1)</f>
        <v/>
      </c>
      <c r="U386" s="37" t="str">
        <f aca="false">IF(A386="","",TEXT(A386,"mmm"))</f>
        <v/>
      </c>
      <c r="V386" s="37" t="str">
        <f aca="false">IF(Q386="","",IFERROR(INDEX(Settings!$I$11:$I$15,MATCH(Q386,Settings!$H$11:$H$15,0)),"No"))</f>
        <v/>
      </c>
      <c r="W386" s="37" t="str">
        <f aca="false">IF(Q386="","",IFERROR(INDEX(Settings!$J$11:$J$15,MATCH(Q386,Settings!$H$11:$H$15,0)),"No"))</f>
        <v/>
      </c>
    </row>
    <row r="387" customFormat="false" ht="15" hidden="false" customHeight="false" outlineLevel="0" collapsed="false">
      <c r="A387" s="30"/>
      <c r="B387" s="25"/>
      <c r="C387" s="25"/>
      <c r="D387" s="25"/>
      <c r="E387" s="25"/>
      <c r="F387" s="25"/>
      <c r="G387" s="25"/>
      <c r="H387" s="31"/>
      <c r="I387" s="32"/>
      <c r="J387" s="33"/>
      <c r="K387" s="34" t="str">
        <f aca="false">IF(OR(H387="",I387=""),"",H387*I387*(1-N(J387)))</f>
        <v/>
      </c>
      <c r="L387" s="32"/>
      <c r="M387" s="34" t="str">
        <f aca="false">IF(OR(H387="",L387=""),"",H387*L387)</f>
        <v/>
      </c>
      <c r="N387" s="34" t="str">
        <f aca="false">IF(OR(K387="",M387=""),"",K387-M387)</f>
        <v/>
      </c>
      <c r="O387" s="35" t="str">
        <f aca="false">IF(OR(N387="",K387=""),"",IF(K387=0,"",N387/K387))</f>
        <v/>
      </c>
      <c r="P387" s="25"/>
      <c r="Q387" s="25"/>
      <c r="R387" s="25"/>
      <c r="S387" s="36" t="str">
        <f aca="false">IF(A387="","",YEAR(A387)+IF(AND(FYStart&gt;1,MONTH(A387)&gt;=FYStart),1,0))</f>
        <v/>
      </c>
      <c r="T387" s="36" t="str">
        <f aca="false">IF(A387="","",MOD(MONTH(A387)-FYStart,12)+1)</f>
        <v/>
      </c>
      <c r="U387" s="37" t="str">
        <f aca="false">IF(A387="","",TEXT(A387,"mmm"))</f>
        <v/>
      </c>
      <c r="V387" s="37" t="str">
        <f aca="false">IF(Q387="","",IFERROR(INDEX(Settings!$I$11:$I$15,MATCH(Q387,Settings!$H$11:$H$15,0)),"No"))</f>
        <v/>
      </c>
      <c r="W387" s="37" t="str">
        <f aca="false">IF(Q387="","",IFERROR(INDEX(Settings!$J$11:$J$15,MATCH(Q387,Settings!$H$11:$H$15,0)),"No"))</f>
        <v/>
      </c>
    </row>
    <row r="388" customFormat="false" ht="15" hidden="false" customHeight="false" outlineLevel="0" collapsed="false">
      <c r="A388" s="30"/>
      <c r="B388" s="25"/>
      <c r="C388" s="25"/>
      <c r="D388" s="25"/>
      <c r="E388" s="25"/>
      <c r="F388" s="25"/>
      <c r="G388" s="25"/>
      <c r="H388" s="31"/>
      <c r="I388" s="32"/>
      <c r="J388" s="33"/>
      <c r="K388" s="34" t="str">
        <f aca="false">IF(OR(H388="",I388=""),"",H388*I388*(1-N(J388)))</f>
        <v/>
      </c>
      <c r="L388" s="32"/>
      <c r="M388" s="34" t="str">
        <f aca="false">IF(OR(H388="",L388=""),"",H388*L388)</f>
        <v/>
      </c>
      <c r="N388" s="34" t="str">
        <f aca="false">IF(OR(K388="",M388=""),"",K388-M388)</f>
        <v/>
      </c>
      <c r="O388" s="35" t="str">
        <f aca="false">IF(OR(N388="",K388=""),"",IF(K388=0,"",N388/K388))</f>
        <v/>
      </c>
      <c r="P388" s="25"/>
      <c r="Q388" s="25"/>
      <c r="R388" s="25"/>
      <c r="S388" s="36" t="str">
        <f aca="false">IF(A388="","",YEAR(A388)+IF(AND(FYStart&gt;1,MONTH(A388)&gt;=FYStart),1,0))</f>
        <v/>
      </c>
      <c r="T388" s="36" t="str">
        <f aca="false">IF(A388="","",MOD(MONTH(A388)-FYStart,12)+1)</f>
        <v/>
      </c>
      <c r="U388" s="37" t="str">
        <f aca="false">IF(A388="","",TEXT(A388,"mmm"))</f>
        <v/>
      </c>
      <c r="V388" s="37" t="str">
        <f aca="false">IF(Q388="","",IFERROR(INDEX(Settings!$I$11:$I$15,MATCH(Q388,Settings!$H$11:$H$15,0)),"No"))</f>
        <v/>
      </c>
      <c r="W388" s="37" t="str">
        <f aca="false">IF(Q388="","",IFERROR(INDEX(Settings!$J$11:$J$15,MATCH(Q388,Settings!$H$11:$H$15,0)),"No"))</f>
        <v/>
      </c>
    </row>
    <row r="389" customFormat="false" ht="15" hidden="false" customHeight="false" outlineLevel="0" collapsed="false">
      <c r="A389" s="30"/>
      <c r="B389" s="25"/>
      <c r="C389" s="25"/>
      <c r="D389" s="25"/>
      <c r="E389" s="25"/>
      <c r="F389" s="25"/>
      <c r="G389" s="25"/>
      <c r="H389" s="31"/>
      <c r="I389" s="32"/>
      <c r="J389" s="33"/>
      <c r="K389" s="34" t="str">
        <f aca="false">IF(OR(H389="",I389=""),"",H389*I389*(1-N(J389)))</f>
        <v/>
      </c>
      <c r="L389" s="32"/>
      <c r="M389" s="34" t="str">
        <f aca="false">IF(OR(H389="",L389=""),"",H389*L389)</f>
        <v/>
      </c>
      <c r="N389" s="34" t="str">
        <f aca="false">IF(OR(K389="",M389=""),"",K389-M389)</f>
        <v/>
      </c>
      <c r="O389" s="35" t="str">
        <f aca="false">IF(OR(N389="",K389=""),"",IF(K389=0,"",N389/K389))</f>
        <v/>
      </c>
      <c r="P389" s="25"/>
      <c r="Q389" s="25"/>
      <c r="R389" s="25"/>
      <c r="S389" s="36" t="str">
        <f aca="false">IF(A389="","",YEAR(A389)+IF(AND(FYStart&gt;1,MONTH(A389)&gt;=FYStart),1,0))</f>
        <v/>
      </c>
      <c r="T389" s="36" t="str">
        <f aca="false">IF(A389="","",MOD(MONTH(A389)-FYStart,12)+1)</f>
        <v/>
      </c>
      <c r="U389" s="37" t="str">
        <f aca="false">IF(A389="","",TEXT(A389,"mmm"))</f>
        <v/>
      </c>
      <c r="V389" s="37" t="str">
        <f aca="false">IF(Q389="","",IFERROR(INDEX(Settings!$I$11:$I$15,MATCH(Q389,Settings!$H$11:$H$15,0)),"No"))</f>
        <v/>
      </c>
      <c r="W389" s="37" t="str">
        <f aca="false">IF(Q389="","",IFERROR(INDEX(Settings!$J$11:$J$15,MATCH(Q389,Settings!$H$11:$H$15,0)),"No"))</f>
        <v/>
      </c>
    </row>
    <row r="390" customFormat="false" ht="15" hidden="false" customHeight="false" outlineLevel="0" collapsed="false">
      <c r="A390" s="30"/>
      <c r="B390" s="25"/>
      <c r="C390" s="25"/>
      <c r="D390" s="25"/>
      <c r="E390" s="25"/>
      <c r="F390" s="25"/>
      <c r="G390" s="25"/>
      <c r="H390" s="31"/>
      <c r="I390" s="32"/>
      <c r="J390" s="33"/>
      <c r="K390" s="34" t="str">
        <f aca="false">IF(OR(H390="",I390=""),"",H390*I390*(1-N(J390)))</f>
        <v/>
      </c>
      <c r="L390" s="32"/>
      <c r="M390" s="34" t="str">
        <f aca="false">IF(OR(H390="",L390=""),"",H390*L390)</f>
        <v/>
      </c>
      <c r="N390" s="34" t="str">
        <f aca="false">IF(OR(K390="",M390=""),"",K390-M390)</f>
        <v/>
      </c>
      <c r="O390" s="35" t="str">
        <f aca="false">IF(OR(N390="",K390=""),"",IF(K390=0,"",N390/K390))</f>
        <v/>
      </c>
      <c r="P390" s="25"/>
      <c r="Q390" s="25"/>
      <c r="R390" s="25"/>
      <c r="S390" s="36" t="str">
        <f aca="false">IF(A390="","",YEAR(A390)+IF(AND(FYStart&gt;1,MONTH(A390)&gt;=FYStart),1,0))</f>
        <v/>
      </c>
      <c r="T390" s="36" t="str">
        <f aca="false">IF(A390="","",MOD(MONTH(A390)-FYStart,12)+1)</f>
        <v/>
      </c>
      <c r="U390" s="37" t="str">
        <f aca="false">IF(A390="","",TEXT(A390,"mmm"))</f>
        <v/>
      </c>
      <c r="V390" s="37" t="str">
        <f aca="false">IF(Q390="","",IFERROR(INDEX(Settings!$I$11:$I$15,MATCH(Q390,Settings!$H$11:$H$15,0)),"No"))</f>
        <v/>
      </c>
      <c r="W390" s="37" t="str">
        <f aca="false">IF(Q390="","",IFERROR(INDEX(Settings!$J$11:$J$15,MATCH(Q390,Settings!$H$11:$H$15,0)),"No"))</f>
        <v/>
      </c>
    </row>
    <row r="391" customFormat="false" ht="15" hidden="false" customHeight="false" outlineLevel="0" collapsed="false">
      <c r="A391" s="30"/>
      <c r="B391" s="25"/>
      <c r="C391" s="25"/>
      <c r="D391" s="25"/>
      <c r="E391" s="25"/>
      <c r="F391" s="25"/>
      <c r="G391" s="25"/>
      <c r="H391" s="31"/>
      <c r="I391" s="32"/>
      <c r="J391" s="33"/>
      <c r="K391" s="34" t="str">
        <f aca="false">IF(OR(H391="",I391=""),"",H391*I391*(1-N(J391)))</f>
        <v/>
      </c>
      <c r="L391" s="32"/>
      <c r="M391" s="34" t="str">
        <f aca="false">IF(OR(H391="",L391=""),"",H391*L391)</f>
        <v/>
      </c>
      <c r="N391" s="34" t="str">
        <f aca="false">IF(OR(K391="",M391=""),"",K391-M391)</f>
        <v/>
      </c>
      <c r="O391" s="35" t="str">
        <f aca="false">IF(OR(N391="",K391=""),"",IF(K391=0,"",N391/K391))</f>
        <v/>
      </c>
      <c r="P391" s="25"/>
      <c r="Q391" s="25"/>
      <c r="R391" s="25"/>
      <c r="S391" s="36" t="str">
        <f aca="false">IF(A391="","",YEAR(A391)+IF(AND(FYStart&gt;1,MONTH(A391)&gt;=FYStart),1,0))</f>
        <v/>
      </c>
      <c r="T391" s="36" t="str">
        <f aca="false">IF(A391="","",MOD(MONTH(A391)-FYStart,12)+1)</f>
        <v/>
      </c>
      <c r="U391" s="37" t="str">
        <f aca="false">IF(A391="","",TEXT(A391,"mmm"))</f>
        <v/>
      </c>
      <c r="V391" s="37" t="str">
        <f aca="false">IF(Q391="","",IFERROR(INDEX(Settings!$I$11:$I$15,MATCH(Q391,Settings!$H$11:$H$15,0)),"No"))</f>
        <v/>
      </c>
      <c r="W391" s="37" t="str">
        <f aca="false">IF(Q391="","",IFERROR(INDEX(Settings!$J$11:$J$15,MATCH(Q391,Settings!$H$11:$H$15,0)),"No"))</f>
        <v/>
      </c>
    </row>
    <row r="392" customFormat="false" ht="15" hidden="false" customHeight="false" outlineLevel="0" collapsed="false">
      <c r="A392" s="30"/>
      <c r="B392" s="25"/>
      <c r="C392" s="25"/>
      <c r="D392" s="25"/>
      <c r="E392" s="25"/>
      <c r="F392" s="25"/>
      <c r="G392" s="25"/>
      <c r="H392" s="31"/>
      <c r="I392" s="32"/>
      <c r="J392" s="33"/>
      <c r="K392" s="34" t="str">
        <f aca="false">IF(OR(H392="",I392=""),"",H392*I392*(1-N(J392)))</f>
        <v/>
      </c>
      <c r="L392" s="32"/>
      <c r="M392" s="34" t="str">
        <f aca="false">IF(OR(H392="",L392=""),"",H392*L392)</f>
        <v/>
      </c>
      <c r="N392" s="34" t="str">
        <f aca="false">IF(OR(K392="",M392=""),"",K392-M392)</f>
        <v/>
      </c>
      <c r="O392" s="35" t="str">
        <f aca="false">IF(OR(N392="",K392=""),"",IF(K392=0,"",N392/K392))</f>
        <v/>
      </c>
      <c r="P392" s="25"/>
      <c r="Q392" s="25"/>
      <c r="R392" s="25"/>
      <c r="S392" s="36" t="str">
        <f aca="false">IF(A392="","",YEAR(A392)+IF(AND(FYStart&gt;1,MONTH(A392)&gt;=FYStart),1,0))</f>
        <v/>
      </c>
      <c r="T392" s="36" t="str">
        <f aca="false">IF(A392="","",MOD(MONTH(A392)-FYStart,12)+1)</f>
        <v/>
      </c>
      <c r="U392" s="37" t="str">
        <f aca="false">IF(A392="","",TEXT(A392,"mmm"))</f>
        <v/>
      </c>
      <c r="V392" s="37" t="str">
        <f aca="false">IF(Q392="","",IFERROR(INDEX(Settings!$I$11:$I$15,MATCH(Q392,Settings!$H$11:$H$15,0)),"No"))</f>
        <v/>
      </c>
      <c r="W392" s="37" t="str">
        <f aca="false">IF(Q392="","",IFERROR(INDEX(Settings!$J$11:$J$15,MATCH(Q392,Settings!$H$11:$H$15,0)),"No"))</f>
        <v/>
      </c>
    </row>
    <row r="393" customFormat="false" ht="15" hidden="false" customHeight="false" outlineLevel="0" collapsed="false">
      <c r="A393" s="30"/>
      <c r="B393" s="25"/>
      <c r="C393" s="25"/>
      <c r="D393" s="25"/>
      <c r="E393" s="25"/>
      <c r="F393" s="25"/>
      <c r="G393" s="25"/>
      <c r="H393" s="31"/>
      <c r="I393" s="32"/>
      <c r="J393" s="33"/>
      <c r="K393" s="34" t="str">
        <f aca="false">IF(OR(H393="",I393=""),"",H393*I393*(1-N(J393)))</f>
        <v/>
      </c>
      <c r="L393" s="32"/>
      <c r="M393" s="34" t="str">
        <f aca="false">IF(OR(H393="",L393=""),"",H393*L393)</f>
        <v/>
      </c>
      <c r="N393" s="34" t="str">
        <f aca="false">IF(OR(K393="",M393=""),"",K393-M393)</f>
        <v/>
      </c>
      <c r="O393" s="35" t="str">
        <f aca="false">IF(OR(N393="",K393=""),"",IF(K393=0,"",N393/K393))</f>
        <v/>
      </c>
      <c r="P393" s="25"/>
      <c r="Q393" s="25"/>
      <c r="R393" s="25"/>
      <c r="S393" s="36" t="str">
        <f aca="false">IF(A393="","",YEAR(A393)+IF(AND(FYStart&gt;1,MONTH(A393)&gt;=FYStart),1,0))</f>
        <v/>
      </c>
      <c r="T393" s="36" t="str">
        <f aca="false">IF(A393="","",MOD(MONTH(A393)-FYStart,12)+1)</f>
        <v/>
      </c>
      <c r="U393" s="37" t="str">
        <f aca="false">IF(A393="","",TEXT(A393,"mmm"))</f>
        <v/>
      </c>
      <c r="V393" s="37" t="str">
        <f aca="false">IF(Q393="","",IFERROR(INDEX(Settings!$I$11:$I$15,MATCH(Q393,Settings!$H$11:$H$15,0)),"No"))</f>
        <v/>
      </c>
      <c r="W393" s="37" t="str">
        <f aca="false">IF(Q393="","",IFERROR(INDEX(Settings!$J$11:$J$15,MATCH(Q393,Settings!$H$11:$H$15,0)),"No"))</f>
        <v/>
      </c>
    </row>
    <row r="394" customFormat="false" ht="15" hidden="false" customHeight="false" outlineLevel="0" collapsed="false">
      <c r="A394" s="30"/>
      <c r="B394" s="25"/>
      <c r="C394" s="25"/>
      <c r="D394" s="25"/>
      <c r="E394" s="25"/>
      <c r="F394" s="25"/>
      <c r="G394" s="25"/>
      <c r="H394" s="31"/>
      <c r="I394" s="32"/>
      <c r="J394" s="33"/>
      <c r="K394" s="34" t="str">
        <f aca="false">IF(OR(H394="",I394=""),"",H394*I394*(1-N(J394)))</f>
        <v/>
      </c>
      <c r="L394" s="32"/>
      <c r="M394" s="34" t="str">
        <f aca="false">IF(OR(H394="",L394=""),"",H394*L394)</f>
        <v/>
      </c>
      <c r="N394" s="34" t="str">
        <f aca="false">IF(OR(K394="",M394=""),"",K394-M394)</f>
        <v/>
      </c>
      <c r="O394" s="35" t="str">
        <f aca="false">IF(OR(N394="",K394=""),"",IF(K394=0,"",N394/K394))</f>
        <v/>
      </c>
      <c r="P394" s="25"/>
      <c r="Q394" s="25"/>
      <c r="R394" s="25"/>
      <c r="S394" s="36" t="str">
        <f aca="false">IF(A394="","",YEAR(A394)+IF(AND(FYStart&gt;1,MONTH(A394)&gt;=FYStart),1,0))</f>
        <v/>
      </c>
      <c r="T394" s="36" t="str">
        <f aca="false">IF(A394="","",MOD(MONTH(A394)-FYStart,12)+1)</f>
        <v/>
      </c>
      <c r="U394" s="37" t="str">
        <f aca="false">IF(A394="","",TEXT(A394,"mmm"))</f>
        <v/>
      </c>
      <c r="V394" s="37" t="str">
        <f aca="false">IF(Q394="","",IFERROR(INDEX(Settings!$I$11:$I$15,MATCH(Q394,Settings!$H$11:$H$15,0)),"No"))</f>
        <v/>
      </c>
      <c r="W394" s="37" t="str">
        <f aca="false">IF(Q394="","",IFERROR(INDEX(Settings!$J$11:$J$15,MATCH(Q394,Settings!$H$11:$H$15,0)),"No"))</f>
        <v/>
      </c>
    </row>
    <row r="395" customFormat="false" ht="15" hidden="false" customHeight="false" outlineLevel="0" collapsed="false">
      <c r="A395" s="30"/>
      <c r="B395" s="25"/>
      <c r="C395" s="25"/>
      <c r="D395" s="25"/>
      <c r="E395" s="25"/>
      <c r="F395" s="25"/>
      <c r="G395" s="25"/>
      <c r="H395" s="31"/>
      <c r="I395" s="32"/>
      <c r="J395" s="33"/>
      <c r="K395" s="34" t="str">
        <f aca="false">IF(OR(H395="",I395=""),"",H395*I395*(1-N(J395)))</f>
        <v/>
      </c>
      <c r="L395" s="32"/>
      <c r="M395" s="34" t="str">
        <f aca="false">IF(OR(H395="",L395=""),"",H395*L395)</f>
        <v/>
      </c>
      <c r="N395" s="34" t="str">
        <f aca="false">IF(OR(K395="",M395=""),"",K395-M395)</f>
        <v/>
      </c>
      <c r="O395" s="35" t="str">
        <f aca="false">IF(OR(N395="",K395=""),"",IF(K395=0,"",N395/K395))</f>
        <v/>
      </c>
      <c r="P395" s="25"/>
      <c r="Q395" s="25"/>
      <c r="R395" s="25"/>
      <c r="S395" s="36" t="str">
        <f aca="false">IF(A395="","",YEAR(A395)+IF(AND(FYStart&gt;1,MONTH(A395)&gt;=FYStart),1,0))</f>
        <v/>
      </c>
      <c r="T395" s="36" t="str">
        <f aca="false">IF(A395="","",MOD(MONTH(A395)-FYStart,12)+1)</f>
        <v/>
      </c>
      <c r="U395" s="37" t="str">
        <f aca="false">IF(A395="","",TEXT(A395,"mmm"))</f>
        <v/>
      </c>
      <c r="V395" s="37" t="str">
        <f aca="false">IF(Q395="","",IFERROR(INDEX(Settings!$I$11:$I$15,MATCH(Q395,Settings!$H$11:$H$15,0)),"No"))</f>
        <v/>
      </c>
      <c r="W395" s="37" t="str">
        <f aca="false">IF(Q395="","",IFERROR(INDEX(Settings!$J$11:$J$15,MATCH(Q395,Settings!$H$11:$H$15,0)),"No"))</f>
        <v/>
      </c>
    </row>
    <row r="396" customFormat="false" ht="15" hidden="false" customHeight="false" outlineLevel="0" collapsed="false">
      <c r="A396" s="30"/>
      <c r="B396" s="25"/>
      <c r="C396" s="25"/>
      <c r="D396" s="25"/>
      <c r="E396" s="25"/>
      <c r="F396" s="25"/>
      <c r="G396" s="25"/>
      <c r="H396" s="31"/>
      <c r="I396" s="32"/>
      <c r="J396" s="33"/>
      <c r="K396" s="34" t="str">
        <f aca="false">IF(OR(H396="",I396=""),"",H396*I396*(1-N(J396)))</f>
        <v/>
      </c>
      <c r="L396" s="32"/>
      <c r="M396" s="34" t="str">
        <f aca="false">IF(OR(H396="",L396=""),"",H396*L396)</f>
        <v/>
      </c>
      <c r="N396" s="34" t="str">
        <f aca="false">IF(OR(K396="",M396=""),"",K396-M396)</f>
        <v/>
      </c>
      <c r="O396" s="35" t="str">
        <f aca="false">IF(OR(N396="",K396=""),"",IF(K396=0,"",N396/K396))</f>
        <v/>
      </c>
      <c r="P396" s="25"/>
      <c r="Q396" s="25"/>
      <c r="R396" s="25"/>
      <c r="S396" s="36" t="str">
        <f aca="false">IF(A396="","",YEAR(A396)+IF(AND(FYStart&gt;1,MONTH(A396)&gt;=FYStart),1,0))</f>
        <v/>
      </c>
      <c r="T396" s="36" t="str">
        <f aca="false">IF(A396="","",MOD(MONTH(A396)-FYStart,12)+1)</f>
        <v/>
      </c>
      <c r="U396" s="37" t="str">
        <f aca="false">IF(A396="","",TEXT(A396,"mmm"))</f>
        <v/>
      </c>
      <c r="V396" s="37" t="str">
        <f aca="false">IF(Q396="","",IFERROR(INDEX(Settings!$I$11:$I$15,MATCH(Q396,Settings!$H$11:$H$15,0)),"No"))</f>
        <v/>
      </c>
      <c r="W396" s="37" t="str">
        <f aca="false">IF(Q396="","",IFERROR(INDEX(Settings!$J$11:$J$15,MATCH(Q396,Settings!$H$11:$H$15,0)),"No"))</f>
        <v/>
      </c>
    </row>
    <row r="397" customFormat="false" ht="15" hidden="false" customHeight="false" outlineLevel="0" collapsed="false">
      <c r="A397" s="30"/>
      <c r="B397" s="25"/>
      <c r="C397" s="25"/>
      <c r="D397" s="25"/>
      <c r="E397" s="25"/>
      <c r="F397" s="25"/>
      <c r="G397" s="25"/>
      <c r="H397" s="31"/>
      <c r="I397" s="32"/>
      <c r="J397" s="33"/>
      <c r="K397" s="34" t="str">
        <f aca="false">IF(OR(H397="",I397=""),"",H397*I397*(1-N(J397)))</f>
        <v/>
      </c>
      <c r="L397" s="32"/>
      <c r="M397" s="34" t="str">
        <f aca="false">IF(OR(H397="",L397=""),"",H397*L397)</f>
        <v/>
      </c>
      <c r="N397" s="34" t="str">
        <f aca="false">IF(OR(K397="",M397=""),"",K397-M397)</f>
        <v/>
      </c>
      <c r="O397" s="35" t="str">
        <f aca="false">IF(OR(N397="",K397=""),"",IF(K397=0,"",N397/K397))</f>
        <v/>
      </c>
      <c r="P397" s="25"/>
      <c r="Q397" s="25"/>
      <c r="R397" s="25"/>
      <c r="S397" s="36" t="str">
        <f aca="false">IF(A397="","",YEAR(A397)+IF(AND(FYStart&gt;1,MONTH(A397)&gt;=FYStart),1,0))</f>
        <v/>
      </c>
      <c r="T397" s="36" t="str">
        <f aca="false">IF(A397="","",MOD(MONTH(A397)-FYStart,12)+1)</f>
        <v/>
      </c>
      <c r="U397" s="37" t="str">
        <f aca="false">IF(A397="","",TEXT(A397,"mmm"))</f>
        <v/>
      </c>
      <c r="V397" s="37" t="str">
        <f aca="false">IF(Q397="","",IFERROR(INDEX(Settings!$I$11:$I$15,MATCH(Q397,Settings!$H$11:$H$15,0)),"No"))</f>
        <v/>
      </c>
      <c r="W397" s="37" t="str">
        <f aca="false">IF(Q397="","",IFERROR(INDEX(Settings!$J$11:$J$15,MATCH(Q397,Settings!$H$11:$H$15,0)),"No"))</f>
        <v/>
      </c>
    </row>
    <row r="398" customFormat="false" ht="15" hidden="false" customHeight="false" outlineLevel="0" collapsed="false">
      <c r="A398" s="30"/>
      <c r="B398" s="25"/>
      <c r="C398" s="25"/>
      <c r="D398" s="25"/>
      <c r="E398" s="25"/>
      <c r="F398" s="25"/>
      <c r="G398" s="25"/>
      <c r="H398" s="31"/>
      <c r="I398" s="32"/>
      <c r="J398" s="33"/>
      <c r="K398" s="34" t="str">
        <f aca="false">IF(OR(H398="",I398=""),"",H398*I398*(1-N(J398)))</f>
        <v/>
      </c>
      <c r="L398" s="32"/>
      <c r="M398" s="34" t="str">
        <f aca="false">IF(OR(H398="",L398=""),"",H398*L398)</f>
        <v/>
      </c>
      <c r="N398" s="34" t="str">
        <f aca="false">IF(OR(K398="",M398=""),"",K398-M398)</f>
        <v/>
      </c>
      <c r="O398" s="35" t="str">
        <f aca="false">IF(OR(N398="",K398=""),"",IF(K398=0,"",N398/K398))</f>
        <v/>
      </c>
      <c r="P398" s="25"/>
      <c r="Q398" s="25"/>
      <c r="R398" s="25"/>
      <c r="S398" s="36" t="str">
        <f aca="false">IF(A398="","",YEAR(A398)+IF(AND(FYStart&gt;1,MONTH(A398)&gt;=FYStart),1,0))</f>
        <v/>
      </c>
      <c r="T398" s="36" t="str">
        <f aca="false">IF(A398="","",MOD(MONTH(A398)-FYStart,12)+1)</f>
        <v/>
      </c>
      <c r="U398" s="37" t="str">
        <f aca="false">IF(A398="","",TEXT(A398,"mmm"))</f>
        <v/>
      </c>
      <c r="V398" s="37" t="str">
        <f aca="false">IF(Q398="","",IFERROR(INDEX(Settings!$I$11:$I$15,MATCH(Q398,Settings!$H$11:$H$15,0)),"No"))</f>
        <v/>
      </c>
      <c r="W398" s="37" t="str">
        <f aca="false">IF(Q398="","",IFERROR(INDEX(Settings!$J$11:$J$15,MATCH(Q398,Settings!$H$11:$H$15,0)),"No"))</f>
        <v/>
      </c>
    </row>
    <row r="399" customFormat="false" ht="15" hidden="false" customHeight="false" outlineLevel="0" collapsed="false">
      <c r="A399" s="30"/>
      <c r="B399" s="25"/>
      <c r="C399" s="25"/>
      <c r="D399" s="25"/>
      <c r="E399" s="25"/>
      <c r="F399" s="25"/>
      <c r="G399" s="25"/>
      <c r="H399" s="31"/>
      <c r="I399" s="32"/>
      <c r="J399" s="33"/>
      <c r="K399" s="34" t="str">
        <f aca="false">IF(OR(H399="",I399=""),"",H399*I399*(1-N(J399)))</f>
        <v/>
      </c>
      <c r="L399" s="32"/>
      <c r="M399" s="34" t="str">
        <f aca="false">IF(OR(H399="",L399=""),"",H399*L399)</f>
        <v/>
      </c>
      <c r="N399" s="34" t="str">
        <f aca="false">IF(OR(K399="",M399=""),"",K399-M399)</f>
        <v/>
      </c>
      <c r="O399" s="35" t="str">
        <f aca="false">IF(OR(N399="",K399=""),"",IF(K399=0,"",N399/K399))</f>
        <v/>
      </c>
      <c r="P399" s="25"/>
      <c r="Q399" s="25"/>
      <c r="R399" s="25"/>
      <c r="S399" s="36" t="str">
        <f aca="false">IF(A399="","",YEAR(A399)+IF(AND(FYStart&gt;1,MONTH(A399)&gt;=FYStart),1,0))</f>
        <v/>
      </c>
      <c r="T399" s="36" t="str">
        <f aca="false">IF(A399="","",MOD(MONTH(A399)-FYStart,12)+1)</f>
        <v/>
      </c>
      <c r="U399" s="37" t="str">
        <f aca="false">IF(A399="","",TEXT(A399,"mmm"))</f>
        <v/>
      </c>
      <c r="V399" s="37" t="str">
        <f aca="false">IF(Q399="","",IFERROR(INDEX(Settings!$I$11:$I$15,MATCH(Q399,Settings!$H$11:$H$15,0)),"No"))</f>
        <v/>
      </c>
      <c r="W399" s="37" t="str">
        <f aca="false">IF(Q399="","",IFERROR(INDEX(Settings!$J$11:$J$15,MATCH(Q399,Settings!$H$11:$H$15,0)),"No"))</f>
        <v/>
      </c>
    </row>
    <row r="400" customFormat="false" ht="15" hidden="false" customHeight="false" outlineLevel="0" collapsed="false">
      <c r="A400" s="30"/>
      <c r="B400" s="25"/>
      <c r="C400" s="25"/>
      <c r="D400" s="25"/>
      <c r="E400" s="25"/>
      <c r="F400" s="25"/>
      <c r="G400" s="25"/>
      <c r="H400" s="31"/>
      <c r="I400" s="32"/>
      <c r="J400" s="33"/>
      <c r="K400" s="34" t="str">
        <f aca="false">IF(OR(H400="",I400=""),"",H400*I400*(1-N(J400)))</f>
        <v/>
      </c>
      <c r="L400" s="32"/>
      <c r="M400" s="34" t="str">
        <f aca="false">IF(OR(H400="",L400=""),"",H400*L400)</f>
        <v/>
      </c>
      <c r="N400" s="34" t="str">
        <f aca="false">IF(OR(K400="",M400=""),"",K400-M400)</f>
        <v/>
      </c>
      <c r="O400" s="35" t="str">
        <f aca="false">IF(OR(N400="",K400=""),"",IF(K400=0,"",N400/K400))</f>
        <v/>
      </c>
      <c r="P400" s="25"/>
      <c r="Q400" s="25"/>
      <c r="R400" s="25"/>
      <c r="S400" s="36" t="str">
        <f aca="false">IF(A400="","",YEAR(A400)+IF(AND(FYStart&gt;1,MONTH(A400)&gt;=FYStart),1,0))</f>
        <v/>
      </c>
      <c r="T400" s="36" t="str">
        <f aca="false">IF(A400="","",MOD(MONTH(A400)-FYStart,12)+1)</f>
        <v/>
      </c>
      <c r="U400" s="37" t="str">
        <f aca="false">IF(A400="","",TEXT(A400,"mmm"))</f>
        <v/>
      </c>
      <c r="V400" s="37" t="str">
        <f aca="false">IF(Q400="","",IFERROR(INDEX(Settings!$I$11:$I$15,MATCH(Q400,Settings!$H$11:$H$15,0)),"No"))</f>
        <v/>
      </c>
      <c r="W400" s="37" t="str">
        <f aca="false">IF(Q400="","",IFERROR(INDEX(Settings!$J$11:$J$15,MATCH(Q400,Settings!$H$11:$H$15,0)),"No"))</f>
        <v/>
      </c>
    </row>
    <row r="401" customFormat="false" ht="15" hidden="false" customHeight="false" outlineLevel="0" collapsed="false">
      <c r="A401" s="30"/>
      <c r="B401" s="25"/>
      <c r="C401" s="25"/>
      <c r="D401" s="25"/>
      <c r="E401" s="25"/>
      <c r="F401" s="25"/>
      <c r="G401" s="25"/>
      <c r="H401" s="31"/>
      <c r="I401" s="32"/>
      <c r="J401" s="33"/>
      <c r="K401" s="34" t="str">
        <f aca="false">IF(OR(H401="",I401=""),"",H401*I401*(1-N(J401)))</f>
        <v/>
      </c>
      <c r="L401" s="32"/>
      <c r="M401" s="34" t="str">
        <f aca="false">IF(OR(H401="",L401=""),"",H401*L401)</f>
        <v/>
      </c>
      <c r="N401" s="34" t="str">
        <f aca="false">IF(OR(K401="",M401=""),"",K401-M401)</f>
        <v/>
      </c>
      <c r="O401" s="35" t="str">
        <f aca="false">IF(OR(N401="",K401=""),"",IF(K401=0,"",N401/K401))</f>
        <v/>
      </c>
      <c r="P401" s="25"/>
      <c r="Q401" s="25"/>
      <c r="R401" s="25"/>
      <c r="S401" s="36" t="str">
        <f aca="false">IF(A401="","",YEAR(A401)+IF(AND(FYStart&gt;1,MONTH(A401)&gt;=FYStart),1,0))</f>
        <v/>
      </c>
      <c r="T401" s="36" t="str">
        <f aca="false">IF(A401="","",MOD(MONTH(A401)-FYStart,12)+1)</f>
        <v/>
      </c>
      <c r="U401" s="37" t="str">
        <f aca="false">IF(A401="","",TEXT(A401,"mmm"))</f>
        <v/>
      </c>
      <c r="V401" s="37" t="str">
        <f aca="false">IF(Q401="","",IFERROR(INDEX(Settings!$I$11:$I$15,MATCH(Q401,Settings!$H$11:$H$15,0)),"No"))</f>
        <v/>
      </c>
      <c r="W401" s="37" t="str">
        <f aca="false">IF(Q401="","",IFERROR(INDEX(Settings!$J$11:$J$15,MATCH(Q401,Settings!$H$11:$H$15,0)),"No"))</f>
        <v/>
      </c>
    </row>
    <row r="402" customFormat="false" ht="15" hidden="false" customHeight="false" outlineLevel="0" collapsed="false">
      <c r="A402" s="30"/>
      <c r="B402" s="25"/>
      <c r="C402" s="25"/>
      <c r="D402" s="25"/>
      <c r="E402" s="25"/>
      <c r="F402" s="25"/>
      <c r="G402" s="25"/>
      <c r="H402" s="31"/>
      <c r="I402" s="32"/>
      <c r="J402" s="33"/>
      <c r="K402" s="34" t="str">
        <f aca="false">IF(OR(H402="",I402=""),"",H402*I402*(1-N(J402)))</f>
        <v/>
      </c>
      <c r="L402" s="32"/>
      <c r="M402" s="34" t="str">
        <f aca="false">IF(OR(H402="",L402=""),"",H402*L402)</f>
        <v/>
      </c>
      <c r="N402" s="34" t="str">
        <f aca="false">IF(OR(K402="",M402=""),"",K402-M402)</f>
        <v/>
      </c>
      <c r="O402" s="35" t="str">
        <f aca="false">IF(OR(N402="",K402=""),"",IF(K402=0,"",N402/K402))</f>
        <v/>
      </c>
      <c r="P402" s="25"/>
      <c r="Q402" s="25"/>
      <c r="R402" s="25"/>
      <c r="S402" s="36" t="str">
        <f aca="false">IF(A402="","",YEAR(A402)+IF(AND(FYStart&gt;1,MONTH(A402)&gt;=FYStart),1,0))</f>
        <v/>
      </c>
      <c r="T402" s="36" t="str">
        <f aca="false">IF(A402="","",MOD(MONTH(A402)-FYStart,12)+1)</f>
        <v/>
      </c>
      <c r="U402" s="37" t="str">
        <f aca="false">IF(A402="","",TEXT(A402,"mmm"))</f>
        <v/>
      </c>
      <c r="V402" s="37" t="str">
        <f aca="false">IF(Q402="","",IFERROR(INDEX(Settings!$I$11:$I$15,MATCH(Q402,Settings!$H$11:$H$15,0)),"No"))</f>
        <v/>
      </c>
      <c r="W402" s="37" t="str">
        <f aca="false">IF(Q402="","",IFERROR(INDEX(Settings!$J$11:$J$15,MATCH(Q402,Settings!$H$11:$H$15,0)),"No"))</f>
        <v/>
      </c>
    </row>
    <row r="403" customFormat="false" ht="15" hidden="false" customHeight="false" outlineLevel="0" collapsed="false">
      <c r="A403" s="30"/>
      <c r="B403" s="25"/>
      <c r="C403" s="25"/>
      <c r="D403" s="25"/>
      <c r="E403" s="25"/>
      <c r="F403" s="25"/>
      <c r="G403" s="25"/>
      <c r="H403" s="31"/>
      <c r="I403" s="32"/>
      <c r="J403" s="33"/>
      <c r="K403" s="34" t="str">
        <f aca="false">IF(OR(H403="",I403=""),"",H403*I403*(1-N(J403)))</f>
        <v/>
      </c>
      <c r="L403" s="32"/>
      <c r="M403" s="34" t="str">
        <f aca="false">IF(OR(H403="",L403=""),"",H403*L403)</f>
        <v/>
      </c>
      <c r="N403" s="34" t="str">
        <f aca="false">IF(OR(K403="",M403=""),"",K403-M403)</f>
        <v/>
      </c>
      <c r="O403" s="35" t="str">
        <f aca="false">IF(OR(N403="",K403=""),"",IF(K403=0,"",N403/K403))</f>
        <v/>
      </c>
      <c r="P403" s="25"/>
      <c r="Q403" s="25"/>
      <c r="R403" s="25"/>
      <c r="S403" s="36" t="str">
        <f aca="false">IF(A403="","",YEAR(A403)+IF(AND(FYStart&gt;1,MONTH(A403)&gt;=FYStart),1,0))</f>
        <v/>
      </c>
      <c r="T403" s="36" t="str">
        <f aca="false">IF(A403="","",MOD(MONTH(A403)-FYStart,12)+1)</f>
        <v/>
      </c>
      <c r="U403" s="37" t="str">
        <f aca="false">IF(A403="","",TEXT(A403,"mmm"))</f>
        <v/>
      </c>
      <c r="V403" s="37" t="str">
        <f aca="false">IF(Q403="","",IFERROR(INDEX(Settings!$I$11:$I$15,MATCH(Q403,Settings!$H$11:$H$15,0)),"No"))</f>
        <v/>
      </c>
      <c r="W403" s="37" t="str">
        <f aca="false">IF(Q403="","",IFERROR(INDEX(Settings!$J$11:$J$15,MATCH(Q403,Settings!$H$11:$H$15,0)),"No"))</f>
        <v/>
      </c>
    </row>
    <row r="404" customFormat="false" ht="15" hidden="false" customHeight="false" outlineLevel="0" collapsed="false">
      <c r="A404" s="30"/>
      <c r="B404" s="25"/>
      <c r="C404" s="25"/>
      <c r="D404" s="25"/>
      <c r="E404" s="25"/>
      <c r="F404" s="25"/>
      <c r="G404" s="25"/>
      <c r="H404" s="31"/>
      <c r="I404" s="32"/>
      <c r="J404" s="33"/>
      <c r="K404" s="34" t="str">
        <f aca="false">IF(OR(H404="",I404=""),"",H404*I404*(1-N(J404)))</f>
        <v/>
      </c>
      <c r="L404" s="32"/>
      <c r="M404" s="34" t="str">
        <f aca="false">IF(OR(H404="",L404=""),"",H404*L404)</f>
        <v/>
      </c>
      <c r="N404" s="34" t="str">
        <f aca="false">IF(OR(K404="",M404=""),"",K404-M404)</f>
        <v/>
      </c>
      <c r="O404" s="35" t="str">
        <f aca="false">IF(OR(N404="",K404=""),"",IF(K404=0,"",N404/K404))</f>
        <v/>
      </c>
      <c r="P404" s="25"/>
      <c r="Q404" s="25"/>
      <c r="R404" s="25"/>
      <c r="S404" s="36" t="str">
        <f aca="false">IF(A404="","",YEAR(A404)+IF(AND(FYStart&gt;1,MONTH(A404)&gt;=FYStart),1,0))</f>
        <v/>
      </c>
      <c r="T404" s="36" t="str">
        <f aca="false">IF(A404="","",MOD(MONTH(A404)-FYStart,12)+1)</f>
        <v/>
      </c>
      <c r="U404" s="37" t="str">
        <f aca="false">IF(A404="","",TEXT(A404,"mmm"))</f>
        <v/>
      </c>
      <c r="V404" s="37" t="str">
        <f aca="false">IF(Q404="","",IFERROR(INDEX(Settings!$I$11:$I$15,MATCH(Q404,Settings!$H$11:$H$15,0)),"No"))</f>
        <v/>
      </c>
      <c r="W404" s="37" t="str">
        <f aca="false">IF(Q404="","",IFERROR(INDEX(Settings!$J$11:$J$15,MATCH(Q404,Settings!$H$11:$H$15,0)),"No"))</f>
        <v/>
      </c>
    </row>
    <row r="405" customFormat="false" ht="15" hidden="false" customHeight="false" outlineLevel="0" collapsed="false">
      <c r="A405" s="30"/>
      <c r="B405" s="25"/>
      <c r="C405" s="25"/>
      <c r="D405" s="25"/>
      <c r="E405" s="25"/>
      <c r="F405" s="25"/>
      <c r="G405" s="25"/>
      <c r="H405" s="31"/>
      <c r="I405" s="32"/>
      <c r="J405" s="33"/>
      <c r="K405" s="34" t="str">
        <f aca="false">IF(OR(H405="",I405=""),"",H405*I405*(1-N(J405)))</f>
        <v/>
      </c>
      <c r="L405" s="32"/>
      <c r="M405" s="34" t="str">
        <f aca="false">IF(OR(H405="",L405=""),"",H405*L405)</f>
        <v/>
      </c>
      <c r="N405" s="34" t="str">
        <f aca="false">IF(OR(K405="",M405=""),"",K405-M405)</f>
        <v/>
      </c>
      <c r="O405" s="35" t="str">
        <f aca="false">IF(OR(N405="",K405=""),"",IF(K405=0,"",N405/K405))</f>
        <v/>
      </c>
      <c r="P405" s="25"/>
      <c r="Q405" s="25"/>
      <c r="R405" s="25"/>
      <c r="S405" s="36" t="str">
        <f aca="false">IF(A405="","",YEAR(A405)+IF(AND(FYStart&gt;1,MONTH(A405)&gt;=FYStart),1,0))</f>
        <v/>
      </c>
      <c r="T405" s="36" t="str">
        <f aca="false">IF(A405="","",MOD(MONTH(A405)-FYStart,12)+1)</f>
        <v/>
      </c>
      <c r="U405" s="37" t="str">
        <f aca="false">IF(A405="","",TEXT(A405,"mmm"))</f>
        <v/>
      </c>
      <c r="V405" s="37" t="str">
        <f aca="false">IF(Q405="","",IFERROR(INDEX(Settings!$I$11:$I$15,MATCH(Q405,Settings!$H$11:$H$15,0)),"No"))</f>
        <v/>
      </c>
      <c r="W405" s="37" t="str">
        <f aca="false">IF(Q405="","",IFERROR(INDEX(Settings!$J$11:$J$15,MATCH(Q405,Settings!$H$11:$H$15,0)),"No"))</f>
        <v/>
      </c>
    </row>
    <row r="406" customFormat="false" ht="15" hidden="false" customHeight="false" outlineLevel="0" collapsed="false">
      <c r="A406" s="30"/>
      <c r="B406" s="25"/>
      <c r="C406" s="25"/>
      <c r="D406" s="25"/>
      <c r="E406" s="25"/>
      <c r="F406" s="25"/>
      <c r="G406" s="25"/>
      <c r="H406" s="31"/>
      <c r="I406" s="32"/>
      <c r="J406" s="33"/>
      <c r="K406" s="34" t="str">
        <f aca="false">IF(OR(H406="",I406=""),"",H406*I406*(1-N(J406)))</f>
        <v/>
      </c>
      <c r="L406" s="32"/>
      <c r="M406" s="34" t="str">
        <f aca="false">IF(OR(H406="",L406=""),"",H406*L406)</f>
        <v/>
      </c>
      <c r="N406" s="34" t="str">
        <f aca="false">IF(OR(K406="",M406=""),"",K406-M406)</f>
        <v/>
      </c>
      <c r="O406" s="35" t="str">
        <f aca="false">IF(OR(N406="",K406=""),"",IF(K406=0,"",N406/K406))</f>
        <v/>
      </c>
      <c r="P406" s="25"/>
      <c r="Q406" s="25"/>
      <c r="R406" s="25"/>
      <c r="S406" s="36" t="str">
        <f aca="false">IF(A406="","",YEAR(A406)+IF(AND(FYStart&gt;1,MONTH(A406)&gt;=FYStart),1,0))</f>
        <v/>
      </c>
      <c r="T406" s="36" t="str">
        <f aca="false">IF(A406="","",MOD(MONTH(A406)-FYStart,12)+1)</f>
        <v/>
      </c>
      <c r="U406" s="37" t="str">
        <f aca="false">IF(A406="","",TEXT(A406,"mmm"))</f>
        <v/>
      </c>
      <c r="V406" s="37" t="str">
        <f aca="false">IF(Q406="","",IFERROR(INDEX(Settings!$I$11:$I$15,MATCH(Q406,Settings!$H$11:$H$15,0)),"No"))</f>
        <v/>
      </c>
      <c r="W406" s="37" t="str">
        <f aca="false">IF(Q406="","",IFERROR(INDEX(Settings!$J$11:$J$15,MATCH(Q406,Settings!$H$11:$H$15,0)),"No"))</f>
        <v/>
      </c>
    </row>
    <row r="407" customFormat="false" ht="15" hidden="false" customHeight="false" outlineLevel="0" collapsed="false">
      <c r="A407" s="30"/>
      <c r="B407" s="25"/>
      <c r="C407" s="25"/>
      <c r="D407" s="25"/>
      <c r="E407" s="25"/>
      <c r="F407" s="25"/>
      <c r="G407" s="25"/>
      <c r="H407" s="31"/>
      <c r="I407" s="32"/>
      <c r="J407" s="33"/>
      <c r="K407" s="34" t="str">
        <f aca="false">IF(OR(H407="",I407=""),"",H407*I407*(1-N(J407)))</f>
        <v/>
      </c>
      <c r="L407" s="32"/>
      <c r="M407" s="34" t="str">
        <f aca="false">IF(OR(H407="",L407=""),"",H407*L407)</f>
        <v/>
      </c>
      <c r="N407" s="34" t="str">
        <f aca="false">IF(OR(K407="",M407=""),"",K407-M407)</f>
        <v/>
      </c>
      <c r="O407" s="35" t="str">
        <f aca="false">IF(OR(N407="",K407=""),"",IF(K407=0,"",N407/K407))</f>
        <v/>
      </c>
      <c r="P407" s="25"/>
      <c r="Q407" s="25"/>
      <c r="R407" s="25"/>
      <c r="S407" s="36" t="str">
        <f aca="false">IF(A407="","",YEAR(A407)+IF(AND(FYStart&gt;1,MONTH(A407)&gt;=FYStart),1,0))</f>
        <v/>
      </c>
      <c r="T407" s="36" t="str">
        <f aca="false">IF(A407="","",MOD(MONTH(A407)-FYStart,12)+1)</f>
        <v/>
      </c>
      <c r="U407" s="37" t="str">
        <f aca="false">IF(A407="","",TEXT(A407,"mmm"))</f>
        <v/>
      </c>
      <c r="V407" s="37" t="str">
        <f aca="false">IF(Q407="","",IFERROR(INDEX(Settings!$I$11:$I$15,MATCH(Q407,Settings!$H$11:$H$15,0)),"No"))</f>
        <v/>
      </c>
      <c r="W407" s="37" t="str">
        <f aca="false">IF(Q407="","",IFERROR(INDEX(Settings!$J$11:$J$15,MATCH(Q407,Settings!$H$11:$H$15,0)),"No"))</f>
        <v/>
      </c>
    </row>
    <row r="408" customFormat="false" ht="15" hidden="false" customHeight="false" outlineLevel="0" collapsed="false">
      <c r="A408" s="30"/>
      <c r="B408" s="25"/>
      <c r="C408" s="25"/>
      <c r="D408" s="25"/>
      <c r="E408" s="25"/>
      <c r="F408" s="25"/>
      <c r="G408" s="25"/>
      <c r="H408" s="31"/>
      <c r="I408" s="32"/>
      <c r="J408" s="33"/>
      <c r="K408" s="34" t="str">
        <f aca="false">IF(OR(H408="",I408=""),"",H408*I408*(1-N(J408)))</f>
        <v/>
      </c>
      <c r="L408" s="32"/>
      <c r="M408" s="34" t="str">
        <f aca="false">IF(OR(H408="",L408=""),"",H408*L408)</f>
        <v/>
      </c>
      <c r="N408" s="34" t="str">
        <f aca="false">IF(OR(K408="",M408=""),"",K408-M408)</f>
        <v/>
      </c>
      <c r="O408" s="35" t="str">
        <f aca="false">IF(OR(N408="",K408=""),"",IF(K408=0,"",N408/K408))</f>
        <v/>
      </c>
      <c r="P408" s="25"/>
      <c r="Q408" s="25"/>
      <c r="R408" s="25"/>
      <c r="S408" s="36" t="str">
        <f aca="false">IF(A408="","",YEAR(A408)+IF(AND(FYStart&gt;1,MONTH(A408)&gt;=FYStart),1,0))</f>
        <v/>
      </c>
      <c r="T408" s="36" t="str">
        <f aca="false">IF(A408="","",MOD(MONTH(A408)-FYStart,12)+1)</f>
        <v/>
      </c>
      <c r="U408" s="37" t="str">
        <f aca="false">IF(A408="","",TEXT(A408,"mmm"))</f>
        <v/>
      </c>
      <c r="V408" s="37" t="str">
        <f aca="false">IF(Q408="","",IFERROR(INDEX(Settings!$I$11:$I$15,MATCH(Q408,Settings!$H$11:$H$15,0)),"No"))</f>
        <v/>
      </c>
      <c r="W408" s="37" t="str">
        <f aca="false">IF(Q408="","",IFERROR(INDEX(Settings!$J$11:$J$15,MATCH(Q408,Settings!$H$11:$H$15,0)),"No"))</f>
        <v/>
      </c>
    </row>
    <row r="409" customFormat="false" ht="15" hidden="false" customHeight="false" outlineLevel="0" collapsed="false">
      <c r="A409" s="30"/>
      <c r="B409" s="25"/>
      <c r="C409" s="25"/>
      <c r="D409" s="25"/>
      <c r="E409" s="25"/>
      <c r="F409" s="25"/>
      <c r="G409" s="25"/>
      <c r="H409" s="31"/>
      <c r="I409" s="32"/>
      <c r="J409" s="33"/>
      <c r="K409" s="34" t="str">
        <f aca="false">IF(OR(H409="",I409=""),"",H409*I409*(1-N(J409)))</f>
        <v/>
      </c>
      <c r="L409" s="32"/>
      <c r="M409" s="34" t="str">
        <f aca="false">IF(OR(H409="",L409=""),"",H409*L409)</f>
        <v/>
      </c>
      <c r="N409" s="34" t="str">
        <f aca="false">IF(OR(K409="",M409=""),"",K409-M409)</f>
        <v/>
      </c>
      <c r="O409" s="35" t="str">
        <f aca="false">IF(OR(N409="",K409=""),"",IF(K409=0,"",N409/K409))</f>
        <v/>
      </c>
      <c r="P409" s="25"/>
      <c r="Q409" s="25"/>
      <c r="R409" s="25"/>
      <c r="S409" s="36" t="str">
        <f aca="false">IF(A409="","",YEAR(A409)+IF(AND(FYStart&gt;1,MONTH(A409)&gt;=FYStart),1,0))</f>
        <v/>
      </c>
      <c r="T409" s="36" t="str">
        <f aca="false">IF(A409="","",MOD(MONTH(A409)-FYStart,12)+1)</f>
        <v/>
      </c>
      <c r="U409" s="37" t="str">
        <f aca="false">IF(A409="","",TEXT(A409,"mmm"))</f>
        <v/>
      </c>
      <c r="V409" s="37" t="str">
        <f aca="false">IF(Q409="","",IFERROR(INDEX(Settings!$I$11:$I$15,MATCH(Q409,Settings!$H$11:$H$15,0)),"No"))</f>
        <v/>
      </c>
      <c r="W409" s="37" t="str">
        <f aca="false">IF(Q409="","",IFERROR(INDEX(Settings!$J$11:$J$15,MATCH(Q409,Settings!$H$11:$H$15,0)),"No"))</f>
        <v/>
      </c>
    </row>
    <row r="410" customFormat="false" ht="15" hidden="false" customHeight="false" outlineLevel="0" collapsed="false">
      <c r="A410" s="30"/>
      <c r="B410" s="25"/>
      <c r="C410" s="25"/>
      <c r="D410" s="25"/>
      <c r="E410" s="25"/>
      <c r="F410" s="25"/>
      <c r="G410" s="25"/>
      <c r="H410" s="31"/>
      <c r="I410" s="32"/>
      <c r="J410" s="33"/>
      <c r="K410" s="34" t="str">
        <f aca="false">IF(OR(H410="",I410=""),"",H410*I410*(1-N(J410)))</f>
        <v/>
      </c>
      <c r="L410" s="32"/>
      <c r="M410" s="34" t="str">
        <f aca="false">IF(OR(H410="",L410=""),"",H410*L410)</f>
        <v/>
      </c>
      <c r="N410" s="34" t="str">
        <f aca="false">IF(OR(K410="",M410=""),"",K410-M410)</f>
        <v/>
      </c>
      <c r="O410" s="35" t="str">
        <f aca="false">IF(OR(N410="",K410=""),"",IF(K410=0,"",N410/K410))</f>
        <v/>
      </c>
      <c r="P410" s="25"/>
      <c r="Q410" s="25"/>
      <c r="R410" s="25"/>
      <c r="S410" s="36" t="str">
        <f aca="false">IF(A410="","",YEAR(A410)+IF(AND(FYStart&gt;1,MONTH(A410)&gt;=FYStart),1,0))</f>
        <v/>
      </c>
      <c r="T410" s="36" t="str">
        <f aca="false">IF(A410="","",MOD(MONTH(A410)-FYStart,12)+1)</f>
        <v/>
      </c>
      <c r="U410" s="37" t="str">
        <f aca="false">IF(A410="","",TEXT(A410,"mmm"))</f>
        <v/>
      </c>
      <c r="V410" s="37" t="str">
        <f aca="false">IF(Q410="","",IFERROR(INDEX(Settings!$I$11:$I$15,MATCH(Q410,Settings!$H$11:$H$15,0)),"No"))</f>
        <v/>
      </c>
      <c r="W410" s="37" t="str">
        <f aca="false">IF(Q410="","",IFERROR(INDEX(Settings!$J$11:$J$15,MATCH(Q410,Settings!$H$11:$H$15,0)),"No"))</f>
        <v/>
      </c>
    </row>
    <row r="411" customFormat="false" ht="15" hidden="false" customHeight="false" outlineLevel="0" collapsed="false">
      <c r="A411" s="30"/>
      <c r="B411" s="25"/>
      <c r="C411" s="25"/>
      <c r="D411" s="25"/>
      <c r="E411" s="25"/>
      <c r="F411" s="25"/>
      <c r="G411" s="25"/>
      <c r="H411" s="31"/>
      <c r="I411" s="32"/>
      <c r="J411" s="33"/>
      <c r="K411" s="34" t="str">
        <f aca="false">IF(OR(H411="",I411=""),"",H411*I411*(1-N(J411)))</f>
        <v/>
      </c>
      <c r="L411" s="32"/>
      <c r="M411" s="34" t="str">
        <f aca="false">IF(OR(H411="",L411=""),"",H411*L411)</f>
        <v/>
      </c>
      <c r="N411" s="34" t="str">
        <f aca="false">IF(OR(K411="",M411=""),"",K411-M411)</f>
        <v/>
      </c>
      <c r="O411" s="35" t="str">
        <f aca="false">IF(OR(N411="",K411=""),"",IF(K411=0,"",N411/K411))</f>
        <v/>
      </c>
      <c r="P411" s="25"/>
      <c r="Q411" s="25"/>
      <c r="R411" s="25"/>
      <c r="S411" s="36" t="str">
        <f aca="false">IF(A411="","",YEAR(A411)+IF(AND(FYStart&gt;1,MONTH(A411)&gt;=FYStart),1,0))</f>
        <v/>
      </c>
      <c r="T411" s="36" t="str">
        <f aca="false">IF(A411="","",MOD(MONTH(A411)-FYStart,12)+1)</f>
        <v/>
      </c>
      <c r="U411" s="37" t="str">
        <f aca="false">IF(A411="","",TEXT(A411,"mmm"))</f>
        <v/>
      </c>
      <c r="V411" s="37" t="str">
        <f aca="false">IF(Q411="","",IFERROR(INDEX(Settings!$I$11:$I$15,MATCH(Q411,Settings!$H$11:$H$15,0)),"No"))</f>
        <v/>
      </c>
      <c r="W411" s="37" t="str">
        <f aca="false">IF(Q411="","",IFERROR(INDEX(Settings!$J$11:$J$15,MATCH(Q411,Settings!$H$11:$H$15,0)),"No"))</f>
        <v/>
      </c>
    </row>
    <row r="412" customFormat="false" ht="15" hidden="false" customHeight="false" outlineLevel="0" collapsed="false">
      <c r="A412" s="30"/>
      <c r="B412" s="25"/>
      <c r="C412" s="25"/>
      <c r="D412" s="25"/>
      <c r="E412" s="25"/>
      <c r="F412" s="25"/>
      <c r="G412" s="25"/>
      <c r="H412" s="31"/>
      <c r="I412" s="32"/>
      <c r="J412" s="33"/>
      <c r="K412" s="34" t="str">
        <f aca="false">IF(OR(H412="",I412=""),"",H412*I412*(1-N(J412)))</f>
        <v/>
      </c>
      <c r="L412" s="32"/>
      <c r="M412" s="34" t="str">
        <f aca="false">IF(OR(H412="",L412=""),"",H412*L412)</f>
        <v/>
      </c>
      <c r="N412" s="34" t="str">
        <f aca="false">IF(OR(K412="",M412=""),"",K412-M412)</f>
        <v/>
      </c>
      <c r="O412" s="35" t="str">
        <f aca="false">IF(OR(N412="",K412=""),"",IF(K412=0,"",N412/K412))</f>
        <v/>
      </c>
      <c r="P412" s="25"/>
      <c r="Q412" s="25"/>
      <c r="R412" s="25"/>
      <c r="S412" s="36" t="str">
        <f aca="false">IF(A412="","",YEAR(A412)+IF(AND(FYStart&gt;1,MONTH(A412)&gt;=FYStart),1,0))</f>
        <v/>
      </c>
      <c r="T412" s="36" t="str">
        <f aca="false">IF(A412="","",MOD(MONTH(A412)-FYStart,12)+1)</f>
        <v/>
      </c>
      <c r="U412" s="37" t="str">
        <f aca="false">IF(A412="","",TEXT(A412,"mmm"))</f>
        <v/>
      </c>
      <c r="V412" s="37" t="str">
        <f aca="false">IF(Q412="","",IFERROR(INDEX(Settings!$I$11:$I$15,MATCH(Q412,Settings!$H$11:$H$15,0)),"No"))</f>
        <v/>
      </c>
      <c r="W412" s="37" t="str">
        <f aca="false">IF(Q412="","",IFERROR(INDEX(Settings!$J$11:$J$15,MATCH(Q412,Settings!$H$11:$H$15,0)),"No"))</f>
        <v/>
      </c>
    </row>
    <row r="413" customFormat="false" ht="15" hidden="false" customHeight="false" outlineLevel="0" collapsed="false">
      <c r="A413" s="30"/>
      <c r="B413" s="25"/>
      <c r="C413" s="25"/>
      <c r="D413" s="25"/>
      <c r="E413" s="25"/>
      <c r="F413" s="25"/>
      <c r="G413" s="25"/>
      <c r="H413" s="31"/>
      <c r="I413" s="32"/>
      <c r="J413" s="33"/>
      <c r="K413" s="34" t="str">
        <f aca="false">IF(OR(H413="",I413=""),"",H413*I413*(1-N(J413)))</f>
        <v/>
      </c>
      <c r="L413" s="32"/>
      <c r="M413" s="34" t="str">
        <f aca="false">IF(OR(H413="",L413=""),"",H413*L413)</f>
        <v/>
      </c>
      <c r="N413" s="34" t="str">
        <f aca="false">IF(OR(K413="",M413=""),"",K413-M413)</f>
        <v/>
      </c>
      <c r="O413" s="35" t="str">
        <f aca="false">IF(OR(N413="",K413=""),"",IF(K413=0,"",N413/K413))</f>
        <v/>
      </c>
      <c r="P413" s="25"/>
      <c r="Q413" s="25"/>
      <c r="R413" s="25"/>
      <c r="S413" s="36" t="str">
        <f aca="false">IF(A413="","",YEAR(A413)+IF(AND(FYStart&gt;1,MONTH(A413)&gt;=FYStart),1,0))</f>
        <v/>
      </c>
      <c r="T413" s="36" t="str">
        <f aca="false">IF(A413="","",MOD(MONTH(A413)-FYStart,12)+1)</f>
        <v/>
      </c>
      <c r="U413" s="37" t="str">
        <f aca="false">IF(A413="","",TEXT(A413,"mmm"))</f>
        <v/>
      </c>
      <c r="V413" s="37" t="str">
        <f aca="false">IF(Q413="","",IFERROR(INDEX(Settings!$I$11:$I$15,MATCH(Q413,Settings!$H$11:$H$15,0)),"No"))</f>
        <v/>
      </c>
      <c r="W413" s="37" t="str">
        <f aca="false">IF(Q413="","",IFERROR(INDEX(Settings!$J$11:$J$15,MATCH(Q413,Settings!$H$11:$H$15,0)),"No"))</f>
        <v/>
      </c>
    </row>
    <row r="414" customFormat="false" ht="15" hidden="false" customHeight="false" outlineLevel="0" collapsed="false">
      <c r="A414" s="30"/>
      <c r="B414" s="25"/>
      <c r="C414" s="25"/>
      <c r="D414" s="25"/>
      <c r="E414" s="25"/>
      <c r="F414" s="25"/>
      <c r="G414" s="25"/>
      <c r="H414" s="31"/>
      <c r="I414" s="32"/>
      <c r="J414" s="33"/>
      <c r="K414" s="34" t="str">
        <f aca="false">IF(OR(H414="",I414=""),"",H414*I414*(1-N(J414)))</f>
        <v/>
      </c>
      <c r="L414" s="32"/>
      <c r="M414" s="34" t="str">
        <f aca="false">IF(OR(H414="",L414=""),"",H414*L414)</f>
        <v/>
      </c>
      <c r="N414" s="34" t="str">
        <f aca="false">IF(OR(K414="",M414=""),"",K414-M414)</f>
        <v/>
      </c>
      <c r="O414" s="35" t="str">
        <f aca="false">IF(OR(N414="",K414=""),"",IF(K414=0,"",N414/K414))</f>
        <v/>
      </c>
      <c r="P414" s="25"/>
      <c r="Q414" s="25"/>
      <c r="R414" s="25"/>
      <c r="S414" s="36" t="str">
        <f aca="false">IF(A414="","",YEAR(A414)+IF(AND(FYStart&gt;1,MONTH(A414)&gt;=FYStart),1,0))</f>
        <v/>
      </c>
      <c r="T414" s="36" t="str">
        <f aca="false">IF(A414="","",MOD(MONTH(A414)-FYStart,12)+1)</f>
        <v/>
      </c>
      <c r="U414" s="37" t="str">
        <f aca="false">IF(A414="","",TEXT(A414,"mmm"))</f>
        <v/>
      </c>
      <c r="V414" s="37" t="str">
        <f aca="false">IF(Q414="","",IFERROR(INDEX(Settings!$I$11:$I$15,MATCH(Q414,Settings!$H$11:$H$15,0)),"No"))</f>
        <v/>
      </c>
      <c r="W414" s="37" t="str">
        <f aca="false">IF(Q414="","",IFERROR(INDEX(Settings!$J$11:$J$15,MATCH(Q414,Settings!$H$11:$H$15,0)),"No"))</f>
        <v/>
      </c>
    </row>
    <row r="415" customFormat="false" ht="15" hidden="false" customHeight="false" outlineLevel="0" collapsed="false">
      <c r="A415" s="30"/>
      <c r="B415" s="25"/>
      <c r="C415" s="25"/>
      <c r="D415" s="25"/>
      <c r="E415" s="25"/>
      <c r="F415" s="25"/>
      <c r="G415" s="25"/>
      <c r="H415" s="31"/>
      <c r="I415" s="32"/>
      <c r="J415" s="33"/>
      <c r="K415" s="34" t="str">
        <f aca="false">IF(OR(H415="",I415=""),"",H415*I415*(1-N(J415)))</f>
        <v/>
      </c>
      <c r="L415" s="32"/>
      <c r="M415" s="34" t="str">
        <f aca="false">IF(OR(H415="",L415=""),"",H415*L415)</f>
        <v/>
      </c>
      <c r="N415" s="34" t="str">
        <f aca="false">IF(OR(K415="",M415=""),"",K415-M415)</f>
        <v/>
      </c>
      <c r="O415" s="35" t="str">
        <f aca="false">IF(OR(N415="",K415=""),"",IF(K415=0,"",N415/K415))</f>
        <v/>
      </c>
      <c r="P415" s="25"/>
      <c r="Q415" s="25"/>
      <c r="R415" s="25"/>
      <c r="S415" s="36" t="str">
        <f aca="false">IF(A415="","",YEAR(A415)+IF(AND(FYStart&gt;1,MONTH(A415)&gt;=FYStart),1,0))</f>
        <v/>
      </c>
      <c r="T415" s="36" t="str">
        <f aca="false">IF(A415="","",MOD(MONTH(A415)-FYStart,12)+1)</f>
        <v/>
      </c>
      <c r="U415" s="37" t="str">
        <f aca="false">IF(A415="","",TEXT(A415,"mmm"))</f>
        <v/>
      </c>
      <c r="V415" s="37" t="str">
        <f aca="false">IF(Q415="","",IFERROR(INDEX(Settings!$I$11:$I$15,MATCH(Q415,Settings!$H$11:$H$15,0)),"No"))</f>
        <v/>
      </c>
      <c r="W415" s="37" t="str">
        <f aca="false">IF(Q415="","",IFERROR(INDEX(Settings!$J$11:$J$15,MATCH(Q415,Settings!$H$11:$H$15,0)),"No"))</f>
        <v/>
      </c>
    </row>
    <row r="416" customFormat="false" ht="15" hidden="false" customHeight="false" outlineLevel="0" collapsed="false">
      <c r="A416" s="30"/>
      <c r="B416" s="25"/>
      <c r="C416" s="25"/>
      <c r="D416" s="25"/>
      <c r="E416" s="25"/>
      <c r="F416" s="25"/>
      <c r="G416" s="25"/>
      <c r="H416" s="31"/>
      <c r="I416" s="32"/>
      <c r="J416" s="33"/>
      <c r="K416" s="34" t="str">
        <f aca="false">IF(OR(H416="",I416=""),"",H416*I416*(1-N(J416)))</f>
        <v/>
      </c>
      <c r="L416" s="32"/>
      <c r="M416" s="34" t="str">
        <f aca="false">IF(OR(H416="",L416=""),"",H416*L416)</f>
        <v/>
      </c>
      <c r="N416" s="34" t="str">
        <f aca="false">IF(OR(K416="",M416=""),"",K416-M416)</f>
        <v/>
      </c>
      <c r="O416" s="35" t="str">
        <f aca="false">IF(OR(N416="",K416=""),"",IF(K416=0,"",N416/K416))</f>
        <v/>
      </c>
      <c r="P416" s="25"/>
      <c r="Q416" s="25"/>
      <c r="R416" s="25"/>
      <c r="S416" s="36" t="str">
        <f aca="false">IF(A416="","",YEAR(A416)+IF(AND(FYStart&gt;1,MONTH(A416)&gt;=FYStart),1,0))</f>
        <v/>
      </c>
      <c r="T416" s="36" t="str">
        <f aca="false">IF(A416="","",MOD(MONTH(A416)-FYStart,12)+1)</f>
        <v/>
      </c>
      <c r="U416" s="37" t="str">
        <f aca="false">IF(A416="","",TEXT(A416,"mmm"))</f>
        <v/>
      </c>
      <c r="V416" s="37" t="str">
        <f aca="false">IF(Q416="","",IFERROR(INDEX(Settings!$I$11:$I$15,MATCH(Q416,Settings!$H$11:$H$15,0)),"No"))</f>
        <v/>
      </c>
      <c r="W416" s="37" t="str">
        <f aca="false">IF(Q416="","",IFERROR(INDEX(Settings!$J$11:$J$15,MATCH(Q416,Settings!$H$11:$H$15,0)),"No"))</f>
        <v/>
      </c>
    </row>
    <row r="417" customFormat="false" ht="15" hidden="false" customHeight="false" outlineLevel="0" collapsed="false">
      <c r="A417" s="30"/>
      <c r="B417" s="25"/>
      <c r="C417" s="25"/>
      <c r="D417" s="25"/>
      <c r="E417" s="25"/>
      <c r="F417" s="25"/>
      <c r="G417" s="25"/>
      <c r="H417" s="31"/>
      <c r="I417" s="32"/>
      <c r="J417" s="33"/>
      <c r="K417" s="34" t="str">
        <f aca="false">IF(OR(H417="",I417=""),"",H417*I417*(1-N(J417)))</f>
        <v/>
      </c>
      <c r="L417" s="32"/>
      <c r="M417" s="34" t="str">
        <f aca="false">IF(OR(H417="",L417=""),"",H417*L417)</f>
        <v/>
      </c>
      <c r="N417" s="34" t="str">
        <f aca="false">IF(OR(K417="",M417=""),"",K417-M417)</f>
        <v/>
      </c>
      <c r="O417" s="35" t="str">
        <f aca="false">IF(OR(N417="",K417=""),"",IF(K417=0,"",N417/K417))</f>
        <v/>
      </c>
      <c r="P417" s="25"/>
      <c r="Q417" s="25"/>
      <c r="R417" s="25"/>
      <c r="S417" s="36" t="str">
        <f aca="false">IF(A417="","",YEAR(A417)+IF(AND(FYStart&gt;1,MONTH(A417)&gt;=FYStart),1,0))</f>
        <v/>
      </c>
      <c r="T417" s="36" t="str">
        <f aca="false">IF(A417="","",MOD(MONTH(A417)-FYStart,12)+1)</f>
        <v/>
      </c>
      <c r="U417" s="37" t="str">
        <f aca="false">IF(A417="","",TEXT(A417,"mmm"))</f>
        <v/>
      </c>
      <c r="V417" s="37" t="str">
        <f aca="false">IF(Q417="","",IFERROR(INDEX(Settings!$I$11:$I$15,MATCH(Q417,Settings!$H$11:$H$15,0)),"No"))</f>
        <v/>
      </c>
      <c r="W417" s="37" t="str">
        <f aca="false">IF(Q417="","",IFERROR(INDEX(Settings!$J$11:$J$15,MATCH(Q417,Settings!$H$11:$H$15,0)),"No"))</f>
        <v/>
      </c>
    </row>
    <row r="418" customFormat="false" ht="15" hidden="false" customHeight="false" outlineLevel="0" collapsed="false">
      <c r="A418" s="30"/>
      <c r="B418" s="25"/>
      <c r="C418" s="25"/>
      <c r="D418" s="25"/>
      <c r="E418" s="25"/>
      <c r="F418" s="25"/>
      <c r="G418" s="25"/>
      <c r="H418" s="31"/>
      <c r="I418" s="32"/>
      <c r="J418" s="33"/>
      <c r="K418" s="34" t="str">
        <f aca="false">IF(OR(H418="",I418=""),"",H418*I418*(1-N(J418)))</f>
        <v/>
      </c>
      <c r="L418" s="32"/>
      <c r="M418" s="34" t="str">
        <f aca="false">IF(OR(H418="",L418=""),"",H418*L418)</f>
        <v/>
      </c>
      <c r="N418" s="34" t="str">
        <f aca="false">IF(OR(K418="",M418=""),"",K418-M418)</f>
        <v/>
      </c>
      <c r="O418" s="35" t="str">
        <f aca="false">IF(OR(N418="",K418=""),"",IF(K418=0,"",N418/K418))</f>
        <v/>
      </c>
      <c r="P418" s="25"/>
      <c r="Q418" s="25"/>
      <c r="R418" s="25"/>
      <c r="S418" s="36" t="str">
        <f aca="false">IF(A418="","",YEAR(A418)+IF(AND(FYStart&gt;1,MONTH(A418)&gt;=FYStart),1,0))</f>
        <v/>
      </c>
      <c r="T418" s="36" t="str">
        <f aca="false">IF(A418="","",MOD(MONTH(A418)-FYStart,12)+1)</f>
        <v/>
      </c>
      <c r="U418" s="37" t="str">
        <f aca="false">IF(A418="","",TEXT(A418,"mmm"))</f>
        <v/>
      </c>
      <c r="V418" s="37" t="str">
        <f aca="false">IF(Q418="","",IFERROR(INDEX(Settings!$I$11:$I$15,MATCH(Q418,Settings!$H$11:$H$15,0)),"No"))</f>
        <v/>
      </c>
      <c r="W418" s="37" t="str">
        <f aca="false">IF(Q418="","",IFERROR(INDEX(Settings!$J$11:$J$15,MATCH(Q418,Settings!$H$11:$H$15,0)),"No"))</f>
        <v/>
      </c>
    </row>
    <row r="419" customFormat="false" ht="15" hidden="false" customHeight="false" outlineLevel="0" collapsed="false">
      <c r="A419" s="30"/>
      <c r="B419" s="25"/>
      <c r="C419" s="25"/>
      <c r="D419" s="25"/>
      <c r="E419" s="25"/>
      <c r="F419" s="25"/>
      <c r="G419" s="25"/>
      <c r="H419" s="31"/>
      <c r="I419" s="32"/>
      <c r="J419" s="33"/>
      <c r="K419" s="34" t="str">
        <f aca="false">IF(OR(H419="",I419=""),"",H419*I419*(1-N(J419)))</f>
        <v/>
      </c>
      <c r="L419" s="32"/>
      <c r="M419" s="34" t="str">
        <f aca="false">IF(OR(H419="",L419=""),"",H419*L419)</f>
        <v/>
      </c>
      <c r="N419" s="34" t="str">
        <f aca="false">IF(OR(K419="",M419=""),"",K419-M419)</f>
        <v/>
      </c>
      <c r="O419" s="35" t="str">
        <f aca="false">IF(OR(N419="",K419=""),"",IF(K419=0,"",N419/K419))</f>
        <v/>
      </c>
      <c r="P419" s="25"/>
      <c r="Q419" s="25"/>
      <c r="R419" s="25"/>
      <c r="S419" s="36" t="str">
        <f aca="false">IF(A419="","",YEAR(A419)+IF(AND(FYStart&gt;1,MONTH(A419)&gt;=FYStart),1,0))</f>
        <v/>
      </c>
      <c r="T419" s="36" t="str">
        <f aca="false">IF(A419="","",MOD(MONTH(A419)-FYStart,12)+1)</f>
        <v/>
      </c>
      <c r="U419" s="37" t="str">
        <f aca="false">IF(A419="","",TEXT(A419,"mmm"))</f>
        <v/>
      </c>
      <c r="V419" s="37" t="str">
        <f aca="false">IF(Q419="","",IFERROR(INDEX(Settings!$I$11:$I$15,MATCH(Q419,Settings!$H$11:$H$15,0)),"No"))</f>
        <v/>
      </c>
      <c r="W419" s="37" t="str">
        <f aca="false">IF(Q419="","",IFERROR(INDEX(Settings!$J$11:$J$15,MATCH(Q419,Settings!$H$11:$H$15,0)),"No"))</f>
        <v/>
      </c>
    </row>
    <row r="420" customFormat="false" ht="15" hidden="false" customHeight="false" outlineLevel="0" collapsed="false">
      <c r="A420" s="30"/>
      <c r="B420" s="25"/>
      <c r="C420" s="25"/>
      <c r="D420" s="25"/>
      <c r="E420" s="25"/>
      <c r="F420" s="25"/>
      <c r="G420" s="25"/>
      <c r="H420" s="31"/>
      <c r="I420" s="32"/>
      <c r="J420" s="33"/>
      <c r="K420" s="34" t="str">
        <f aca="false">IF(OR(H420="",I420=""),"",H420*I420*(1-N(J420)))</f>
        <v/>
      </c>
      <c r="L420" s="32"/>
      <c r="M420" s="34" t="str">
        <f aca="false">IF(OR(H420="",L420=""),"",H420*L420)</f>
        <v/>
      </c>
      <c r="N420" s="34" t="str">
        <f aca="false">IF(OR(K420="",M420=""),"",K420-M420)</f>
        <v/>
      </c>
      <c r="O420" s="35" t="str">
        <f aca="false">IF(OR(N420="",K420=""),"",IF(K420=0,"",N420/K420))</f>
        <v/>
      </c>
      <c r="P420" s="25"/>
      <c r="Q420" s="25"/>
      <c r="R420" s="25"/>
      <c r="S420" s="36" t="str">
        <f aca="false">IF(A420="","",YEAR(A420)+IF(AND(FYStart&gt;1,MONTH(A420)&gt;=FYStart),1,0))</f>
        <v/>
      </c>
      <c r="T420" s="36" t="str">
        <f aca="false">IF(A420="","",MOD(MONTH(A420)-FYStart,12)+1)</f>
        <v/>
      </c>
      <c r="U420" s="37" t="str">
        <f aca="false">IF(A420="","",TEXT(A420,"mmm"))</f>
        <v/>
      </c>
      <c r="V420" s="37" t="str">
        <f aca="false">IF(Q420="","",IFERROR(INDEX(Settings!$I$11:$I$15,MATCH(Q420,Settings!$H$11:$H$15,0)),"No"))</f>
        <v/>
      </c>
      <c r="W420" s="37" t="str">
        <f aca="false">IF(Q420="","",IFERROR(INDEX(Settings!$J$11:$J$15,MATCH(Q420,Settings!$H$11:$H$15,0)),"No"))</f>
        <v/>
      </c>
    </row>
    <row r="421" customFormat="false" ht="15" hidden="false" customHeight="false" outlineLevel="0" collapsed="false">
      <c r="A421" s="30"/>
      <c r="B421" s="25"/>
      <c r="C421" s="25"/>
      <c r="D421" s="25"/>
      <c r="E421" s="25"/>
      <c r="F421" s="25"/>
      <c r="G421" s="25"/>
      <c r="H421" s="31"/>
      <c r="I421" s="32"/>
      <c r="J421" s="33"/>
      <c r="K421" s="34" t="str">
        <f aca="false">IF(OR(H421="",I421=""),"",H421*I421*(1-N(J421)))</f>
        <v/>
      </c>
      <c r="L421" s="32"/>
      <c r="M421" s="34" t="str">
        <f aca="false">IF(OR(H421="",L421=""),"",H421*L421)</f>
        <v/>
      </c>
      <c r="N421" s="34" t="str">
        <f aca="false">IF(OR(K421="",M421=""),"",K421-M421)</f>
        <v/>
      </c>
      <c r="O421" s="35" t="str">
        <f aca="false">IF(OR(N421="",K421=""),"",IF(K421=0,"",N421/K421))</f>
        <v/>
      </c>
      <c r="P421" s="25"/>
      <c r="Q421" s="25"/>
      <c r="R421" s="25"/>
      <c r="S421" s="36" t="str">
        <f aca="false">IF(A421="","",YEAR(A421)+IF(AND(FYStart&gt;1,MONTH(A421)&gt;=FYStart),1,0))</f>
        <v/>
      </c>
      <c r="T421" s="36" t="str">
        <f aca="false">IF(A421="","",MOD(MONTH(A421)-FYStart,12)+1)</f>
        <v/>
      </c>
      <c r="U421" s="37" t="str">
        <f aca="false">IF(A421="","",TEXT(A421,"mmm"))</f>
        <v/>
      </c>
      <c r="V421" s="37" t="str">
        <f aca="false">IF(Q421="","",IFERROR(INDEX(Settings!$I$11:$I$15,MATCH(Q421,Settings!$H$11:$H$15,0)),"No"))</f>
        <v/>
      </c>
      <c r="W421" s="37" t="str">
        <f aca="false">IF(Q421="","",IFERROR(INDEX(Settings!$J$11:$J$15,MATCH(Q421,Settings!$H$11:$H$15,0)),"No"))</f>
        <v/>
      </c>
    </row>
    <row r="422" customFormat="false" ht="15" hidden="false" customHeight="false" outlineLevel="0" collapsed="false">
      <c r="A422" s="30"/>
      <c r="B422" s="25"/>
      <c r="C422" s="25"/>
      <c r="D422" s="25"/>
      <c r="E422" s="25"/>
      <c r="F422" s="25"/>
      <c r="G422" s="25"/>
      <c r="H422" s="31"/>
      <c r="I422" s="32"/>
      <c r="J422" s="33"/>
      <c r="K422" s="34" t="str">
        <f aca="false">IF(OR(H422="",I422=""),"",H422*I422*(1-N(J422)))</f>
        <v/>
      </c>
      <c r="L422" s="32"/>
      <c r="M422" s="34" t="str">
        <f aca="false">IF(OR(H422="",L422=""),"",H422*L422)</f>
        <v/>
      </c>
      <c r="N422" s="34" t="str">
        <f aca="false">IF(OR(K422="",M422=""),"",K422-M422)</f>
        <v/>
      </c>
      <c r="O422" s="35" t="str">
        <f aca="false">IF(OR(N422="",K422=""),"",IF(K422=0,"",N422/K422))</f>
        <v/>
      </c>
      <c r="P422" s="25"/>
      <c r="Q422" s="25"/>
      <c r="R422" s="25"/>
      <c r="S422" s="36" t="str">
        <f aca="false">IF(A422="","",YEAR(A422)+IF(AND(FYStart&gt;1,MONTH(A422)&gt;=FYStart),1,0))</f>
        <v/>
      </c>
      <c r="T422" s="36" t="str">
        <f aca="false">IF(A422="","",MOD(MONTH(A422)-FYStart,12)+1)</f>
        <v/>
      </c>
      <c r="U422" s="37" t="str">
        <f aca="false">IF(A422="","",TEXT(A422,"mmm"))</f>
        <v/>
      </c>
      <c r="V422" s="37" t="str">
        <f aca="false">IF(Q422="","",IFERROR(INDEX(Settings!$I$11:$I$15,MATCH(Q422,Settings!$H$11:$H$15,0)),"No"))</f>
        <v/>
      </c>
      <c r="W422" s="37" t="str">
        <f aca="false">IF(Q422="","",IFERROR(INDEX(Settings!$J$11:$J$15,MATCH(Q422,Settings!$H$11:$H$15,0)),"No"))</f>
        <v/>
      </c>
    </row>
    <row r="423" customFormat="false" ht="15" hidden="false" customHeight="false" outlineLevel="0" collapsed="false">
      <c r="A423" s="30"/>
      <c r="B423" s="25"/>
      <c r="C423" s="25"/>
      <c r="D423" s="25"/>
      <c r="E423" s="25"/>
      <c r="F423" s="25"/>
      <c r="G423" s="25"/>
      <c r="H423" s="31"/>
      <c r="I423" s="32"/>
      <c r="J423" s="33"/>
      <c r="K423" s="34" t="str">
        <f aca="false">IF(OR(H423="",I423=""),"",H423*I423*(1-N(J423)))</f>
        <v/>
      </c>
      <c r="L423" s="32"/>
      <c r="M423" s="34" t="str">
        <f aca="false">IF(OR(H423="",L423=""),"",H423*L423)</f>
        <v/>
      </c>
      <c r="N423" s="34" t="str">
        <f aca="false">IF(OR(K423="",M423=""),"",K423-M423)</f>
        <v/>
      </c>
      <c r="O423" s="35" t="str">
        <f aca="false">IF(OR(N423="",K423=""),"",IF(K423=0,"",N423/K423))</f>
        <v/>
      </c>
      <c r="P423" s="25"/>
      <c r="Q423" s="25"/>
      <c r="R423" s="25"/>
      <c r="S423" s="36" t="str">
        <f aca="false">IF(A423="","",YEAR(A423)+IF(AND(FYStart&gt;1,MONTH(A423)&gt;=FYStart),1,0))</f>
        <v/>
      </c>
      <c r="T423" s="36" t="str">
        <f aca="false">IF(A423="","",MOD(MONTH(A423)-FYStart,12)+1)</f>
        <v/>
      </c>
      <c r="U423" s="37" t="str">
        <f aca="false">IF(A423="","",TEXT(A423,"mmm"))</f>
        <v/>
      </c>
      <c r="V423" s="37" t="str">
        <f aca="false">IF(Q423="","",IFERROR(INDEX(Settings!$I$11:$I$15,MATCH(Q423,Settings!$H$11:$H$15,0)),"No"))</f>
        <v/>
      </c>
      <c r="W423" s="37" t="str">
        <f aca="false">IF(Q423="","",IFERROR(INDEX(Settings!$J$11:$J$15,MATCH(Q423,Settings!$H$11:$H$15,0)),"No"))</f>
        <v/>
      </c>
    </row>
    <row r="424" customFormat="false" ht="15" hidden="false" customHeight="false" outlineLevel="0" collapsed="false">
      <c r="A424" s="30"/>
      <c r="B424" s="25"/>
      <c r="C424" s="25"/>
      <c r="D424" s="25"/>
      <c r="E424" s="25"/>
      <c r="F424" s="25"/>
      <c r="G424" s="25"/>
      <c r="H424" s="31"/>
      <c r="I424" s="32"/>
      <c r="J424" s="33"/>
      <c r="K424" s="34" t="str">
        <f aca="false">IF(OR(H424="",I424=""),"",H424*I424*(1-N(J424)))</f>
        <v/>
      </c>
      <c r="L424" s="32"/>
      <c r="M424" s="34" t="str">
        <f aca="false">IF(OR(H424="",L424=""),"",H424*L424)</f>
        <v/>
      </c>
      <c r="N424" s="34" t="str">
        <f aca="false">IF(OR(K424="",M424=""),"",K424-M424)</f>
        <v/>
      </c>
      <c r="O424" s="35" t="str">
        <f aca="false">IF(OR(N424="",K424=""),"",IF(K424=0,"",N424/K424))</f>
        <v/>
      </c>
      <c r="P424" s="25"/>
      <c r="Q424" s="25"/>
      <c r="R424" s="25"/>
      <c r="S424" s="36" t="str">
        <f aca="false">IF(A424="","",YEAR(A424)+IF(AND(FYStart&gt;1,MONTH(A424)&gt;=FYStart),1,0))</f>
        <v/>
      </c>
      <c r="T424" s="36" t="str">
        <f aca="false">IF(A424="","",MOD(MONTH(A424)-FYStart,12)+1)</f>
        <v/>
      </c>
      <c r="U424" s="37" t="str">
        <f aca="false">IF(A424="","",TEXT(A424,"mmm"))</f>
        <v/>
      </c>
      <c r="V424" s="37" t="str">
        <f aca="false">IF(Q424="","",IFERROR(INDEX(Settings!$I$11:$I$15,MATCH(Q424,Settings!$H$11:$H$15,0)),"No"))</f>
        <v/>
      </c>
      <c r="W424" s="37" t="str">
        <f aca="false">IF(Q424="","",IFERROR(INDEX(Settings!$J$11:$J$15,MATCH(Q424,Settings!$H$11:$H$15,0)),"No"))</f>
        <v/>
      </c>
    </row>
    <row r="425" customFormat="false" ht="15" hidden="false" customHeight="false" outlineLevel="0" collapsed="false">
      <c r="A425" s="30"/>
      <c r="B425" s="25"/>
      <c r="C425" s="25"/>
      <c r="D425" s="25"/>
      <c r="E425" s="25"/>
      <c r="F425" s="25"/>
      <c r="G425" s="25"/>
      <c r="H425" s="31"/>
      <c r="I425" s="32"/>
      <c r="J425" s="33"/>
      <c r="K425" s="34" t="str">
        <f aca="false">IF(OR(H425="",I425=""),"",H425*I425*(1-N(J425)))</f>
        <v/>
      </c>
      <c r="L425" s="32"/>
      <c r="M425" s="34" t="str">
        <f aca="false">IF(OR(H425="",L425=""),"",H425*L425)</f>
        <v/>
      </c>
      <c r="N425" s="34" t="str">
        <f aca="false">IF(OR(K425="",M425=""),"",K425-M425)</f>
        <v/>
      </c>
      <c r="O425" s="35" t="str">
        <f aca="false">IF(OR(N425="",K425=""),"",IF(K425=0,"",N425/K425))</f>
        <v/>
      </c>
      <c r="P425" s="25"/>
      <c r="Q425" s="25"/>
      <c r="R425" s="25"/>
      <c r="S425" s="36" t="str">
        <f aca="false">IF(A425="","",YEAR(A425)+IF(AND(FYStart&gt;1,MONTH(A425)&gt;=FYStart),1,0))</f>
        <v/>
      </c>
      <c r="T425" s="36" t="str">
        <f aca="false">IF(A425="","",MOD(MONTH(A425)-FYStart,12)+1)</f>
        <v/>
      </c>
      <c r="U425" s="37" t="str">
        <f aca="false">IF(A425="","",TEXT(A425,"mmm"))</f>
        <v/>
      </c>
      <c r="V425" s="37" t="str">
        <f aca="false">IF(Q425="","",IFERROR(INDEX(Settings!$I$11:$I$15,MATCH(Q425,Settings!$H$11:$H$15,0)),"No"))</f>
        <v/>
      </c>
      <c r="W425" s="37" t="str">
        <f aca="false">IF(Q425="","",IFERROR(INDEX(Settings!$J$11:$J$15,MATCH(Q425,Settings!$H$11:$H$15,0)),"No"))</f>
        <v/>
      </c>
    </row>
    <row r="426" customFormat="false" ht="15" hidden="false" customHeight="false" outlineLevel="0" collapsed="false">
      <c r="A426" s="30"/>
      <c r="B426" s="25"/>
      <c r="C426" s="25"/>
      <c r="D426" s="25"/>
      <c r="E426" s="25"/>
      <c r="F426" s="25"/>
      <c r="G426" s="25"/>
      <c r="H426" s="31"/>
      <c r="I426" s="32"/>
      <c r="J426" s="33"/>
      <c r="K426" s="34" t="str">
        <f aca="false">IF(OR(H426="",I426=""),"",H426*I426*(1-N(J426)))</f>
        <v/>
      </c>
      <c r="L426" s="32"/>
      <c r="M426" s="34" t="str">
        <f aca="false">IF(OR(H426="",L426=""),"",H426*L426)</f>
        <v/>
      </c>
      <c r="N426" s="34" t="str">
        <f aca="false">IF(OR(K426="",M426=""),"",K426-M426)</f>
        <v/>
      </c>
      <c r="O426" s="35" t="str">
        <f aca="false">IF(OR(N426="",K426=""),"",IF(K426=0,"",N426/K426))</f>
        <v/>
      </c>
      <c r="P426" s="25"/>
      <c r="Q426" s="25"/>
      <c r="R426" s="25"/>
      <c r="S426" s="36" t="str">
        <f aca="false">IF(A426="","",YEAR(A426)+IF(AND(FYStart&gt;1,MONTH(A426)&gt;=FYStart),1,0))</f>
        <v/>
      </c>
      <c r="T426" s="36" t="str">
        <f aca="false">IF(A426="","",MOD(MONTH(A426)-FYStart,12)+1)</f>
        <v/>
      </c>
      <c r="U426" s="37" t="str">
        <f aca="false">IF(A426="","",TEXT(A426,"mmm"))</f>
        <v/>
      </c>
      <c r="V426" s="37" t="str">
        <f aca="false">IF(Q426="","",IFERROR(INDEX(Settings!$I$11:$I$15,MATCH(Q426,Settings!$H$11:$H$15,0)),"No"))</f>
        <v/>
      </c>
      <c r="W426" s="37" t="str">
        <f aca="false">IF(Q426="","",IFERROR(INDEX(Settings!$J$11:$J$15,MATCH(Q426,Settings!$H$11:$H$15,0)),"No"))</f>
        <v/>
      </c>
    </row>
    <row r="427" customFormat="false" ht="15" hidden="false" customHeight="false" outlineLevel="0" collapsed="false">
      <c r="A427" s="30"/>
      <c r="B427" s="25"/>
      <c r="C427" s="25"/>
      <c r="D427" s="25"/>
      <c r="E427" s="25"/>
      <c r="F427" s="25"/>
      <c r="G427" s="25"/>
      <c r="H427" s="31"/>
      <c r="I427" s="32"/>
      <c r="J427" s="33"/>
      <c r="K427" s="34" t="str">
        <f aca="false">IF(OR(H427="",I427=""),"",H427*I427*(1-N(J427)))</f>
        <v/>
      </c>
      <c r="L427" s="32"/>
      <c r="M427" s="34" t="str">
        <f aca="false">IF(OR(H427="",L427=""),"",H427*L427)</f>
        <v/>
      </c>
      <c r="N427" s="34" t="str">
        <f aca="false">IF(OR(K427="",M427=""),"",K427-M427)</f>
        <v/>
      </c>
      <c r="O427" s="35" t="str">
        <f aca="false">IF(OR(N427="",K427=""),"",IF(K427=0,"",N427/K427))</f>
        <v/>
      </c>
      <c r="P427" s="25"/>
      <c r="Q427" s="25"/>
      <c r="R427" s="25"/>
      <c r="S427" s="36" t="str">
        <f aca="false">IF(A427="","",YEAR(A427)+IF(AND(FYStart&gt;1,MONTH(A427)&gt;=FYStart),1,0))</f>
        <v/>
      </c>
      <c r="T427" s="36" t="str">
        <f aca="false">IF(A427="","",MOD(MONTH(A427)-FYStart,12)+1)</f>
        <v/>
      </c>
      <c r="U427" s="37" t="str">
        <f aca="false">IF(A427="","",TEXT(A427,"mmm"))</f>
        <v/>
      </c>
      <c r="V427" s="37" t="str">
        <f aca="false">IF(Q427="","",IFERROR(INDEX(Settings!$I$11:$I$15,MATCH(Q427,Settings!$H$11:$H$15,0)),"No"))</f>
        <v/>
      </c>
      <c r="W427" s="37" t="str">
        <f aca="false">IF(Q427="","",IFERROR(INDEX(Settings!$J$11:$J$15,MATCH(Q427,Settings!$H$11:$H$15,0)),"No"))</f>
        <v/>
      </c>
    </row>
    <row r="428" customFormat="false" ht="15" hidden="false" customHeight="false" outlineLevel="0" collapsed="false">
      <c r="A428" s="30"/>
      <c r="B428" s="25"/>
      <c r="C428" s="25"/>
      <c r="D428" s="25"/>
      <c r="E428" s="25"/>
      <c r="F428" s="25"/>
      <c r="G428" s="25"/>
      <c r="H428" s="31"/>
      <c r="I428" s="32"/>
      <c r="J428" s="33"/>
      <c r="K428" s="34" t="str">
        <f aca="false">IF(OR(H428="",I428=""),"",H428*I428*(1-N(J428)))</f>
        <v/>
      </c>
      <c r="L428" s="32"/>
      <c r="M428" s="34" t="str">
        <f aca="false">IF(OR(H428="",L428=""),"",H428*L428)</f>
        <v/>
      </c>
      <c r="N428" s="34" t="str">
        <f aca="false">IF(OR(K428="",M428=""),"",K428-M428)</f>
        <v/>
      </c>
      <c r="O428" s="35" t="str">
        <f aca="false">IF(OR(N428="",K428=""),"",IF(K428=0,"",N428/K428))</f>
        <v/>
      </c>
      <c r="P428" s="25"/>
      <c r="Q428" s="25"/>
      <c r="R428" s="25"/>
      <c r="S428" s="36" t="str">
        <f aca="false">IF(A428="","",YEAR(A428)+IF(AND(FYStart&gt;1,MONTH(A428)&gt;=FYStart),1,0))</f>
        <v/>
      </c>
      <c r="T428" s="36" t="str">
        <f aca="false">IF(A428="","",MOD(MONTH(A428)-FYStart,12)+1)</f>
        <v/>
      </c>
      <c r="U428" s="37" t="str">
        <f aca="false">IF(A428="","",TEXT(A428,"mmm"))</f>
        <v/>
      </c>
      <c r="V428" s="37" t="str">
        <f aca="false">IF(Q428="","",IFERROR(INDEX(Settings!$I$11:$I$15,MATCH(Q428,Settings!$H$11:$H$15,0)),"No"))</f>
        <v/>
      </c>
      <c r="W428" s="37" t="str">
        <f aca="false">IF(Q428="","",IFERROR(INDEX(Settings!$J$11:$J$15,MATCH(Q428,Settings!$H$11:$H$15,0)),"No"))</f>
        <v/>
      </c>
    </row>
    <row r="429" customFormat="false" ht="15" hidden="false" customHeight="false" outlineLevel="0" collapsed="false">
      <c r="A429" s="30"/>
      <c r="B429" s="25"/>
      <c r="C429" s="25"/>
      <c r="D429" s="25"/>
      <c r="E429" s="25"/>
      <c r="F429" s="25"/>
      <c r="G429" s="25"/>
      <c r="H429" s="31"/>
      <c r="I429" s="32"/>
      <c r="J429" s="33"/>
      <c r="K429" s="34" t="str">
        <f aca="false">IF(OR(H429="",I429=""),"",H429*I429*(1-N(J429)))</f>
        <v/>
      </c>
      <c r="L429" s="32"/>
      <c r="M429" s="34" t="str">
        <f aca="false">IF(OR(H429="",L429=""),"",H429*L429)</f>
        <v/>
      </c>
      <c r="N429" s="34" t="str">
        <f aca="false">IF(OR(K429="",M429=""),"",K429-M429)</f>
        <v/>
      </c>
      <c r="O429" s="35" t="str">
        <f aca="false">IF(OR(N429="",K429=""),"",IF(K429=0,"",N429/K429))</f>
        <v/>
      </c>
      <c r="P429" s="25"/>
      <c r="Q429" s="25"/>
      <c r="R429" s="25"/>
      <c r="S429" s="36" t="str">
        <f aca="false">IF(A429="","",YEAR(A429)+IF(AND(FYStart&gt;1,MONTH(A429)&gt;=FYStart),1,0))</f>
        <v/>
      </c>
      <c r="T429" s="36" t="str">
        <f aca="false">IF(A429="","",MOD(MONTH(A429)-FYStart,12)+1)</f>
        <v/>
      </c>
      <c r="U429" s="37" t="str">
        <f aca="false">IF(A429="","",TEXT(A429,"mmm"))</f>
        <v/>
      </c>
      <c r="V429" s="37" t="str">
        <f aca="false">IF(Q429="","",IFERROR(INDEX(Settings!$I$11:$I$15,MATCH(Q429,Settings!$H$11:$H$15,0)),"No"))</f>
        <v/>
      </c>
      <c r="W429" s="37" t="str">
        <f aca="false">IF(Q429="","",IFERROR(INDEX(Settings!$J$11:$J$15,MATCH(Q429,Settings!$H$11:$H$15,0)),"No"))</f>
        <v/>
      </c>
    </row>
    <row r="430" customFormat="false" ht="15" hidden="false" customHeight="false" outlineLevel="0" collapsed="false">
      <c r="A430" s="30"/>
      <c r="B430" s="25"/>
      <c r="C430" s="25"/>
      <c r="D430" s="25"/>
      <c r="E430" s="25"/>
      <c r="F430" s="25"/>
      <c r="G430" s="25"/>
      <c r="H430" s="31"/>
      <c r="I430" s="32"/>
      <c r="J430" s="33"/>
      <c r="K430" s="34" t="str">
        <f aca="false">IF(OR(H430="",I430=""),"",H430*I430*(1-N(J430)))</f>
        <v/>
      </c>
      <c r="L430" s="32"/>
      <c r="M430" s="34" t="str">
        <f aca="false">IF(OR(H430="",L430=""),"",H430*L430)</f>
        <v/>
      </c>
      <c r="N430" s="34" t="str">
        <f aca="false">IF(OR(K430="",M430=""),"",K430-M430)</f>
        <v/>
      </c>
      <c r="O430" s="35" t="str">
        <f aca="false">IF(OR(N430="",K430=""),"",IF(K430=0,"",N430/K430))</f>
        <v/>
      </c>
      <c r="P430" s="25"/>
      <c r="Q430" s="25"/>
      <c r="R430" s="25"/>
      <c r="S430" s="36" t="str">
        <f aca="false">IF(A430="","",YEAR(A430)+IF(AND(FYStart&gt;1,MONTH(A430)&gt;=FYStart),1,0))</f>
        <v/>
      </c>
      <c r="T430" s="36" t="str">
        <f aca="false">IF(A430="","",MOD(MONTH(A430)-FYStart,12)+1)</f>
        <v/>
      </c>
      <c r="U430" s="37" t="str">
        <f aca="false">IF(A430="","",TEXT(A430,"mmm"))</f>
        <v/>
      </c>
      <c r="V430" s="37" t="str">
        <f aca="false">IF(Q430="","",IFERROR(INDEX(Settings!$I$11:$I$15,MATCH(Q430,Settings!$H$11:$H$15,0)),"No"))</f>
        <v/>
      </c>
      <c r="W430" s="37" t="str">
        <f aca="false">IF(Q430="","",IFERROR(INDEX(Settings!$J$11:$J$15,MATCH(Q430,Settings!$H$11:$H$15,0)),"No"))</f>
        <v/>
      </c>
    </row>
    <row r="431" customFormat="false" ht="15" hidden="false" customHeight="false" outlineLevel="0" collapsed="false">
      <c r="A431" s="30"/>
      <c r="B431" s="25"/>
      <c r="C431" s="25"/>
      <c r="D431" s="25"/>
      <c r="E431" s="25"/>
      <c r="F431" s="25"/>
      <c r="G431" s="25"/>
      <c r="H431" s="31"/>
      <c r="I431" s="32"/>
      <c r="J431" s="33"/>
      <c r="K431" s="34" t="str">
        <f aca="false">IF(OR(H431="",I431=""),"",H431*I431*(1-N(J431)))</f>
        <v/>
      </c>
      <c r="L431" s="32"/>
      <c r="M431" s="34" t="str">
        <f aca="false">IF(OR(H431="",L431=""),"",H431*L431)</f>
        <v/>
      </c>
      <c r="N431" s="34" t="str">
        <f aca="false">IF(OR(K431="",M431=""),"",K431-M431)</f>
        <v/>
      </c>
      <c r="O431" s="35" t="str">
        <f aca="false">IF(OR(N431="",K431=""),"",IF(K431=0,"",N431/K431))</f>
        <v/>
      </c>
      <c r="P431" s="25"/>
      <c r="Q431" s="25"/>
      <c r="R431" s="25"/>
      <c r="S431" s="36" t="str">
        <f aca="false">IF(A431="","",YEAR(A431)+IF(AND(FYStart&gt;1,MONTH(A431)&gt;=FYStart),1,0))</f>
        <v/>
      </c>
      <c r="T431" s="36" t="str">
        <f aca="false">IF(A431="","",MOD(MONTH(A431)-FYStart,12)+1)</f>
        <v/>
      </c>
      <c r="U431" s="37" t="str">
        <f aca="false">IF(A431="","",TEXT(A431,"mmm"))</f>
        <v/>
      </c>
      <c r="V431" s="37" t="str">
        <f aca="false">IF(Q431="","",IFERROR(INDEX(Settings!$I$11:$I$15,MATCH(Q431,Settings!$H$11:$H$15,0)),"No"))</f>
        <v/>
      </c>
      <c r="W431" s="37" t="str">
        <f aca="false">IF(Q431="","",IFERROR(INDEX(Settings!$J$11:$J$15,MATCH(Q431,Settings!$H$11:$H$15,0)),"No"))</f>
        <v/>
      </c>
    </row>
    <row r="432" customFormat="false" ht="15" hidden="false" customHeight="false" outlineLevel="0" collapsed="false">
      <c r="A432" s="30"/>
      <c r="B432" s="25"/>
      <c r="C432" s="25"/>
      <c r="D432" s="25"/>
      <c r="E432" s="25"/>
      <c r="F432" s="25"/>
      <c r="G432" s="25"/>
      <c r="H432" s="31"/>
      <c r="I432" s="32"/>
      <c r="J432" s="33"/>
      <c r="K432" s="34" t="str">
        <f aca="false">IF(OR(H432="",I432=""),"",H432*I432*(1-N(J432)))</f>
        <v/>
      </c>
      <c r="L432" s="32"/>
      <c r="M432" s="34" t="str">
        <f aca="false">IF(OR(H432="",L432=""),"",H432*L432)</f>
        <v/>
      </c>
      <c r="N432" s="34" t="str">
        <f aca="false">IF(OR(K432="",M432=""),"",K432-M432)</f>
        <v/>
      </c>
      <c r="O432" s="35" t="str">
        <f aca="false">IF(OR(N432="",K432=""),"",IF(K432=0,"",N432/K432))</f>
        <v/>
      </c>
      <c r="P432" s="25"/>
      <c r="Q432" s="25"/>
      <c r="R432" s="25"/>
      <c r="S432" s="36" t="str">
        <f aca="false">IF(A432="","",YEAR(A432)+IF(AND(FYStart&gt;1,MONTH(A432)&gt;=FYStart),1,0))</f>
        <v/>
      </c>
      <c r="T432" s="36" t="str">
        <f aca="false">IF(A432="","",MOD(MONTH(A432)-FYStart,12)+1)</f>
        <v/>
      </c>
      <c r="U432" s="37" t="str">
        <f aca="false">IF(A432="","",TEXT(A432,"mmm"))</f>
        <v/>
      </c>
      <c r="V432" s="37" t="str">
        <f aca="false">IF(Q432="","",IFERROR(INDEX(Settings!$I$11:$I$15,MATCH(Q432,Settings!$H$11:$H$15,0)),"No"))</f>
        <v/>
      </c>
      <c r="W432" s="37" t="str">
        <f aca="false">IF(Q432="","",IFERROR(INDEX(Settings!$J$11:$J$15,MATCH(Q432,Settings!$H$11:$H$15,0)),"No"))</f>
        <v/>
      </c>
    </row>
    <row r="433" customFormat="false" ht="15" hidden="false" customHeight="false" outlineLevel="0" collapsed="false">
      <c r="A433" s="30"/>
      <c r="B433" s="25"/>
      <c r="C433" s="25"/>
      <c r="D433" s="25"/>
      <c r="E433" s="25"/>
      <c r="F433" s="25"/>
      <c r="G433" s="25"/>
      <c r="H433" s="31"/>
      <c r="I433" s="32"/>
      <c r="J433" s="33"/>
      <c r="K433" s="34" t="str">
        <f aca="false">IF(OR(H433="",I433=""),"",H433*I433*(1-N(J433)))</f>
        <v/>
      </c>
      <c r="L433" s="32"/>
      <c r="M433" s="34" t="str">
        <f aca="false">IF(OR(H433="",L433=""),"",H433*L433)</f>
        <v/>
      </c>
      <c r="N433" s="34" t="str">
        <f aca="false">IF(OR(K433="",M433=""),"",K433-M433)</f>
        <v/>
      </c>
      <c r="O433" s="35" t="str">
        <f aca="false">IF(OR(N433="",K433=""),"",IF(K433=0,"",N433/K433))</f>
        <v/>
      </c>
      <c r="P433" s="25"/>
      <c r="Q433" s="25"/>
      <c r="R433" s="25"/>
      <c r="S433" s="36" t="str">
        <f aca="false">IF(A433="","",YEAR(A433)+IF(AND(FYStart&gt;1,MONTH(A433)&gt;=FYStart),1,0))</f>
        <v/>
      </c>
      <c r="T433" s="36" t="str">
        <f aca="false">IF(A433="","",MOD(MONTH(A433)-FYStart,12)+1)</f>
        <v/>
      </c>
      <c r="U433" s="37" t="str">
        <f aca="false">IF(A433="","",TEXT(A433,"mmm"))</f>
        <v/>
      </c>
      <c r="V433" s="37" t="str">
        <f aca="false">IF(Q433="","",IFERROR(INDEX(Settings!$I$11:$I$15,MATCH(Q433,Settings!$H$11:$H$15,0)),"No"))</f>
        <v/>
      </c>
      <c r="W433" s="37" t="str">
        <f aca="false">IF(Q433="","",IFERROR(INDEX(Settings!$J$11:$J$15,MATCH(Q433,Settings!$H$11:$H$15,0)),"No"))</f>
        <v/>
      </c>
    </row>
    <row r="434" customFormat="false" ht="15" hidden="false" customHeight="false" outlineLevel="0" collapsed="false">
      <c r="A434" s="30"/>
      <c r="B434" s="25"/>
      <c r="C434" s="25"/>
      <c r="D434" s="25"/>
      <c r="E434" s="25"/>
      <c r="F434" s="25"/>
      <c r="G434" s="25"/>
      <c r="H434" s="31"/>
      <c r="I434" s="32"/>
      <c r="J434" s="33"/>
      <c r="K434" s="34" t="str">
        <f aca="false">IF(OR(H434="",I434=""),"",H434*I434*(1-N(J434)))</f>
        <v/>
      </c>
      <c r="L434" s="32"/>
      <c r="M434" s="34" t="str">
        <f aca="false">IF(OR(H434="",L434=""),"",H434*L434)</f>
        <v/>
      </c>
      <c r="N434" s="34" t="str">
        <f aca="false">IF(OR(K434="",M434=""),"",K434-M434)</f>
        <v/>
      </c>
      <c r="O434" s="35" t="str">
        <f aca="false">IF(OR(N434="",K434=""),"",IF(K434=0,"",N434/K434))</f>
        <v/>
      </c>
      <c r="P434" s="25"/>
      <c r="Q434" s="25"/>
      <c r="R434" s="25"/>
      <c r="S434" s="36" t="str">
        <f aca="false">IF(A434="","",YEAR(A434)+IF(AND(FYStart&gt;1,MONTH(A434)&gt;=FYStart),1,0))</f>
        <v/>
      </c>
      <c r="T434" s="36" t="str">
        <f aca="false">IF(A434="","",MOD(MONTH(A434)-FYStart,12)+1)</f>
        <v/>
      </c>
      <c r="U434" s="37" t="str">
        <f aca="false">IF(A434="","",TEXT(A434,"mmm"))</f>
        <v/>
      </c>
      <c r="V434" s="37" t="str">
        <f aca="false">IF(Q434="","",IFERROR(INDEX(Settings!$I$11:$I$15,MATCH(Q434,Settings!$H$11:$H$15,0)),"No"))</f>
        <v/>
      </c>
      <c r="W434" s="37" t="str">
        <f aca="false">IF(Q434="","",IFERROR(INDEX(Settings!$J$11:$J$15,MATCH(Q434,Settings!$H$11:$H$15,0)),"No"))</f>
        <v/>
      </c>
    </row>
    <row r="435" customFormat="false" ht="15" hidden="false" customHeight="false" outlineLevel="0" collapsed="false">
      <c r="A435" s="30"/>
      <c r="B435" s="25"/>
      <c r="C435" s="25"/>
      <c r="D435" s="25"/>
      <c r="E435" s="25"/>
      <c r="F435" s="25"/>
      <c r="G435" s="25"/>
      <c r="H435" s="31"/>
      <c r="I435" s="32"/>
      <c r="J435" s="33"/>
      <c r="K435" s="34" t="str">
        <f aca="false">IF(OR(H435="",I435=""),"",H435*I435*(1-N(J435)))</f>
        <v/>
      </c>
      <c r="L435" s="32"/>
      <c r="M435" s="34" t="str">
        <f aca="false">IF(OR(H435="",L435=""),"",H435*L435)</f>
        <v/>
      </c>
      <c r="N435" s="34" t="str">
        <f aca="false">IF(OR(K435="",M435=""),"",K435-M435)</f>
        <v/>
      </c>
      <c r="O435" s="35" t="str">
        <f aca="false">IF(OR(N435="",K435=""),"",IF(K435=0,"",N435/K435))</f>
        <v/>
      </c>
      <c r="P435" s="25"/>
      <c r="Q435" s="25"/>
      <c r="R435" s="25"/>
      <c r="S435" s="36" t="str">
        <f aca="false">IF(A435="","",YEAR(A435)+IF(AND(FYStart&gt;1,MONTH(A435)&gt;=FYStart),1,0))</f>
        <v/>
      </c>
      <c r="T435" s="36" t="str">
        <f aca="false">IF(A435="","",MOD(MONTH(A435)-FYStart,12)+1)</f>
        <v/>
      </c>
      <c r="U435" s="37" t="str">
        <f aca="false">IF(A435="","",TEXT(A435,"mmm"))</f>
        <v/>
      </c>
      <c r="V435" s="37" t="str">
        <f aca="false">IF(Q435="","",IFERROR(INDEX(Settings!$I$11:$I$15,MATCH(Q435,Settings!$H$11:$H$15,0)),"No"))</f>
        <v/>
      </c>
      <c r="W435" s="37" t="str">
        <f aca="false">IF(Q435="","",IFERROR(INDEX(Settings!$J$11:$J$15,MATCH(Q435,Settings!$H$11:$H$15,0)),"No"))</f>
        <v/>
      </c>
    </row>
    <row r="436" customFormat="false" ht="15" hidden="false" customHeight="false" outlineLevel="0" collapsed="false">
      <c r="A436" s="30"/>
      <c r="B436" s="25"/>
      <c r="C436" s="25"/>
      <c r="D436" s="25"/>
      <c r="E436" s="25"/>
      <c r="F436" s="25"/>
      <c r="G436" s="25"/>
      <c r="H436" s="31"/>
      <c r="I436" s="32"/>
      <c r="J436" s="33"/>
      <c r="K436" s="34" t="str">
        <f aca="false">IF(OR(H436="",I436=""),"",H436*I436*(1-N(J436)))</f>
        <v/>
      </c>
      <c r="L436" s="32"/>
      <c r="M436" s="34" t="str">
        <f aca="false">IF(OR(H436="",L436=""),"",H436*L436)</f>
        <v/>
      </c>
      <c r="N436" s="34" t="str">
        <f aca="false">IF(OR(K436="",M436=""),"",K436-M436)</f>
        <v/>
      </c>
      <c r="O436" s="35" t="str">
        <f aca="false">IF(OR(N436="",K436=""),"",IF(K436=0,"",N436/K436))</f>
        <v/>
      </c>
      <c r="P436" s="25"/>
      <c r="Q436" s="25"/>
      <c r="R436" s="25"/>
      <c r="S436" s="36" t="str">
        <f aca="false">IF(A436="","",YEAR(A436)+IF(AND(FYStart&gt;1,MONTH(A436)&gt;=FYStart),1,0))</f>
        <v/>
      </c>
      <c r="T436" s="36" t="str">
        <f aca="false">IF(A436="","",MOD(MONTH(A436)-FYStart,12)+1)</f>
        <v/>
      </c>
      <c r="U436" s="37" t="str">
        <f aca="false">IF(A436="","",TEXT(A436,"mmm"))</f>
        <v/>
      </c>
      <c r="V436" s="37" t="str">
        <f aca="false">IF(Q436="","",IFERROR(INDEX(Settings!$I$11:$I$15,MATCH(Q436,Settings!$H$11:$H$15,0)),"No"))</f>
        <v/>
      </c>
      <c r="W436" s="37" t="str">
        <f aca="false">IF(Q436="","",IFERROR(INDEX(Settings!$J$11:$J$15,MATCH(Q436,Settings!$H$11:$H$15,0)),"No"))</f>
        <v/>
      </c>
    </row>
    <row r="437" customFormat="false" ht="15" hidden="false" customHeight="false" outlineLevel="0" collapsed="false">
      <c r="A437" s="30"/>
      <c r="B437" s="25"/>
      <c r="C437" s="25"/>
      <c r="D437" s="25"/>
      <c r="E437" s="25"/>
      <c r="F437" s="25"/>
      <c r="G437" s="25"/>
      <c r="H437" s="31"/>
      <c r="I437" s="32"/>
      <c r="J437" s="33"/>
      <c r="K437" s="34" t="str">
        <f aca="false">IF(OR(H437="",I437=""),"",H437*I437*(1-N(J437)))</f>
        <v/>
      </c>
      <c r="L437" s="32"/>
      <c r="M437" s="34" t="str">
        <f aca="false">IF(OR(H437="",L437=""),"",H437*L437)</f>
        <v/>
      </c>
      <c r="N437" s="34" t="str">
        <f aca="false">IF(OR(K437="",M437=""),"",K437-M437)</f>
        <v/>
      </c>
      <c r="O437" s="35" t="str">
        <f aca="false">IF(OR(N437="",K437=""),"",IF(K437=0,"",N437/K437))</f>
        <v/>
      </c>
      <c r="P437" s="25"/>
      <c r="Q437" s="25"/>
      <c r="R437" s="25"/>
      <c r="S437" s="36" t="str">
        <f aca="false">IF(A437="","",YEAR(A437)+IF(AND(FYStart&gt;1,MONTH(A437)&gt;=FYStart),1,0))</f>
        <v/>
      </c>
      <c r="T437" s="36" t="str">
        <f aca="false">IF(A437="","",MOD(MONTH(A437)-FYStart,12)+1)</f>
        <v/>
      </c>
      <c r="U437" s="37" t="str">
        <f aca="false">IF(A437="","",TEXT(A437,"mmm"))</f>
        <v/>
      </c>
      <c r="V437" s="37" t="str">
        <f aca="false">IF(Q437="","",IFERROR(INDEX(Settings!$I$11:$I$15,MATCH(Q437,Settings!$H$11:$H$15,0)),"No"))</f>
        <v/>
      </c>
      <c r="W437" s="37" t="str">
        <f aca="false">IF(Q437="","",IFERROR(INDEX(Settings!$J$11:$J$15,MATCH(Q437,Settings!$H$11:$H$15,0)),"No"))</f>
        <v/>
      </c>
    </row>
    <row r="438" customFormat="false" ht="15" hidden="false" customHeight="false" outlineLevel="0" collapsed="false">
      <c r="A438" s="30"/>
      <c r="B438" s="25"/>
      <c r="C438" s="25"/>
      <c r="D438" s="25"/>
      <c r="E438" s="25"/>
      <c r="F438" s="25"/>
      <c r="G438" s="25"/>
      <c r="H438" s="31"/>
      <c r="I438" s="32"/>
      <c r="J438" s="33"/>
      <c r="K438" s="34" t="str">
        <f aca="false">IF(OR(H438="",I438=""),"",H438*I438*(1-N(J438)))</f>
        <v/>
      </c>
      <c r="L438" s="32"/>
      <c r="M438" s="34" t="str">
        <f aca="false">IF(OR(H438="",L438=""),"",H438*L438)</f>
        <v/>
      </c>
      <c r="N438" s="34" t="str">
        <f aca="false">IF(OR(K438="",M438=""),"",K438-M438)</f>
        <v/>
      </c>
      <c r="O438" s="35" t="str">
        <f aca="false">IF(OR(N438="",K438=""),"",IF(K438=0,"",N438/K438))</f>
        <v/>
      </c>
      <c r="P438" s="25"/>
      <c r="Q438" s="25"/>
      <c r="R438" s="25"/>
      <c r="S438" s="36" t="str">
        <f aca="false">IF(A438="","",YEAR(A438)+IF(AND(FYStart&gt;1,MONTH(A438)&gt;=FYStart),1,0))</f>
        <v/>
      </c>
      <c r="T438" s="36" t="str">
        <f aca="false">IF(A438="","",MOD(MONTH(A438)-FYStart,12)+1)</f>
        <v/>
      </c>
      <c r="U438" s="37" t="str">
        <f aca="false">IF(A438="","",TEXT(A438,"mmm"))</f>
        <v/>
      </c>
      <c r="V438" s="37" t="str">
        <f aca="false">IF(Q438="","",IFERROR(INDEX(Settings!$I$11:$I$15,MATCH(Q438,Settings!$H$11:$H$15,0)),"No"))</f>
        <v/>
      </c>
      <c r="W438" s="37" t="str">
        <f aca="false">IF(Q438="","",IFERROR(INDEX(Settings!$J$11:$J$15,MATCH(Q438,Settings!$H$11:$H$15,0)),"No"))</f>
        <v/>
      </c>
    </row>
    <row r="439" customFormat="false" ht="15" hidden="false" customHeight="false" outlineLevel="0" collapsed="false">
      <c r="A439" s="30"/>
      <c r="B439" s="25"/>
      <c r="C439" s="25"/>
      <c r="D439" s="25"/>
      <c r="E439" s="25"/>
      <c r="F439" s="25"/>
      <c r="G439" s="25"/>
      <c r="H439" s="31"/>
      <c r="I439" s="32"/>
      <c r="J439" s="33"/>
      <c r="K439" s="34" t="str">
        <f aca="false">IF(OR(H439="",I439=""),"",H439*I439*(1-N(J439)))</f>
        <v/>
      </c>
      <c r="L439" s="32"/>
      <c r="M439" s="34" t="str">
        <f aca="false">IF(OR(H439="",L439=""),"",H439*L439)</f>
        <v/>
      </c>
      <c r="N439" s="34" t="str">
        <f aca="false">IF(OR(K439="",M439=""),"",K439-M439)</f>
        <v/>
      </c>
      <c r="O439" s="35" t="str">
        <f aca="false">IF(OR(N439="",K439=""),"",IF(K439=0,"",N439/K439))</f>
        <v/>
      </c>
      <c r="P439" s="25"/>
      <c r="Q439" s="25"/>
      <c r="R439" s="25"/>
      <c r="S439" s="36" t="str">
        <f aca="false">IF(A439="","",YEAR(A439)+IF(AND(FYStart&gt;1,MONTH(A439)&gt;=FYStart),1,0))</f>
        <v/>
      </c>
      <c r="T439" s="36" t="str">
        <f aca="false">IF(A439="","",MOD(MONTH(A439)-FYStart,12)+1)</f>
        <v/>
      </c>
      <c r="U439" s="37" t="str">
        <f aca="false">IF(A439="","",TEXT(A439,"mmm"))</f>
        <v/>
      </c>
      <c r="V439" s="37" t="str">
        <f aca="false">IF(Q439="","",IFERROR(INDEX(Settings!$I$11:$I$15,MATCH(Q439,Settings!$H$11:$H$15,0)),"No"))</f>
        <v/>
      </c>
      <c r="W439" s="37" t="str">
        <f aca="false">IF(Q439="","",IFERROR(INDEX(Settings!$J$11:$J$15,MATCH(Q439,Settings!$H$11:$H$15,0)),"No"))</f>
        <v/>
      </c>
    </row>
    <row r="440" customFormat="false" ht="15" hidden="false" customHeight="false" outlineLevel="0" collapsed="false">
      <c r="A440" s="30"/>
      <c r="B440" s="25"/>
      <c r="C440" s="25"/>
      <c r="D440" s="25"/>
      <c r="E440" s="25"/>
      <c r="F440" s="25"/>
      <c r="G440" s="25"/>
      <c r="H440" s="31"/>
      <c r="I440" s="32"/>
      <c r="J440" s="33"/>
      <c r="K440" s="34" t="str">
        <f aca="false">IF(OR(H440="",I440=""),"",H440*I440*(1-N(J440)))</f>
        <v/>
      </c>
      <c r="L440" s="32"/>
      <c r="M440" s="34" t="str">
        <f aca="false">IF(OR(H440="",L440=""),"",H440*L440)</f>
        <v/>
      </c>
      <c r="N440" s="34" t="str">
        <f aca="false">IF(OR(K440="",M440=""),"",K440-M440)</f>
        <v/>
      </c>
      <c r="O440" s="35" t="str">
        <f aca="false">IF(OR(N440="",K440=""),"",IF(K440=0,"",N440/K440))</f>
        <v/>
      </c>
      <c r="P440" s="25"/>
      <c r="Q440" s="25"/>
      <c r="R440" s="25"/>
      <c r="S440" s="36" t="str">
        <f aca="false">IF(A440="","",YEAR(A440)+IF(AND(FYStart&gt;1,MONTH(A440)&gt;=FYStart),1,0))</f>
        <v/>
      </c>
      <c r="T440" s="36" t="str">
        <f aca="false">IF(A440="","",MOD(MONTH(A440)-FYStart,12)+1)</f>
        <v/>
      </c>
      <c r="U440" s="37" t="str">
        <f aca="false">IF(A440="","",TEXT(A440,"mmm"))</f>
        <v/>
      </c>
      <c r="V440" s="37" t="str">
        <f aca="false">IF(Q440="","",IFERROR(INDEX(Settings!$I$11:$I$15,MATCH(Q440,Settings!$H$11:$H$15,0)),"No"))</f>
        <v/>
      </c>
      <c r="W440" s="37" t="str">
        <f aca="false">IF(Q440="","",IFERROR(INDEX(Settings!$J$11:$J$15,MATCH(Q440,Settings!$H$11:$H$15,0)),"No"))</f>
        <v/>
      </c>
    </row>
    <row r="441" customFormat="false" ht="15" hidden="false" customHeight="false" outlineLevel="0" collapsed="false">
      <c r="A441" s="30"/>
      <c r="B441" s="25"/>
      <c r="C441" s="25"/>
      <c r="D441" s="25"/>
      <c r="E441" s="25"/>
      <c r="F441" s="25"/>
      <c r="G441" s="25"/>
      <c r="H441" s="31"/>
      <c r="I441" s="32"/>
      <c r="J441" s="33"/>
      <c r="K441" s="34" t="str">
        <f aca="false">IF(OR(H441="",I441=""),"",H441*I441*(1-N(J441)))</f>
        <v/>
      </c>
      <c r="L441" s="32"/>
      <c r="M441" s="34" t="str">
        <f aca="false">IF(OR(H441="",L441=""),"",H441*L441)</f>
        <v/>
      </c>
      <c r="N441" s="34" t="str">
        <f aca="false">IF(OR(K441="",M441=""),"",K441-M441)</f>
        <v/>
      </c>
      <c r="O441" s="35" t="str">
        <f aca="false">IF(OR(N441="",K441=""),"",IF(K441=0,"",N441/K441))</f>
        <v/>
      </c>
      <c r="P441" s="25"/>
      <c r="Q441" s="25"/>
      <c r="R441" s="25"/>
      <c r="S441" s="36" t="str">
        <f aca="false">IF(A441="","",YEAR(A441)+IF(AND(FYStart&gt;1,MONTH(A441)&gt;=FYStart),1,0))</f>
        <v/>
      </c>
      <c r="T441" s="36" t="str">
        <f aca="false">IF(A441="","",MOD(MONTH(A441)-FYStart,12)+1)</f>
        <v/>
      </c>
      <c r="U441" s="37" t="str">
        <f aca="false">IF(A441="","",TEXT(A441,"mmm"))</f>
        <v/>
      </c>
      <c r="V441" s="37" t="str">
        <f aca="false">IF(Q441="","",IFERROR(INDEX(Settings!$I$11:$I$15,MATCH(Q441,Settings!$H$11:$H$15,0)),"No"))</f>
        <v/>
      </c>
      <c r="W441" s="37" t="str">
        <f aca="false">IF(Q441="","",IFERROR(INDEX(Settings!$J$11:$J$15,MATCH(Q441,Settings!$H$11:$H$15,0)),"No"))</f>
        <v/>
      </c>
    </row>
    <row r="442" customFormat="false" ht="15" hidden="false" customHeight="false" outlineLevel="0" collapsed="false">
      <c r="A442" s="30"/>
      <c r="B442" s="25"/>
      <c r="C442" s="25"/>
      <c r="D442" s="25"/>
      <c r="E442" s="25"/>
      <c r="F442" s="25"/>
      <c r="G442" s="25"/>
      <c r="H442" s="31"/>
      <c r="I442" s="32"/>
      <c r="J442" s="33"/>
      <c r="K442" s="34" t="str">
        <f aca="false">IF(OR(H442="",I442=""),"",H442*I442*(1-N(J442)))</f>
        <v/>
      </c>
      <c r="L442" s="32"/>
      <c r="M442" s="34" t="str">
        <f aca="false">IF(OR(H442="",L442=""),"",H442*L442)</f>
        <v/>
      </c>
      <c r="N442" s="34" t="str">
        <f aca="false">IF(OR(K442="",M442=""),"",K442-M442)</f>
        <v/>
      </c>
      <c r="O442" s="35" t="str">
        <f aca="false">IF(OR(N442="",K442=""),"",IF(K442=0,"",N442/K442))</f>
        <v/>
      </c>
      <c r="P442" s="25"/>
      <c r="Q442" s="25"/>
      <c r="R442" s="25"/>
      <c r="S442" s="36" t="str">
        <f aca="false">IF(A442="","",YEAR(A442)+IF(AND(FYStart&gt;1,MONTH(A442)&gt;=FYStart),1,0))</f>
        <v/>
      </c>
      <c r="T442" s="36" t="str">
        <f aca="false">IF(A442="","",MOD(MONTH(A442)-FYStart,12)+1)</f>
        <v/>
      </c>
      <c r="U442" s="37" t="str">
        <f aca="false">IF(A442="","",TEXT(A442,"mmm"))</f>
        <v/>
      </c>
      <c r="V442" s="37" t="str">
        <f aca="false">IF(Q442="","",IFERROR(INDEX(Settings!$I$11:$I$15,MATCH(Q442,Settings!$H$11:$H$15,0)),"No"))</f>
        <v/>
      </c>
      <c r="W442" s="37" t="str">
        <f aca="false">IF(Q442="","",IFERROR(INDEX(Settings!$J$11:$J$15,MATCH(Q442,Settings!$H$11:$H$15,0)),"No"))</f>
        <v/>
      </c>
    </row>
    <row r="443" customFormat="false" ht="15" hidden="false" customHeight="false" outlineLevel="0" collapsed="false">
      <c r="A443" s="30"/>
      <c r="B443" s="25"/>
      <c r="C443" s="25"/>
      <c r="D443" s="25"/>
      <c r="E443" s="25"/>
      <c r="F443" s="25"/>
      <c r="G443" s="25"/>
      <c r="H443" s="31"/>
      <c r="I443" s="32"/>
      <c r="J443" s="33"/>
      <c r="K443" s="34" t="str">
        <f aca="false">IF(OR(H443="",I443=""),"",H443*I443*(1-N(J443)))</f>
        <v/>
      </c>
      <c r="L443" s="32"/>
      <c r="M443" s="34" t="str">
        <f aca="false">IF(OR(H443="",L443=""),"",H443*L443)</f>
        <v/>
      </c>
      <c r="N443" s="34" t="str">
        <f aca="false">IF(OR(K443="",M443=""),"",K443-M443)</f>
        <v/>
      </c>
      <c r="O443" s="35" t="str">
        <f aca="false">IF(OR(N443="",K443=""),"",IF(K443=0,"",N443/K443))</f>
        <v/>
      </c>
      <c r="P443" s="25"/>
      <c r="Q443" s="25"/>
      <c r="R443" s="25"/>
      <c r="S443" s="36" t="str">
        <f aca="false">IF(A443="","",YEAR(A443)+IF(AND(FYStart&gt;1,MONTH(A443)&gt;=FYStart),1,0))</f>
        <v/>
      </c>
      <c r="T443" s="36" t="str">
        <f aca="false">IF(A443="","",MOD(MONTH(A443)-FYStart,12)+1)</f>
        <v/>
      </c>
      <c r="U443" s="37" t="str">
        <f aca="false">IF(A443="","",TEXT(A443,"mmm"))</f>
        <v/>
      </c>
      <c r="V443" s="37" t="str">
        <f aca="false">IF(Q443="","",IFERROR(INDEX(Settings!$I$11:$I$15,MATCH(Q443,Settings!$H$11:$H$15,0)),"No"))</f>
        <v/>
      </c>
      <c r="W443" s="37" t="str">
        <f aca="false">IF(Q443="","",IFERROR(INDEX(Settings!$J$11:$J$15,MATCH(Q443,Settings!$H$11:$H$15,0)),"No"))</f>
        <v/>
      </c>
    </row>
    <row r="444" customFormat="false" ht="15" hidden="false" customHeight="false" outlineLevel="0" collapsed="false">
      <c r="A444" s="30"/>
      <c r="B444" s="25"/>
      <c r="C444" s="25"/>
      <c r="D444" s="25"/>
      <c r="E444" s="25"/>
      <c r="F444" s="25"/>
      <c r="G444" s="25"/>
      <c r="H444" s="31"/>
      <c r="I444" s="32"/>
      <c r="J444" s="33"/>
      <c r="K444" s="34" t="str">
        <f aca="false">IF(OR(H444="",I444=""),"",H444*I444*(1-N(J444)))</f>
        <v/>
      </c>
      <c r="L444" s="32"/>
      <c r="M444" s="34" t="str">
        <f aca="false">IF(OR(H444="",L444=""),"",H444*L444)</f>
        <v/>
      </c>
      <c r="N444" s="34" t="str">
        <f aca="false">IF(OR(K444="",M444=""),"",K444-M444)</f>
        <v/>
      </c>
      <c r="O444" s="35" t="str">
        <f aca="false">IF(OR(N444="",K444=""),"",IF(K444=0,"",N444/K444))</f>
        <v/>
      </c>
      <c r="P444" s="25"/>
      <c r="Q444" s="25"/>
      <c r="R444" s="25"/>
      <c r="S444" s="36" t="str">
        <f aca="false">IF(A444="","",YEAR(A444)+IF(AND(FYStart&gt;1,MONTH(A444)&gt;=FYStart),1,0))</f>
        <v/>
      </c>
      <c r="T444" s="36" t="str">
        <f aca="false">IF(A444="","",MOD(MONTH(A444)-FYStart,12)+1)</f>
        <v/>
      </c>
      <c r="U444" s="37" t="str">
        <f aca="false">IF(A444="","",TEXT(A444,"mmm"))</f>
        <v/>
      </c>
      <c r="V444" s="37" t="str">
        <f aca="false">IF(Q444="","",IFERROR(INDEX(Settings!$I$11:$I$15,MATCH(Q444,Settings!$H$11:$H$15,0)),"No"))</f>
        <v/>
      </c>
      <c r="W444" s="37" t="str">
        <f aca="false">IF(Q444="","",IFERROR(INDEX(Settings!$J$11:$J$15,MATCH(Q444,Settings!$H$11:$H$15,0)),"No"))</f>
        <v/>
      </c>
    </row>
    <row r="445" customFormat="false" ht="15" hidden="false" customHeight="false" outlineLevel="0" collapsed="false">
      <c r="A445" s="30"/>
      <c r="B445" s="25"/>
      <c r="C445" s="25"/>
      <c r="D445" s="25"/>
      <c r="E445" s="25"/>
      <c r="F445" s="25"/>
      <c r="G445" s="25"/>
      <c r="H445" s="31"/>
      <c r="I445" s="32"/>
      <c r="J445" s="33"/>
      <c r="K445" s="34" t="str">
        <f aca="false">IF(OR(H445="",I445=""),"",H445*I445*(1-N(J445)))</f>
        <v/>
      </c>
      <c r="L445" s="32"/>
      <c r="M445" s="34" t="str">
        <f aca="false">IF(OR(H445="",L445=""),"",H445*L445)</f>
        <v/>
      </c>
      <c r="N445" s="34" t="str">
        <f aca="false">IF(OR(K445="",M445=""),"",K445-M445)</f>
        <v/>
      </c>
      <c r="O445" s="35" t="str">
        <f aca="false">IF(OR(N445="",K445=""),"",IF(K445=0,"",N445/K445))</f>
        <v/>
      </c>
      <c r="P445" s="25"/>
      <c r="Q445" s="25"/>
      <c r="R445" s="25"/>
      <c r="S445" s="36" t="str">
        <f aca="false">IF(A445="","",YEAR(A445)+IF(AND(FYStart&gt;1,MONTH(A445)&gt;=FYStart),1,0))</f>
        <v/>
      </c>
      <c r="T445" s="36" t="str">
        <f aca="false">IF(A445="","",MOD(MONTH(A445)-FYStart,12)+1)</f>
        <v/>
      </c>
      <c r="U445" s="37" t="str">
        <f aca="false">IF(A445="","",TEXT(A445,"mmm"))</f>
        <v/>
      </c>
      <c r="V445" s="37" t="str">
        <f aca="false">IF(Q445="","",IFERROR(INDEX(Settings!$I$11:$I$15,MATCH(Q445,Settings!$H$11:$H$15,0)),"No"))</f>
        <v/>
      </c>
      <c r="W445" s="37" t="str">
        <f aca="false">IF(Q445="","",IFERROR(INDEX(Settings!$J$11:$J$15,MATCH(Q445,Settings!$H$11:$H$15,0)),"No"))</f>
        <v/>
      </c>
    </row>
    <row r="446" customFormat="false" ht="15" hidden="false" customHeight="false" outlineLevel="0" collapsed="false">
      <c r="A446" s="30"/>
      <c r="B446" s="25"/>
      <c r="C446" s="25"/>
      <c r="D446" s="25"/>
      <c r="E446" s="25"/>
      <c r="F446" s="25"/>
      <c r="G446" s="25"/>
      <c r="H446" s="31"/>
      <c r="I446" s="32"/>
      <c r="J446" s="33"/>
      <c r="K446" s="34" t="str">
        <f aca="false">IF(OR(H446="",I446=""),"",H446*I446*(1-N(J446)))</f>
        <v/>
      </c>
      <c r="L446" s="32"/>
      <c r="M446" s="34" t="str">
        <f aca="false">IF(OR(H446="",L446=""),"",H446*L446)</f>
        <v/>
      </c>
      <c r="N446" s="34" t="str">
        <f aca="false">IF(OR(K446="",M446=""),"",K446-M446)</f>
        <v/>
      </c>
      <c r="O446" s="35" t="str">
        <f aca="false">IF(OR(N446="",K446=""),"",IF(K446=0,"",N446/K446))</f>
        <v/>
      </c>
      <c r="P446" s="25"/>
      <c r="Q446" s="25"/>
      <c r="R446" s="25"/>
      <c r="S446" s="36" t="str">
        <f aca="false">IF(A446="","",YEAR(A446)+IF(AND(FYStart&gt;1,MONTH(A446)&gt;=FYStart),1,0))</f>
        <v/>
      </c>
      <c r="T446" s="36" t="str">
        <f aca="false">IF(A446="","",MOD(MONTH(A446)-FYStart,12)+1)</f>
        <v/>
      </c>
      <c r="U446" s="37" t="str">
        <f aca="false">IF(A446="","",TEXT(A446,"mmm"))</f>
        <v/>
      </c>
      <c r="V446" s="37" t="str">
        <f aca="false">IF(Q446="","",IFERROR(INDEX(Settings!$I$11:$I$15,MATCH(Q446,Settings!$H$11:$H$15,0)),"No"))</f>
        <v/>
      </c>
      <c r="W446" s="37" t="str">
        <f aca="false">IF(Q446="","",IFERROR(INDEX(Settings!$J$11:$J$15,MATCH(Q446,Settings!$H$11:$H$15,0)),"No"))</f>
        <v/>
      </c>
    </row>
    <row r="447" customFormat="false" ht="15" hidden="false" customHeight="false" outlineLevel="0" collapsed="false">
      <c r="A447" s="30"/>
      <c r="B447" s="25"/>
      <c r="C447" s="25"/>
      <c r="D447" s="25"/>
      <c r="E447" s="25"/>
      <c r="F447" s="25"/>
      <c r="G447" s="25"/>
      <c r="H447" s="31"/>
      <c r="I447" s="32"/>
      <c r="J447" s="33"/>
      <c r="K447" s="34" t="str">
        <f aca="false">IF(OR(H447="",I447=""),"",H447*I447*(1-N(J447)))</f>
        <v/>
      </c>
      <c r="L447" s="32"/>
      <c r="M447" s="34" t="str">
        <f aca="false">IF(OR(H447="",L447=""),"",H447*L447)</f>
        <v/>
      </c>
      <c r="N447" s="34" t="str">
        <f aca="false">IF(OR(K447="",M447=""),"",K447-M447)</f>
        <v/>
      </c>
      <c r="O447" s="35" t="str">
        <f aca="false">IF(OR(N447="",K447=""),"",IF(K447=0,"",N447/K447))</f>
        <v/>
      </c>
      <c r="P447" s="25"/>
      <c r="Q447" s="25"/>
      <c r="R447" s="25"/>
      <c r="S447" s="36" t="str">
        <f aca="false">IF(A447="","",YEAR(A447)+IF(AND(FYStart&gt;1,MONTH(A447)&gt;=FYStart),1,0))</f>
        <v/>
      </c>
      <c r="T447" s="36" t="str">
        <f aca="false">IF(A447="","",MOD(MONTH(A447)-FYStart,12)+1)</f>
        <v/>
      </c>
      <c r="U447" s="37" t="str">
        <f aca="false">IF(A447="","",TEXT(A447,"mmm"))</f>
        <v/>
      </c>
      <c r="V447" s="37" t="str">
        <f aca="false">IF(Q447="","",IFERROR(INDEX(Settings!$I$11:$I$15,MATCH(Q447,Settings!$H$11:$H$15,0)),"No"))</f>
        <v/>
      </c>
      <c r="W447" s="37" t="str">
        <f aca="false">IF(Q447="","",IFERROR(INDEX(Settings!$J$11:$J$15,MATCH(Q447,Settings!$H$11:$H$15,0)),"No"))</f>
        <v/>
      </c>
    </row>
    <row r="448" customFormat="false" ht="15" hidden="false" customHeight="false" outlineLevel="0" collapsed="false">
      <c r="A448" s="30"/>
      <c r="B448" s="25"/>
      <c r="C448" s="25"/>
      <c r="D448" s="25"/>
      <c r="E448" s="25"/>
      <c r="F448" s="25"/>
      <c r="G448" s="25"/>
      <c r="H448" s="31"/>
      <c r="I448" s="32"/>
      <c r="J448" s="33"/>
      <c r="K448" s="34" t="str">
        <f aca="false">IF(OR(H448="",I448=""),"",H448*I448*(1-N(J448)))</f>
        <v/>
      </c>
      <c r="L448" s="32"/>
      <c r="M448" s="34" t="str">
        <f aca="false">IF(OR(H448="",L448=""),"",H448*L448)</f>
        <v/>
      </c>
      <c r="N448" s="34" t="str">
        <f aca="false">IF(OR(K448="",M448=""),"",K448-M448)</f>
        <v/>
      </c>
      <c r="O448" s="35" t="str">
        <f aca="false">IF(OR(N448="",K448=""),"",IF(K448=0,"",N448/K448))</f>
        <v/>
      </c>
      <c r="P448" s="25"/>
      <c r="Q448" s="25"/>
      <c r="R448" s="25"/>
      <c r="S448" s="36" t="str">
        <f aca="false">IF(A448="","",YEAR(A448)+IF(AND(FYStart&gt;1,MONTH(A448)&gt;=FYStart),1,0))</f>
        <v/>
      </c>
      <c r="T448" s="36" t="str">
        <f aca="false">IF(A448="","",MOD(MONTH(A448)-FYStart,12)+1)</f>
        <v/>
      </c>
      <c r="U448" s="37" t="str">
        <f aca="false">IF(A448="","",TEXT(A448,"mmm"))</f>
        <v/>
      </c>
      <c r="V448" s="37" t="str">
        <f aca="false">IF(Q448="","",IFERROR(INDEX(Settings!$I$11:$I$15,MATCH(Q448,Settings!$H$11:$H$15,0)),"No"))</f>
        <v/>
      </c>
      <c r="W448" s="37" t="str">
        <f aca="false">IF(Q448="","",IFERROR(INDEX(Settings!$J$11:$J$15,MATCH(Q448,Settings!$H$11:$H$15,0)),"No"))</f>
        <v/>
      </c>
    </row>
    <row r="449" customFormat="false" ht="15" hidden="false" customHeight="false" outlineLevel="0" collapsed="false">
      <c r="A449" s="30"/>
      <c r="B449" s="25"/>
      <c r="C449" s="25"/>
      <c r="D449" s="25"/>
      <c r="E449" s="25"/>
      <c r="F449" s="25"/>
      <c r="G449" s="25"/>
      <c r="H449" s="31"/>
      <c r="I449" s="32"/>
      <c r="J449" s="33"/>
      <c r="K449" s="34" t="str">
        <f aca="false">IF(OR(H449="",I449=""),"",H449*I449*(1-N(J449)))</f>
        <v/>
      </c>
      <c r="L449" s="32"/>
      <c r="M449" s="34" t="str">
        <f aca="false">IF(OR(H449="",L449=""),"",H449*L449)</f>
        <v/>
      </c>
      <c r="N449" s="34" t="str">
        <f aca="false">IF(OR(K449="",M449=""),"",K449-M449)</f>
        <v/>
      </c>
      <c r="O449" s="35" t="str">
        <f aca="false">IF(OR(N449="",K449=""),"",IF(K449=0,"",N449/K449))</f>
        <v/>
      </c>
      <c r="P449" s="25"/>
      <c r="Q449" s="25"/>
      <c r="R449" s="25"/>
      <c r="S449" s="36" t="str">
        <f aca="false">IF(A449="","",YEAR(A449)+IF(AND(FYStart&gt;1,MONTH(A449)&gt;=FYStart),1,0))</f>
        <v/>
      </c>
      <c r="T449" s="36" t="str">
        <f aca="false">IF(A449="","",MOD(MONTH(A449)-FYStart,12)+1)</f>
        <v/>
      </c>
      <c r="U449" s="37" t="str">
        <f aca="false">IF(A449="","",TEXT(A449,"mmm"))</f>
        <v/>
      </c>
      <c r="V449" s="37" t="str">
        <f aca="false">IF(Q449="","",IFERROR(INDEX(Settings!$I$11:$I$15,MATCH(Q449,Settings!$H$11:$H$15,0)),"No"))</f>
        <v/>
      </c>
      <c r="W449" s="37" t="str">
        <f aca="false">IF(Q449="","",IFERROR(INDEX(Settings!$J$11:$J$15,MATCH(Q449,Settings!$H$11:$H$15,0)),"No"))</f>
        <v/>
      </c>
    </row>
    <row r="450" customFormat="false" ht="15" hidden="false" customHeight="false" outlineLevel="0" collapsed="false">
      <c r="A450" s="30"/>
      <c r="B450" s="25"/>
      <c r="C450" s="25"/>
      <c r="D450" s="25"/>
      <c r="E450" s="25"/>
      <c r="F450" s="25"/>
      <c r="G450" s="25"/>
      <c r="H450" s="31"/>
      <c r="I450" s="32"/>
      <c r="J450" s="33"/>
      <c r="K450" s="34" t="str">
        <f aca="false">IF(OR(H450="",I450=""),"",H450*I450*(1-N(J450)))</f>
        <v/>
      </c>
      <c r="L450" s="32"/>
      <c r="M450" s="34" t="str">
        <f aca="false">IF(OR(H450="",L450=""),"",H450*L450)</f>
        <v/>
      </c>
      <c r="N450" s="34" t="str">
        <f aca="false">IF(OR(K450="",M450=""),"",K450-M450)</f>
        <v/>
      </c>
      <c r="O450" s="35" t="str">
        <f aca="false">IF(OR(N450="",K450=""),"",IF(K450=0,"",N450/K450))</f>
        <v/>
      </c>
      <c r="P450" s="25"/>
      <c r="Q450" s="25"/>
      <c r="R450" s="25"/>
      <c r="S450" s="36" t="str">
        <f aca="false">IF(A450="","",YEAR(A450)+IF(AND(FYStart&gt;1,MONTH(A450)&gt;=FYStart),1,0))</f>
        <v/>
      </c>
      <c r="T450" s="36" t="str">
        <f aca="false">IF(A450="","",MOD(MONTH(A450)-FYStart,12)+1)</f>
        <v/>
      </c>
      <c r="U450" s="37" t="str">
        <f aca="false">IF(A450="","",TEXT(A450,"mmm"))</f>
        <v/>
      </c>
      <c r="V450" s="37" t="str">
        <f aca="false">IF(Q450="","",IFERROR(INDEX(Settings!$I$11:$I$15,MATCH(Q450,Settings!$H$11:$H$15,0)),"No"))</f>
        <v/>
      </c>
      <c r="W450" s="37" t="str">
        <f aca="false">IF(Q450="","",IFERROR(INDEX(Settings!$J$11:$J$15,MATCH(Q450,Settings!$H$11:$H$15,0)),"No"))</f>
        <v/>
      </c>
    </row>
    <row r="451" customFormat="false" ht="15" hidden="false" customHeight="false" outlineLevel="0" collapsed="false">
      <c r="A451" s="30"/>
      <c r="B451" s="25"/>
      <c r="C451" s="25"/>
      <c r="D451" s="25"/>
      <c r="E451" s="25"/>
      <c r="F451" s="25"/>
      <c r="G451" s="25"/>
      <c r="H451" s="31"/>
      <c r="I451" s="32"/>
      <c r="J451" s="33"/>
      <c r="K451" s="34" t="str">
        <f aca="false">IF(OR(H451="",I451=""),"",H451*I451*(1-N(J451)))</f>
        <v/>
      </c>
      <c r="L451" s="32"/>
      <c r="M451" s="34" t="str">
        <f aca="false">IF(OR(H451="",L451=""),"",H451*L451)</f>
        <v/>
      </c>
      <c r="N451" s="34" t="str">
        <f aca="false">IF(OR(K451="",M451=""),"",K451-M451)</f>
        <v/>
      </c>
      <c r="O451" s="35" t="str">
        <f aca="false">IF(OR(N451="",K451=""),"",IF(K451=0,"",N451/K451))</f>
        <v/>
      </c>
      <c r="P451" s="25"/>
      <c r="Q451" s="25"/>
      <c r="R451" s="25"/>
      <c r="S451" s="36" t="str">
        <f aca="false">IF(A451="","",YEAR(A451)+IF(AND(FYStart&gt;1,MONTH(A451)&gt;=FYStart),1,0))</f>
        <v/>
      </c>
      <c r="T451" s="36" t="str">
        <f aca="false">IF(A451="","",MOD(MONTH(A451)-FYStart,12)+1)</f>
        <v/>
      </c>
      <c r="U451" s="37" t="str">
        <f aca="false">IF(A451="","",TEXT(A451,"mmm"))</f>
        <v/>
      </c>
      <c r="V451" s="37" t="str">
        <f aca="false">IF(Q451="","",IFERROR(INDEX(Settings!$I$11:$I$15,MATCH(Q451,Settings!$H$11:$H$15,0)),"No"))</f>
        <v/>
      </c>
      <c r="W451" s="37" t="str">
        <f aca="false">IF(Q451="","",IFERROR(INDEX(Settings!$J$11:$J$15,MATCH(Q451,Settings!$H$11:$H$15,0)),"No"))</f>
        <v/>
      </c>
    </row>
    <row r="452" customFormat="false" ht="15" hidden="false" customHeight="false" outlineLevel="0" collapsed="false">
      <c r="A452" s="30"/>
      <c r="B452" s="25"/>
      <c r="C452" s="25"/>
      <c r="D452" s="25"/>
      <c r="E452" s="25"/>
      <c r="F452" s="25"/>
      <c r="G452" s="25"/>
      <c r="H452" s="31"/>
      <c r="I452" s="32"/>
      <c r="J452" s="33"/>
      <c r="K452" s="34" t="str">
        <f aca="false">IF(OR(H452="",I452=""),"",H452*I452*(1-N(J452)))</f>
        <v/>
      </c>
      <c r="L452" s="32"/>
      <c r="M452" s="34" t="str">
        <f aca="false">IF(OR(H452="",L452=""),"",H452*L452)</f>
        <v/>
      </c>
      <c r="N452" s="34" t="str">
        <f aca="false">IF(OR(K452="",M452=""),"",K452-M452)</f>
        <v/>
      </c>
      <c r="O452" s="35" t="str">
        <f aca="false">IF(OR(N452="",K452=""),"",IF(K452=0,"",N452/K452))</f>
        <v/>
      </c>
      <c r="P452" s="25"/>
      <c r="Q452" s="25"/>
      <c r="R452" s="25"/>
      <c r="S452" s="36" t="str">
        <f aca="false">IF(A452="","",YEAR(A452)+IF(AND(FYStart&gt;1,MONTH(A452)&gt;=FYStart),1,0))</f>
        <v/>
      </c>
      <c r="T452" s="36" t="str">
        <f aca="false">IF(A452="","",MOD(MONTH(A452)-FYStart,12)+1)</f>
        <v/>
      </c>
      <c r="U452" s="37" t="str">
        <f aca="false">IF(A452="","",TEXT(A452,"mmm"))</f>
        <v/>
      </c>
      <c r="V452" s="37" t="str">
        <f aca="false">IF(Q452="","",IFERROR(INDEX(Settings!$I$11:$I$15,MATCH(Q452,Settings!$H$11:$H$15,0)),"No"))</f>
        <v/>
      </c>
      <c r="W452" s="37" t="str">
        <f aca="false">IF(Q452="","",IFERROR(INDEX(Settings!$J$11:$J$15,MATCH(Q452,Settings!$H$11:$H$15,0)),"No"))</f>
        <v/>
      </c>
    </row>
    <row r="453" customFormat="false" ht="15" hidden="false" customHeight="false" outlineLevel="0" collapsed="false">
      <c r="A453" s="30"/>
      <c r="B453" s="25"/>
      <c r="C453" s="25"/>
      <c r="D453" s="25"/>
      <c r="E453" s="25"/>
      <c r="F453" s="25"/>
      <c r="G453" s="25"/>
      <c r="H453" s="31"/>
      <c r="I453" s="32"/>
      <c r="J453" s="33"/>
      <c r="K453" s="34" t="str">
        <f aca="false">IF(OR(H453="",I453=""),"",H453*I453*(1-N(J453)))</f>
        <v/>
      </c>
      <c r="L453" s="32"/>
      <c r="M453" s="34" t="str">
        <f aca="false">IF(OR(H453="",L453=""),"",H453*L453)</f>
        <v/>
      </c>
      <c r="N453" s="34" t="str">
        <f aca="false">IF(OR(K453="",M453=""),"",K453-M453)</f>
        <v/>
      </c>
      <c r="O453" s="35" t="str">
        <f aca="false">IF(OR(N453="",K453=""),"",IF(K453=0,"",N453/K453))</f>
        <v/>
      </c>
      <c r="P453" s="25"/>
      <c r="Q453" s="25"/>
      <c r="R453" s="25"/>
      <c r="S453" s="36" t="str">
        <f aca="false">IF(A453="","",YEAR(A453)+IF(AND(FYStart&gt;1,MONTH(A453)&gt;=FYStart),1,0))</f>
        <v/>
      </c>
      <c r="T453" s="36" t="str">
        <f aca="false">IF(A453="","",MOD(MONTH(A453)-FYStart,12)+1)</f>
        <v/>
      </c>
      <c r="U453" s="37" t="str">
        <f aca="false">IF(A453="","",TEXT(A453,"mmm"))</f>
        <v/>
      </c>
      <c r="V453" s="37" t="str">
        <f aca="false">IF(Q453="","",IFERROR(INDEX(Settings!$I$11:$I$15,MATCH(Q453,Settings!$H$11:$H$15,0)),"No"))</f>
        <v/>
      </c>
      <c r="W453" s="37" t="str">
        <f aca="false">IF(Q453="","",IFERROR(INDEX(Settings!$J$11:$J$15,MATCH(Q453,Settings!$H$11:$H$15,0)),"No"))</f>
        <v/>
      </c>
    </row>
    <row r="454" customFormat="false" ht="15" hidden="false" customHeight="false" outlineLevel="0" collapsed="false">
      <c r="A454" s="30"/>
      <c r="B454" s="25"/>
      <c r="C454" s="25"/>
      <c r="D454" s="25"/>
      <c r="E454" s="25"/>
      <c r="F454" s="25"/>
      <c r="G454" s="25"/>
      <c r="H454" s="31"/>
      <c r="I454" s="32"/>
      <c r="J454" s="33"/>
      <c r="K454" s="34" t="str">
        <f aca="false">IF(OR(H454="",I454=""),"",H454*I454*(1-N(J454)))</f>
        <v/>
      </c>
      <c r="L454" s="32"/>
      <c r="M454" s="34" t="str">
        <f aca="false">IF(OR(H454="",L454=""),"",H454*L454)</f>
        <v/>
      </c>
      <c r="N454" s="34" t="str">
        <f aca="false">IF(OR(K454="",M454=""),"",K454-M454)</f>
        <v/>
      </c>
      <c r="O454" s="35" t="str">
        <f aca="false">IF(OR(N454="",K454=""),"",IF(K454=0,"",N454/K454))</f>
        <v/>
      </c>
      <c r="P454" s="25"/>
      <c r="Q454" s="25"/>
      <c r="R454" s="25"/>
      <c r="S454" s="36" t="str">
        <f aca="false">IF(A454="","",YEAR(A454)+IF(AND(FYStart&gt;1,MONTH(A454)&gt;=FYStart),1,0))</f>
        <v/>
      </c>
      <c r="T454" s="36" t="str">
        <f aca="false">IF(A454="","",MOD(MONTH(A454)-FYStart,12)+1)</f>
        <v/>
      </c>
      <c r="U454" s="37" t="str">
        <f aca="false">IF(A454="","",TEXT(A454,"mmm"))</f>
        <v/>
      </c>
      <c r="V454" s="37" t="str">
        <f aca="false">IF(Q454="","",IFERROR(INDEX(Settings!$I$11:$I$15,MATCH(Q454,Settings!$H$11:$H$15,0)),"No"))</f>
        <v/>
      </c>
      <c r="W454" s="37" t="str">
        <f aca="false">IF(Q454="","",IFERROR(INDEX(Settings!$J$11:$J$15,MATCH(Q454,Settings!$H$11:$H$15,0)),"No"))</f>
        <v/>
      </c>
    </row>
    <row r="455" customFormat="false" ht="15" hidden="false" customHeight="false" outlineLevel="0" collapsed="false">
      <c r="A455" s="30"/>
      <c r="B455" s="25"/>
      <c r="C455" s="25"/>
      <c r="D455" s="25"/>
      <c r="E455" s="25"/>
      <c r="F455" s="25"/>
      <c r="G455" s="25"/>
      <c r="H455" s="31"/>
      <c r="I455" s="32"/>
      <c r="J455" s="33"/>
      <c r="K455" s="34" t="str">
        <f aca="false">IF(OR(H455="",I455=""),"",H455*I455*(1-N(J455)))</f>
        <v/>
      </c>
      <c r="L455" s="32"/>
      <c r="M455" s="34" t="str">
        <f aca="false">IF(OR(H455="",L455=""),"",H455*L455)</f>
        <v/>
      </c>
      <c r="N455" s="34" t="str">
        <f aca="false">IF(OR(K455="",M455=""),"",K455-M455)</f>
        <v/>
      </c>
      <c r="O455" s="35" t="str">
        <f aca="false">IF(OR(N455="",K455=""),"",IF(K455=0,"",N455/K455))</f>
        <v/>
      </c>
      <c r="P455" s="25"/>
      <c r="Q455" s="25"/>
      <c r="R455" s="25"/>
      <c r="S455" s="36" t="str">
        <f aca="false">IF(A455="","",YEAR(A455)+IF(AND(FYStart&gt;1,MONTH(A455)&gt;=FYStart),1,0))</f>
        <v/>
      </c>
      <c r="T455" s="36" t="str">
        <f aca="false">IF(A455="","",MOD(MONTH(A455)-FYStart,12)+1)</f>
        <v/>
      </c>
      <c r="U455" s="37" t="str">
        <f aca="false">IF(A455="","",TEXT(A455,"mmm"))</f>
        <v/>
      </c>
      <c r="V455" s="37" t="str">
        <f aca="false">IF(Q455="","",IFERROR(INDEX(Settings!$I$11:$I$15,MATCH(Q455,Settings!$H$11:$H$15,0)),"No"))</f>
        <v/>
      </c>
      <c r="W455" s="37" t="str">
        <f aca="false">IF(Q455="","",IFERROR(INDEX(Settings!$J$11:$J$15,MATCH(Q455,Settings!$H$11:$H$15,0)),"No"))</f>
        <v/>
      </c>
    </row>
    <row r="456" customFormat="false" ht="15" hidden="false" customHeight="false" outlineLevel="0" collapsed="false">
      <c r="A456" s="30"/>
      <c r="B456" s="25"/>
      <c r="C456" s="25"/>
      <c r="D456" s="25"/>
      <c r="E456" s="25"/>
      <c r="F456" s="25"/>
      <c r="G456" s="25"/>
      <c r="H456" s="31"/>
      <c r="I456" s="32"/>
      <c r="J456" s="33"/>
      <c r="K456" s="34" t="str">
        <f aca="false">IF(OR(H456="",I456=""),"",H456*I456*(1-N(J456)))</f>
        <v/>
      </c>
      <c r="L456" s="32"/>
      <c r="M456" s="34" t="str">
        <f aca="false">IF(OR(H456="",L456=""),"",H456*L456)</f>
        <v/>
      </c>
      <c r="N456" s="34" t="str">
        <f aca="false">IF(OR(K456="",M456=""),"",K456-M456)</f>
        <v/>
      </c>
      <c r="O456" s="35" t="str">
        <f aca="false">IF(OR(N456="",K456=""),"",IF(K456=0,"",N456/K456))</f>
        <v/>
      </c>
      <c r="P456" s="25"/>
      <c r="Q456" s="25"/>
      <c r="R456" s="25"/>
      <c r="S456" s="36" t="str">
        <f aca="false">IF(A456="","",YEAR(A456)+IF(AND(FYStart&gt;1,MONTH(A456)&gt;=FYStart),1,0))</f>
        <v/>
      </c>
      <c r="T456" s="36" t="str">
        <f aca="false">IF(A456="","",MOD(MONTH(A456)-FYStart,12)+1)</f>
        <v/>
      </c>
      <c r="U456" s="37" t="str">
        <f aca="false">IF(A456="","",TEXT(A456,"mmm"))</f>
        <v/>
      </c>
      <c r="V456" s="37" t="str">
        <f aca="false">IF(Q456="","",IFERROR(INDEX(Settings!$I$11:$I$15,MATCH(Q456,Settings!$H$11:$H$15,0)),"No"))</f>
        <v/>
      </c>
      <c r="W456" s="37" t="str">
        <f aca="false">IF(Q456="","",IFERROR(INDEX(Settings!$J$11:$J$15,MATCH(Q456,Settings!$H$11:$H$15,0)),"No"))</f>
        <v/>
      </c>
    </row>
    <row r="457" customFormat="false" ht="15" hidden="false" customHeight="false" outlineLevel="0" collapsed="false">
      <c r="A457" s="30"/>
      <c r="B457" s="25"/>
      <c r="C457" s="25"/>
      <c r="D457" s="25"/>
      <c r="E457" s="25"/>
      <c r="F457" s="25"/>
      <c r="G457" s="25"/>
      <c r="H457" s="31"/>
      <c r="I457" s="32"/>
      <c r="J457" s="33"/>
      <c r="K457" s="34" t="str">
        <f aca="false">IF(OR(H457="",I457=""),"",H457*I457*(1-N(J457)))</f>
        <v/>
      </c>
      <c r="L457" s="32"/>
      <c r="M457" s="34" t="str">
        <f aca="false">IF(OR(H457="",L457=""),"",H457*L457)</f>
        <v/>
      </c>
      <c r="N457" s="34" t="str">
        <f aca="false">IF(OR(K457="",M457=""),"",K457-M457)</f>
        <v/>
      </c>
      <c r="O457" s="35" t="str">
        <f aca="false">IF(OR(N457="",K457=""),"",IF(K457=0,"",N457/K457))</f>
        <v/>
      </c>
      <c r="P457" s="25"/>
      <c r="Q457" s="25"/>
      <c r="R457" s="25"/>
      <c r="S457" s="36" t="str">
        <f aca="false">IF(A457="","",YEAR(A457)+IF(AND(FYStart&gt;1,MONTH(A457)&gt;=FYStart),1,0))</f>
        <v/>
      </c>
      <c r="T457" s="36" t="str">
        <f aca="false">IF(A457="","",MOD(MONTH(A457)-FYStart,12)+1)</f>
        <v/>
      </c>
      <c r="U457" s="37" t="str">
        <f aca="false">IF(A457="","",TEXT(A457,"mmm"))</f>
        <v/>
      </c>
      <c r="V457" s="37" t="str">
        <f aca="false">IF(Q457="","",IFERROR(INDEX(Settings!$I$11:$I$15,MATCH(Q457,Settings!$H$11:$H$15,0)),"No"))</f>
        <v/>
      </c>
      <c r="W457" s="37" t="str">
        <f aca="false">IF(Q457="","",IFERROR(INDEX(Settings!$J$11:$J$15,MATCH(Q457,Settings!$H$11:$H$15,0)),"No"))</f>
        <v/>
      </c>
    </row>
    <row r="458" customFormat="false" ht="15" hidden="false" customHeight="false" outlineLevel="0" collapsed="false">
      <c r="A458" s="30"/>
      <c r="B458" s="25"/>
      <c r="C458" s="25"/>
      <c r="D458" s="25"/>
      <c r="E458" s="25"/>
      <c r="F458" s="25"/>
      <c r="G458" s="25"/>
      <c r="H458" s="31"/>
      <c r="I458" s="32"/>
      <c r="J458" s="33"/>
      <c r="K458" s="34" t="str">
        <f aca="false">IF(OR(H458="",I458=""),"",H458*I458*(1-N(J458)))</f>
        <v/>
      </c>
      <c r="L458" s="32"/>
      <c r="M458" s="34" t="str">
        <f aca="false">IF(OR(H458="",L458=""),"",H458*L458)</f>
        <v/>
      </c>
      <c r="N458" s="34" t="str">
        <f aca="false">IF(OR(K458="",M458=""),"",K458-M458)</f>
        <v/>
      </c>
      <c r="O458" s="35" t="str">
        <f aca="false">IF(OR(N458="",K458=""),"",IF(K458=0,"",N458/K458))</f>
        <v/>
      </c>
      <c r="P458" s="25"/>
      <c r="Q458" s="25"/>
      <c r="R458" s="25"/>
      <c r="S458" s="36" t="str">
        <f aca="false">IF(A458="","",YEAR(A458)+IF(AND(FYStart&gt;1,MONTH(A458)&gt;=FYStart),1,0))</f>
        <v/>
      </c>
      <c r="T458" s="36" t="str">
        <f aca="false">IF(A458="","",MOD(MONTH(A458)-FYStart,12)+1)</f>
        <v/>
      </c>
      <c r="U458" s="37" t="str">
        <f aca="false">IF(A458="","",TEXT(A458,"mmm"))</f>
        <v/>
      </c>
      <c r="V458" s="37" t="str">
        <f aca="false">IF(Q458="","",IFERROR(INDEX(Settings!$I$11:$I$15,MATCH(Q458,Settings!$H$11:$H$15,0)),"No"))</f>
        <v/>
      </c>
      <c r="W458" s="37" t="str">
        <f aca="false">IF(Q458="","",IFERROR(INDEX(Settings!$J$11:$J$15,MATCH(Q458,Settings!$H$11:$H$15,0)),"No"))</f>
        <v/>
      </c>
    </row>
    <row r="459" customFormat="false" ht="15" hidden="false" customHeight="false" outlineLevel="0" collapsed="false">
      <c r="A459" s="30"/>
      <c r="B459" s="25"/>
      <c r="C459" s="25"/>
      <c r="D459" s="25"/>
      <c r="E459" s="25"/>
      <c r="F459" s="25"/>
      <c r="G459" s="25"/>
      <c r="H459" s="31"/>
      <c r="I459" s="32"/>
      <c r="J459" s="33"/>
      <c r="K459" s="34" t="str">
        <f aca="false">IF(OR(H459="",I459=""),"",H459*I459*(1-N(J459)))</f>
        <v/>
      </c>
      <c r="L459" s="32"/>
      <c r="M459" s="34" t="str">
        <f aca="false">IF(OR(H459="",L459=""),"",H459*L459)</f>
        <v/>
      </c>
      <c r="N459" s="34" t="str">
        <f aca="false">IF(OR(K459="",M459=""),"",K459-M459)</f>
        <v/>
      </c>
      <c r="O459" s="35" t="str">
        <f aca="false">IF(OR(N459="",K459=""),"",IF(K459=0,"",N459/K459))</f>
        <v/>
      </c>
      <c r="P459" s="25"/>
      <c r="Q459" s="25"/>
      <c r="R459" s="25"/>
      <c r="S459" s="36" t="str">
        <f aca="false">IF(A459="","",YEAR(A459)+IF(AND(FYStart&gt;1,MONTH(A459)&gt;=FYStart),1,0))</f>
        <v/>
      </c>
      <c r="T459" s="36" t="str">
        <f aca="false">IF(A459="","",MOD(MONTH(A459)-FYStart,12)+1)</f>
        <v/>
      </c>
      <c r="U459" s="37" t="str">
        <f aca="false">IF(A459="","",TEXT(A459,"mmm"))</f>
        <v/>
      </c>
      <c r="V459" s="37" t="str">
        <f aca="false">IF(Q459="","",IFERROR(INDEX(Settings!$I$11:$I$15,MATCH(Q459,Settings!$H$11:$H$15,0)),"No"))</f>
        <v/>
      </c>
      <c r="W459" s="37" t="str">
        <f aca="false">IF(Q459="","",IFERROR(INDEX(Settings!$J$11:$J$15,MATCH(Q459,Settings!$H$11:$H$15,0)),"No"))</f>
        <v/>
      </c>
    </row>
    <row r="460" customFormat="false" ht="15" hidden="false" customHeight="false" outlineLevel="0" collapsed="false">
      <c r="A460" s="30"/>
      <c r="B460" s="25"/>
      <c r="C460" s="25"/>
      <c r="D460" s="25"/>
      <c r="E460" s="25"/>
      <c r="F460" s="25"/>
      <c r="G460" s="25"/>
      <c r="H460" s="31"/>
      <c r="I460" s="32"/>
      <c r="J460" s="33"/>
      <c r="K460" s="34" t="str">
        <f aca="false">IF(OR(H460="",I460=""),"",H460*I460*(1-N(J460)))</f>
        <v/>
      </c>
      <c r="L460" s="32"/>
      <c r="M460" s="34" t="str">
        <f aca="false">IF(OR(H460="",L460=""),"",H460*L460)</f>
        <v/>
      </c>
      <c r="N460" s="34" t="str">
        <f aca="false">IF(OR(K460="",M460=""),"",K460-M460)</f>
        <v/>
      </c>
      <c r="O460" s="35" t="str">
        <f aca="false">IF(OR(N460="",K460=""),"",IF(K460=0,"",N460/K460))</f>
        <v/>
      </c>
      <c r="P460" s="25"/>
      <c r="Q460" s="25"/>
      <c r="R460" s="25"/>
      <c r="S460" s="36" t="str">
        <f aca="false">IF(A460="","",YEAR(A460)+IF(AND(FYStart&gt;1,MONTH(A460)&gt;=FYStart),1,0))</f>
        <v/>
      </c>
      <c r="T460" s="36" t="str">
        <f aca="false">IF(A460="","",MOD(MONTH(A460)-FYStart,12)+1)</f>
        <v/>
      </c>
      <c r="U460" s="37" t="str">
        <f aca="false">IF(A460="","",TEXT(A460,"mmm"))</f>
        <v/>
      </c>
      <c r="V460" s="37" t="str">
        <f aca="false">IF(Q460="","",IFERROR(INDEX(Settings!$I$11:$I$15,MATCH(Q460,Settings!$H$11:$H$15,0)),"No"))</f>
        <v/>
      </c>
      <c r="W460" s="37" t="str">
        <f aca="false">IF(Q460="","",IFERROR(INDEX(Settings!$J$11:$J$15,MATCH(Q460,Settings!$H$11:$H$15,0)),"No"))</f>
        <v/>
      </c>
    </row>
    <row r="461" customFormat="false" ht="15" hidden="false" customHeight="false" outlineLevel="0" collapsed="false">
      <c r="A461" s="30"/>
      <c r="B461" s="25"/>
      <c r="C461" s="25"/>
      <c r="D461" s="25"/>
      <c r="E461" s="25"/>
      <c r="F461" s="25"/>
      <c r="G461" s="25"/>
      <c r="H461" s="31"/>
      <c r="I461" s="32"/>
      <c r="J461" s="33"/>
      <c r="K461" s="34" t="str">
        <f aca="false">IF(OR(H461="",I461=""),"",H461*I461*(1-N(J461)))</f>
        <v/>
      </c>
      <c r="L461" s="32"/>
      <c r="M461" s="34" t="str">
        <f aca="false">IF(OR(H461="",L461=""),"",H461*L461)</f>
        <v/>
      </c>
      <c r="N461" s="34" t="str">
        <f aca="false">IF(OR(K461="",M461=""),"",K461-M461)</f>
        <v/>
      </c>
      <c r="O461" s="35" t="str">
        <f aca="false">IF(OR(N461="",K461=""),"",IF(K461=0,"",N461/K461))</f>
        <v/>
      </c>
      <c r="P461" s="25"/>
      <c r="Q461" s="25"/>
      <c r="R461" s="25"/>
      <c r="S461" s="36" t="str">
        <f aca="false">IF(A461="","",YEAR(A461)+IF(AND(FYStart&gt;1,MONTH(A461)&gt;=FYStart),1,0))</f>
        <v/>
      </c>
      <c r="T461" s="36" t="str">
        <f aca="false">IF(A461="","",MOD(MONTH(A461)-FYStart,12)+1)</f>
        <v/>
      </c>
      <c r="U461" s="37" t="str">
        <f aca="false">IF(A461="","",TEXT(A461,"mmm"))</f>
        <v/>
      </c>
      <c r="V461" s="37" t="str">
        <f aca="false">IF(Q461="","",IFERROR(INDEX(Settings!$I$11:$I$15,MATCH(Q461,Settings!$H$11:$H$15,0)),"No"))</f>
        <v/>
      </c>
      <c r="W461" s="37" t="str">
        <f aca="false">IF(Q461="","",IFERROR(INDEX(Settings!$J$11:$J$15,MATCH(Q461,Settings!$H$11:$H$15,0)),"No"))</f>
        <v/>
      </c>
    </row>
    <row r="462" customFormat="false" ht="15" hidden="false" customHeight="false" outlineLevel="0" collapsed="false">
      <c r="A462" s="30"/>
      <c r="B462" s="25"/>
      <c r="C462" s="25"/>
      <c r="D462" s="25"/>
      <c r="E462" s="25"/>
      <c r="F462" s="25"/>
      <c r="G462" s="25"/>
      <c r="H462" s="31"/>
      <c r="I462" s="32"/>
      <c r="J462" s="33"/>
      <c r="K462" s="34" t="str">
        <f aca="false">IF(OR(H462="",I462=""),"",H462*I462*(1-N(J462)))</f>
        <v/>
      </c>
      <c r="L462" s="32"/>
      <c r="M462" s="34" t="str">
        <f aca="false">IF(OR(H462="",L462=""),"",H462*L462)</f>
        <v/>
      </c>
      <c r="N462" s="34" t="str">
        <f aca="false">IF(OR(K462="",M462=""),"",K462-M462)</f>
        <v/>
      </c>
      <c r="O462" s="35" t="str">
        <f aca="false">IF(OR(N462="",K462=""),"",IF(K462=0,"",N462/K462))</f>
        <v/>
      </c>
      <c r="P462" s="25"/>
      <c r="Q462" s="25"/>
      <c r="R462" s="25"/>
      <c r="S462" s="36" t="str">
        <f aca="false">IF(A462="","",YEAR(A462)+IF(AND(FYStart&gt;1,MONTH(A462)&gt;=FYStart),1,0))</f>
        <v/>
      </c>
      <c r="T462" s="36" t="str">
        <f aca="false">IF(A462="","",MOD(MONTH(A462)-FYStart,12)+1)</f>
        <v/>
      </c>
      <c r="U462" s="37" t="str">
        <f aca="false">IF(A462="","",TEXT(A462,"mmm"))</f>
        <v/>
      </c>
      <c r="V462" s="37" t="str">
        <f aca="false">IF(Q462="","",IFERROR(INDEX(Settings!$I$11:$I$15,MATCH(Q462,Settings!$H$11:$H$15,0)),"No"))</f>
        <v/>
      </c>
      <c r="W462" s="37" t="str">
        <f aca="false">IF(Q462="","",IFERROR(INDEX(Settings!$J$11:$J$15,MATCH(Q462,Settings!$H$11:$H$15,0)),"No"))</f>
        <v/>
      </c>
    </row>
    <row r="463" customFormat="false" ht="15" hidden="false" customHeight="false" outlineLevel="0" collapsed="false">
      <c r="A463" s="30"/>
      <c r="B463" s="25"/>
      <c r="C463" s="25"/>
      <c r="D463" s="25"/>
      <c r="E463" s="25"/>
      <c r="F463" s="25"/>
      <c r="G463" s="25"/>
      <c r="H463" s="31"/>
      <c r="I463" s="32"/>
      <c r="J463" s="33"/>
      <c r="K463" s="34" t="str">
        <f aca="false">IF(OR(H463="",I463=""),"",H463*I463*(1-N(J463)))</f>
        <v/>
      </c>
      <c r="L463" s="32"/>
      <c r="M463" s="34" t="str">
        <f aca="false">IF(OR(H463="",L463=""),"",H463*L463)</f>
        <v/>
      </c>
      <c r="N463" s="34" t="str">
        <f aca="false">IF(OR(K463="",M463=""),"",K463-M463)</f>
        <v/>
      </c>
      <c r="O463" s="35" t="str">
        <f aca="false">IF(OR(N463="",K463=""),"",IF(K463=0,"",N463/K463))</f>
        <v/>
      </c>
      <c r="P463" s="25"/>
      <c r="Q463" s="25"/>
      <c r="R463" s="25"/>
      <c r="S463" s="36" t="str">
        <f aca="false">IF(A463="","",YEAR(A463)+IF(AND(FYStart&gt;1,MONTH(A463)&gt;=FYStart),1,0))</f>
        <v/>
      </c>
      <c r="T463" s="36" t="str">
        <f aca="false">IF(A463="","",MOD(MONTH(A463)-FYStart,12)+1)</f>
        <v/>
      </c>
      <c r="U463" s="37" t="str">
        <f aca="false">IF(A463="","",TEXT(A463,"mmm"))</f>
        <v/>
      </c>
      <c r="V463" s="37" t="str">
        <f aca="false">IF(Q463="","",IFERROR(INDEX(Settings!$I$11:$I$15,MATCH(Q463,Settings!$H$11:$H$15,0)),"No"))</f>
        <v/>
      </c>
      <c r="W463" s="37" t="str">
        <f aca="false">IF(Q463="","",IFERROR(INDEX(Settings!$J$11:$J$15,MATCH(Q463,Settings!$H$11:$H$15,0)),"No"))</f>
        <v/>
      </c>
    </row>
    <row r="464" customFormat="false" ht="15" hidden="false" customHeight="false" outlineLevel="0" collapsed="false">
      <c r="A464" s="30"/>
      <c r="B464" s="25"/>
      <c r="C464" s="25"/>
      <c r="D464" s="25"/>
      <c r="E464" s="25"/>
      <c r="F464" s="25"/>
      <c r="G464" s="25"/>
      <c r="H464" s="31"/>
      <c r="I464" s="32"/>
      <c r="J464" s="33"/>
      <c r="K464" s="34" t="str">
        <f aca="false">IF(OR(H464="",I464=""),"",H464*I464*(1-N(J464)))</f>
        <v/>
      </c>
      <c r="L464" s="32"/>
      <c r="M464" s="34" t="str">
        <f aca="false">IF(OR(H464="",L464=""),"",H464*L464)</f>
        <v/>
      </c>
      <c r="N464" s="34" t="str">
        <f aca="false">IF(OR(K464="",M464=""),"",K464-M464)</f>
        <v/>
      </c>
      <c r="O464" s="35" t="str">
        <f aca="false">IF(OR(N464="",K464=""),"",IF(K464=0,"",N464/K464))</f>
        <v/>
      </c>
      <c r="P464" s="25"/>
      <c r="Q464" s="25"/>
      <c r="R464" s="25"/>
      <c r="S464" s="36" t="str">
        <f aca="false">IF(A464="","",YEAR(A464)+IF(AND(FYStart&gt;1,MONTH(A464)&gt;=FYStart),1,0))</f>
        <v/>
      </c>
      <c r="T464" s="36" t="str">
        <f aca="false">IF(A464="","",MOD(MONTH(A464)-FYStart,12)+1)</f>
        <v/>
      </c>
      <c r="U464" s="37" t="str">
        <f aca="false">IF(A464="","",TEXT(A464,"mmm"))</f>
        <v/>
      </c>
      <c r="V464" s="37" t="str">
        <f aca="false">IF(Q464="","",IFERROR(INDEX(Settings!$I$11:$I$15,MATCH(Q464,Settings!$H$11:$H$15,0)),"No"))</f>
        <v/>
      </c>
      <c r="W464" s="37" t="str">
        <f aca="false">IF(Q464="","",IFERROR(INDEX(Settings!$J$11:$J$15,MATCH(Q464,Settings!$H$11:$H$15,0)),"No"))</f>
        <v/>
      </c>
    </row>
    <row r="465" customFormat="false" ht="15" hidden="false" customHeight="false" outlineLevel="0" collapsed="false">
      <c r="A465" s="30"/>
      <c r="B465" s="25"/>
      <c r="C465" s="25"/>
      <c r="D465" s="25"/>
      <c r="E465" s="25"/>
      <c r="F465" s="25"/>
      <c r="G465" s="25"/>
      <c r="H465" s="31"/>
      <c r="I465" s="32"/>
      <c r="J465" s="33"/>
      <c r="K465" s="34" t="str">
        <f aca="false">IF(OR(H465="",I465=""),"",H465*I465*(1-N(J465)))</f>
        <v/>
      </c>
      <c r="L465" s="32"/>
      <c r="M465" s="34" t="str">
        <f aca="false">IF(OR(H465="",L465=""),"",H465*L465)</f>
        <v/>
      </c>
      <c r="N465" s="34" t="str">
        <f aca="false">IF(OR(K465="",M465=""),"",K465-M465)</f>
        <v/>
      </c>
      <c r="O465" s="35" t="str">
        <f aca="false">IF(OR(N465="",K465=""),"",IF(K465=0,"",N465/K465))</f>
        <v/>
      </c>
      <c r="P465" s="25"/>
      <c r="Q465" s="25"/>
      <c r="R465" s="25"/>
      <c r="S465" s="36" t="str">
        <f aca="false">IF(A465="","",YEAR(A465)+IF(AND(FYStart&gt;1,MONTH(A465)&gt;=FYStart),1,0))</f>
        <v/>
      </c>
      <c r="T465" s="36" t="str">
        <f aca="false">IF(A465="","",MOD(MONTH(A465)-FYStart,12)+1)</f>
        <v/>
      </c>
      <c r="U465" s="37" t="str">
        <f aca="false">IF(A465="","",TEXT(A465,"mmm"))</f>
        <v/>
      </c>
      <c r="V465" s="37" t="str">
        <f aca="false">IF(Q465="","",IFERROR(INDEX(Settings!$I$11:$I$15,MATCH(Q465,Settings!$H$11:$H$15,0)),"No"))</f>
        <v/>
      </c>
      <c r="W465" s="37" t="str">
        <f aca="false">IF(Q465="","",IFERROR(INDEX(Settings!$J$11:$J$15,MATCH(Q465,Settings!$H$11:$H$15,0)),"No"))</f>
        <v/>
      </c>
    </row>
    <row r="466" customFormat="false" ht="15" hidden="false" customHeight="false" outlineLevel="0" collapsed="false">
      <c r="A466" s="30"/>
      <c r="B466" s="25"/>
      <c r="C466" s="25"/>
      <c r="D466" s="25"/>
      <c r="E466" s="25"/>
      <c r="F466" s="25"/>
      <c r="G466" s="25"/>
      <c r="H466" s="31"/>
      <c r="I466" s="32"/>
      <c r="J466" s="33"/>
      <c r="K466" s="34" t="str">
        <f aca="false">IF(OR(H466="",I466=""),"",H466*I466*(1-N(J466)))</f>
        <v/>
      </c>
      <c r="L466" s="32"/>
      <c r="M466" s="34" t="str">
        <f aca="false">IF(OR(H466="",L466=""),"",H466*L466)</f>
        <v/>
      </c>
      <c r="N466" s="34" t="str">
        <f aca="false">IF(OR(K466="",M466=""),"",K466-M466)</f>
        <v/>
      </c>
      <c r="O466" s="35" t="str">
        <f aca="false">IF(OR(N466="",K466=""),"",IF(K466=0,"",N466/K466))</f>
        <v/>
      </c>
      <c r="P466" s="25"/>
      <c r="Q466" s="25"/>
      <c r="R466" s="25"/>
      <c r="S466" s="36" t="str">
        <f aca="false">IF(A466="","",YEAR(A466)+IF(AND(FYStart&gt;1,MONTH(A466)&gt;=FYStart),1,0))</f>
        <v/>
      </c>
      <c r="T466" s="36" t="str">
        <f aca="false">IF(A466="","",MOD(MONTH(A466)-FYStart,12)+1)</f>
        <v/>
      </c>
      <c r="U466" s="37" t="str">
        <f aca="false">IF(A466="","",TEXT(A466,"mmm"))</f>
        <v/>
      </c>
      <c r="V466" s="37" t="str">
        <f aca="false">IF(Q466="","",IFERROR(INDEX(Settings!$I$11:$I$15,MATCH(Q466,Settings!$H$11:$H$15,0)),"No"))</f>
        <v/>
      </c>
      <c r="W466" s="37" t="str">
        <f aca="false">IF(Q466="","",IFERROR(INDEX(Settings!$J$11:$J$15,MATCH(Q466,Settings!$H$11:$H$15,0)),"No"))</f>
        <v/>
      </c>
    </row>
    <row r="467" customFormat="false" ht="15" hidden="false" customHeight="false" outlineLevel="0" collapsed="false">
      <c r="A467" s="30"/>
      <c r="B467" s="25"/>
      <c r="C467" s="25"/>
      <c r="D467" s="25"/>
      <c r="E467" s="25"/>
      <c r="F467" s="25"/>
      <c r="G467" s="25"/>
      <c r="H467" s="31"/>
      <c r="I467" s="32"/>
      <c r="J467" s="33"/>
      <c r="K467" s="34" t="str">
        <f aca="false">IF(OR(H467="",I467=""),"",H467*I467*(1-N(J467)))</f>
        <v/>
      </c>
      <c r="L467" s="32"/>
      <c r="M467" s="34" t="str">
        <f aca="false">IF(OR(H467="",L467=""),"",H467*L467)</f>
        <v/>
      </c>
      <c r="N467" s="34" t="str">
        <f aca="false">IF(OR(K467="",M467=""),"",K467-M467)</f>
        <v/>
      </c>
      <c r="O467" s="35" t="str">
        <f aca="false">IF(OR(N467="",K467=""),"",IF(K467=0,"",N467/K467))</f>
        <v/>
      </c>
      <c r="P467" s="25"/>
      <c r="Q467" s="25"/>
      <c r="R467" s="25"/>
      <c r="S467" s="36" t="str">
        <f aca="false">IF(A467="","",YEAR(A467)+IF(AND(FYStart&gt;1,MONTH(A467)&gt;=FYStart),1,0))</f>
        <v/>
      </c>
      <c r="T467" s="36" t="str">
        <f aca="false">IF(A467="","",MOD(MONTH(A467)-FYStart,12)+1)</f>
        <v/>
      </c>
      <c r="U467" s="37" t="str">
        <f aca="false">IF(A467="","",TEXT(A467,"mmm"))</f>
        <v/>
      </c>
      <c r="V467" s="37" t="str">
        <f aca="false">IF(Q467="","",IFERROR(INDEX(Settings!$I$11:$I$15,MATCH(Q467,Settings!$H$11:$H$15,0)),"No"))</f>
        <v/>
      </c>
      <c r="W467" s="37" t="str">
        <f aca="false">IF(Q467="","",IFERROR(INDEX(Settings!$J$11:$J$15,MATCH(Q467,Settings!$H$11:$H$15,0)),"No"))</f>
        <v/>
      </c>
    </row>
    <row r="468" customFormat="false" ht="15" hidden="false" customHeight="false" outlineLevel="0" collapsed="false">
      <c r="A468" s="30"/>
      <c r="B468" s="25"/>
      <c r="C468" s="25"/>
      <c r="D468" s="25"/>
      <c r="E468" s="25"/>
      <c r="F468" s="25"/>
      <c r="G468" s="25"/>
      <c r="H468" s="31"/>
      <c r="I468" s="32"/>
      <c r="J468" s="33"/>
      <c r="K468" s="34" t="str">
        <f aca="false">IF(OR(H468="",I468=""),"",H468*I468*(1-N(J468)))</f>
        <v/>
      </c>
      <c r="L468" s="32"/>
      <c r="M468" s="34" t="str">
        <f aca="false">IF(OR(H468="",L468=""),"",H468*L468)</f>
        <v/>
      </c>
      <c r="N468" s="34" t="str">
        <f aca="false">IF(OR(K468="",M468=""),"",K468-M468)</f>
        <v/>
      </c>
      <c r="O468" s="35" t="str">
        <f aca="false">IF(OR(N468="",K468=""),"",IF(K468=0,"",N468/K468))</f>
        <v/>
      </c>
      <c r="P468" s="25"/>
      <c r="Q468" s="25"/>
      <c r="R468" s="25"/>
      <c r="S468" s="36" t="str">
        <f aca="false">IF(A468="","",YEAR(A468)+IF(AND(FYStart&gt;1,MONTH(A468)&gt;=FYStart),1,0))</f>
        <v/>
      </c>
      <c r="T468" s="36" t="str">
        <f aca="false">IF(A468="","",MOD(MONTH(A468)-FYStart,12)+1)</f>
        <v/>
      </c>
      <c r="U468" s="37" t="str">
        <f aca="false">IF(A468="","",TEXT(A468,"mmm"))</f>
        <v/>
      </c>
      <c r="V468" s="37" t="str">
        <f aca="false">IF(Q468="","",IFERROR(INDEX(Settings!$I$11:$I$15,MATCH(Q468,Settings!$H$11:$H$15,0)),"No"))</f>
        <v/>
      </c>
      <c r="W468" s="37" t="str">
        <f aca="false">IF(Q468="","",IFERROR(INDEX(Settings!$J$11:$J$15,MATCH(Q468,Settings!$H$11:$H$15,0)),"No"))</f>
        <v/>
      </c>
    </row>
    <row r="469" customFormat="false" ht="15" hidden="false" customHeight="false" outlineLevel="0" collapsed="false">
      <c r="A469" s="30"/>
      <c r="B469" s="25"/>
      <c r="C469" s="25"/>
      <c r="D469" s="25"/>
      <c r="E469" s="25"/>
      <c r="F469" s="25"/>
      <c r="G469" s="25"/>
      <c r="H469" s="31"/>
      <c r="I469" s="32"/>
      <c r="J469" s="33"/>
      <c r="K469" s="34" t="str">
        <f aca="false">IF(OR(H469="",I469=""),"",H469*I469*(1-N(J469)))</f>
        <v/>
      </c>
      <c r="L469" s="32"/>
      <c r="M469" s="34" t="str">
        <f aca="false">IF(OR(H469="",L469=""),"",H469*L469)</f>
        <v/>
      </c>
      <c r="N469" s="34" t="str">
        <f aca="false">IF(OR(K469="",M469=""),"",K469-M469)</f>
        <v/>
      </c>
      <c r="O469" s="35" t="str">
        <f aca="false">IF(OR(N469="",K469=""),"",IF(K469=0,"",N469/K469))</f>
        <v/>
      </c>
      <c r="P469" s="25"/>
      <c r="Q469" s="25"/>
      <c r="R469" s="25"/>
      <c r="S469" s="36" t="str">
        <f aca="false">IF(A469="","",YEAR(A469)+IF(AND(FYStart&gt;1,MONTH(A469)&gt;=FYStart),1,0))</f>
        <v/>
      </c>
      <c r="T469" s="36" t="str">
        <f aca="false">IF(A469="","",MOD(MONTH(A469)-FYStart,12)+1)</f>
        <v/>
      </c>
      <c r="U469" s="37" t="str">
        <f aca="false">IF(A469="","",TEXT(A469,"mmm"))</f>
        <v/>
      </c>
      <c r="V469" s="37" t="str">
        <f aca="false">IF(Q469="","",IFERROR(INDEX(Settings!$I$11:$I$15,MATCH(Q469,Settings!$H$11:$H$15,0)),"No"))</f>
        <v/>
      </c>
      <c r="W469" s="37" t="str">
        <f aca="false">IF(Q469="","",IFERROR(INDEX(Settings!$J$11:$J$15,MATCH(Q469,Settings!$H$11:$H$15,0)),"No"))</f>
        <v/>
      </c>
    </row>
    <row r="470" customFormat="false" ht="15" hidden="false" customHeight="false" outlineLevel="0" collapsed="false">
      <c r="A470" s="30"/>
      <c r="B470" s="25"/>
      <c r="C470" s="25"/>
      <c r="D470" s="25"/>
      <c r="E470" s="25"/>
      <c r="F470" s="25"/>
      <c r="G470" s="25"/>
      <c r="H470" s="31"/>
      <c r="I470" s="32"/>
      <c r="J470" s="33"/>
      <c r="K470" s="34" t="str">
        <f aca="false">IF(OR(H470="",I470=""),"",H470*I470*(1-N(J470)))</f>
        <v/>
      </c>
      <c r="L470" s="32"/>
      <c r="M470" s="34" t="str">
        <f aca="false">IF(OR(H470="",L470=""),"",H470*L470)</f>
        <v/>
      </c>
      <c r="N470" s="34" t="str">
        <f aca="false">IF(OR(K470="",M470=""),"",K470-M470)</f>
        <v/>
      </c>
      <c r="O470" s="35" t="str">
        <f aca="false">IF(OR(N470="",K470=""),"",IF(K470=0,"",N470/K470))</f>
        <v/>
      </c>
      <c r="P470" s="25"/>
      <c r="Q470" s="25"/>
      <c r="R470" s="25"/>
      <c r="S470" s="36" t="str">
        <f aca="false">IF(A470="","",YEAR(A470)+IF(AND(FYStart&gt;1,MONTH(A470)&gt;=FYStart),1,0))</f>
        <v/>
      </c>
      <c r="T470" s="36" t="str">
        <f aca="false">IF(A470="","",MOD(MONTH(A470)-FYStart,12)+1)</f>
        <v/>
      </c>
      <c r="U470" s="37" t="str">
        <f aca="false">IF(A470="","",TEXT(A470,"mmm"))</f>
        <v/>
      </c>
      <c r="V470" s="37" t="str">
        <f aca="false">IF(Q470="","",IFERROR(INDEX(Settings!$I$11:$I$15,MATCH(Q470,Settings!$H$11:$H$15,0)),"No"))</f>
        <v/>
      </c>
      <c r="W470" s="37" t="str">
        <f aca="false">IF(Q470="","",IFERROR(INDEX(Settings!$J$11:$J$15,MATCH(Q470,Settings!$H$11:$H$15,0)),"No"))</f>
        <v/>
      </c>
    </row>
    <row r="471" customFormat="false" ht="15" hidden="false" customHeight="false" outlineLevel="0" collapsed="false">
      <c r="A471" s="30"/>
      <c r="B471" s="25"/>
      <c r="C471" s="25"/>
      <c r="D471" s="25"/>
      <c r="E471" s="25"/>
      <c r="F471" s="25"/>
      <c r="G471" s="25"/>
      <c r="H471" s="31"/>
      <c r="I471" s="32"/>
      <c r="J471" s="33"/>
      <c r="K471" s="34" t="str">
        <f aca="false">IF(OR(H471="",I471=""),"",H471*I471*(1-N(J471)))</f>
        <v/>
      </c>
      <c r="L471" s="32"/>
      <c r="M471" s="34" t="str">
        <f aca="false">IF(OR(H471="",L471=""),"",H471*L471)</f>
        <v/>
      </c>
      <c r="N471" s="34" t="str">
        <f aca="false">IF(OR(K471="",M471=""),"",K471-M471)</f>
        <v/>
      </c>
      <c r="O471" s="35" t="str">
        <f aca="false">IF(OR(N471="",K471=""),"",IF(K471=0,"",N471/K471))</f>
        <v/>
      </c>
      <c r="P471" s="25"/>
      <c r="Q471" s="25"/>
      <c r="R471" s="25"/>
      <c r="S471" s="36" t="str">
        <f aca="false">IF(A471="","",YEAR(A471)+IF(AND(FYStart&gt;1,MONTH(A471)&gt;=FYStart),1,0))</f>
        <v/>
      </c>
      <c r="T471" s="36" t="str">
        <f aca="false">IF(A471="","",MOD(MONTH(A471)-FYStart,12)+1)</f>
        <v/>
      </c>
      <c r="U471" s="37" t="str">
        <f aca="false">IF(A471="","",TEXT(A471,"mmm"))</f>
        <v/>
      </c>
      <c r="V471" s="37" t="str">
        <f aca="false">IF(Q471="","",IFERROR(INDEX(Settings!$I$11:$I$15,MATCH(Q471,Settings!$H$11:$H$15,0)),"No"))</f>
        <v/>
      </c>
      <c r="W471" s="37" t="str">
        <f aca="false">IF(Q471="","",IFERROR(INDEX(Settings!$J$11:$J$15,MATCH(Q471,Settings!$H$11:$H$15,0)),"No"))</f>
        <v/>
      </c>
    </row>
    <row r="472" customFormat="false" ht="15" hidden="false" customHeight="false" outlineLevel="0" collapsed="false">
      <c r="A472" s="30"/>
      <c r="B472" s="25"/>
      <c r="C472" s="25"/>
      <c r="D472" s="25"/>
      <c r="E472" s="25"/>
      <c r="F472" s="25"/>
      <c r="G472" s="25"/>
      <c r="H472" s="31"/>
      <c r="I472" s="32"/>
      <c r="J472" s="33"/>
      <c r="K472" s="34" t="str">
        <f aca="false">IF(OR(H472="",I472=""),"",H472*I472*(1-N(J472)))</f>
        <v/>
      </c>
      <c r="L472" s="32"/>
      <c r="M472" s="34" t="str">
        <f aca="false">IF(OR(H472="",L472=""),"",H472*L472)</f>
        <v/>
      </c>
      <c r="N472" s="34" t="str">
        <f aca="false">IF(OR(K472="",M472=""),"",K472-M472)</f>
        <v/>
      </c>
      <c r="O472" s="35" t="str">
        <f aca="false">IF(OR(N472="",K472=""),"",IF(K472=0,"",N472/K472))</f>
        <v/>
      </c>
      <c r="P472" s="25"/>
      <c r="Q472" s="25"/>
      <c r="R472" s="25"/>
      <c r="S472" s="36" t="str">
        <f aca="false">IF(A472="","",YEAR(A472)+IF(AND(FYStart&gt;1,MONTH(A472)&gt;=FYStart),1,0))</f>
        <v/>
      </c>
      <c r="T472" s="36" t="str">
        <f aca="false">IF(A472="","",MOD(MONTH(A472)-FYStart,12)+1)</f>
        <v/>
      </c>
      <c r="U472" s="37" t="str">
        <f aca="false">IF(A472="","",TEXT(A472,"mmm"))</f>
        <v/>
      </c>
      <c r="V472" s="37" t="str">
        <f aca="false">IF(Q472="","",IFERROR(INDEX(Settings!$I$11:$I$15,MATCH(Q472,Settings!$H$11:$H$15,0)),"No"))</f>
        <v/>
      </c>
      <c r="W472" s="37" t="str">
        <f aca="false">IF(Q472="","",IFERROR(INDEX(Settings!$J$11:$J$15,MATCH(Q472,Settings!$H$11:$H$15,0)),"No"))</f>
        <v/>
      </c>
    </row>
    <row r="473" customFormat="false" ht="15" hidden="false" customHeight="false" outlineLevel="0" collapsed="false">
      <c r="A473" s="30"/>
      <c r="B473" s="25"/>
      <c r="C473" s="25"/>
      <c r="D473" s="25"/>
      <c r="E473" s="25"/>
      <c r="F473" s="25"/>
      <c r="G473" s="25"/>
      <c r="H473" s="31"/>
      <c r="I473" s="32"/>
      <c r="J473" s="33"/>
      <c r="K473" s="34" t="str">
        <f aca="false">IF(OR(H473="",I473=""),"",H473*I473*(1-N(J473)))</f>
        <v/>
      </c>
      <c r="L473" s="32"/>
      <c r="M473" s="34" t="str">
        <f aca="false">IF(OR(H473="",L473=""),"",H473*L473)</f>
        <v/>
      </c>
      <c r="N473" s="34" t="str">
        <f aca="false">IF(OR(K473="",M473=""),"",K473-M473)</f>
        <v/>
      </c>
      <c r="O473" s="35" t="str">
        <f aca="false">IF(OR(N473="",K473=""),"",IF(K473=0,"",N473/K473))</f>
        <v/>
      </c>
      <c r="P473" s="25"/>
      <c r="Q473" s="25"/>
      <c r="R473" s="25"/>
      <c r="S473" s="36" t="str">
        <f aca="false">IF(A473="","",YEAR(A473)+IF(AND(FYStart&gt;1,MONTH(A473)&gt;=FYStart),1,0))</f>
        <v/>
      </c>
      <c r="T473" s="36" t="str">
        <f aca="false">IF(A473="","",MOD(MONTH(A473)-FYStart,12)+1)</f>
        <v/>
      </c>
      <c r="U473" s="37" t="str">
        <f aca="false">IF(A473="","",TEXT(A473,"mmm"))</f>
        <v/>
      </c>
      <c r="V473" s="37" t="str">
        <f aca="false">IF(Q473="","",IFERROR(INDEX(Settings!$I$11:$I$15,MATCH(Q473,Settings!$H$11:$H$15,0)),"No"))</f>
        <v/>
      </c>
      <c r="W473" s="37" t="str">
        <f aca="false">IF(Q473="","",IFERROR(INDEX(Settings!$J$11:$J$15,MATCH(Q473,Settings!$H$11:$H$15,0)),"No"))</f>
        <v/>
      </c>
    </row>
    <row r="474" customFormat="false" ht="15" hidden="false" customHeight="false" outlineLevel="0" collapsed="false">
      <c r="A474" s="30"/>
      <c r="B474" s="25"/>
      <c r="C474" s="25"/>
      <c r="D474" s="25"/>
      <c r="E474" s="25"/>
      <c r="F474" s="25"/>
      <c r="G474" s="25"/>
      <c r="H474" s="31"/>
      <c r="I474" s="32"/>
      <c r="J474" s="33"/>
      <c r="K474" s="34" t="str">
        <f aca="false">IF(OR(H474="",I474=""),"",H474*I474*(1-N(J474)))</f>
        <v/>
      </c>
      <c r="L474" s="32"/>
      <c r="M474" s="34" t="str">
        <f aca="false">IF(OR(H474="",L474=""),"",H474*L474)</f>
        <v/>
      </c>
      <c r="N474" s="34" t="str">
        <f aca="false">IF(OR(K474="",M474=""),"",K474-M474)</f>
        <v/>
      </c>
      <c r="O474" s="35" t="str">
        <f aca="false">IF(OR(N474="",K474=""),"",IF(K474=0,"",N474/K474))</f>
        <v/>
      </c>
      <c r="P474" s="25"/>
      <c r="Q474" s="25"/>
      <c r="R474" s="25"/>
      <c r="S474" s="36" t="str">
        <f aca="false">IF(A474="","",YEAR(A474)+IF(AND(FYStart&gt;1,MONTH(A474)&gt;=FYStart),1,0))</f>
        <v/>
      </c>
      <c r="T474" s="36" t="str">
        <f aca="false">IF(A474="","",MOD(MONTH(A474)-FYStart,12)+1)</f>
        <v/>
      </c>
      <c r="U474" s="37" t="str">
        <f aca="false">IF(A474="","",TEXT(A474,"mmm"))</f>
        <v/>
      </c>
      <c r="V474" s="37" t="str">
        <f aca="false">IF(Q474="","",IFERROR(INDEX(Settings!$I$11:$I$15,MATCH(Q474,Settings!$H$11:$H$15,0)),"No"))</f>
        <v/>
      </c>
      <c r="W474" s="37" t="str">
        <f aca="false">IF(Q474="","",IFERROR(INDEX(Settings!$J$11:$J$15,MATCH(Q474,Settings!$H$11:$H$15,0)),"No"))</f>
        <v/>
      </c>
    </row>
    <row r="475" customFormat="false" ht="15" hidden="false" customHeight="false" outlineLevel="0" collapsed="false">
      <c r="A475" s="30"/>
      <c r="B475" s="25"/>
      <c r="C475" s="25"/>
      <c r="D475" s="25"/>
      <c r="E475" s="25"/>
      <c r="F475" s="25"/>
      <c r="G475" s="25"/>
      <c r="H475" s="31"/>
      <c r="I475" s="32"/>
      <c r="J475" s="33"/>
      <c r="K475" s="34" t="str">
        <f aca="false">IF(OR(H475="",I475=""),"",H475*I475*(1-N(J475)))</f>
        <v/>
      </c>
      <c r="L475" s="32"/>
      <c r="M475" s="34" t="str">
        <f aca="false">IF(OR(H475="",L475=""),"",H475*L475)</f>
        <v/>
      </c>
      <c r="N475" s="34" t="str">
        <f aca="false">IF(OR(K475="",M475=""),"",K475-M475)</f>
        <v/>
      </c>
      <c r="O475" s="35" t="str">
        <f aca="false">IF(OR(N475="",K475=""),"",IF(K475=0,"",N475/K475))</f>
        <v/>
      </c>
      <c r="P475" s="25"/>
      <c r="Q475" s="25"/>
      <c r="R475" s="25"/>
      <c r="S475" s="36" t="str">
        <f aca="false">IF(A475="","",YEAR(A475)+IF(AND(FYStart&gt;1,MONTH(A475)&gt;=FYStart),1,0))</f>
        <v/>
      </c>
      <c r="T475" s="36" t="str">
        <f aca="false">IF(A475="","",MOD(MONTH(A475)-FYStart,12)+1)</f>
        <v/>
      </c>
      <c r="U475" s="37" t="str">
        <f aca="false">IF(A475="","",TEXT(A475,"mmm"))</f>
        <v/>
      </c>
      <c r="V475" s="37" t="str">
        <f aca="false">IF(Q475="","",IFERROR(INDEX(Settings!$I$11:$I$15,MATCH(Q475,Settings!$H$11:$H$15,0)),"No"))</f>
        <v/>
      </c>
      <c r="W475" s="37" t="str">
        <f aca="false">IF(Q475="","",IFERROR(INDEX(Settings!$J$11:$J$15,MATCH(Q475,Settings!$H$11:$H$15,0)),"No"))</f>
        <v/>
      </c>
    </row>
    <row r="476" customFormat="false" ht="15" hidden="false" customHeight="false" outlineLevel="0" collapsed="false">
      <c r="A476" s="30"/>
      <c r="B476" s="25"/>
      <c r="C476" s="25"/>
      <c r="D476" s="25"/>
      <c r="E476" s="25"/>
      <c r="F476" s="25"/>
      <c r="G476" s="25"/>
      <c r="H476" s="31"/>
      <c r="I476" s="32"/>
      <c r="J476" s="33"/>
      <c r="K476" s="34" t="str">
        <f aca="false">IF(OR(H476="",I476=""),"",H476*I476*(1-N(J476)))</f>
        <v/>
      </c>
      <c r="L476" s="32"/>
      <c r="M476" s="34" t="str">
        <f aca="false">IF(OR(H476="",L476=""),"",H476*L476)</f>
        <v/>
      </c>
      <c r="N476" s="34" t="str">
        <f aca="false">IF(OR(K476="",M476=""),"",K476-M476)</f>
        <v/>
      </c>
      <c r="O476" s="35" t="str">
        <f aca="false">IF(OR(N476="",K476=""),"",IF(K476=0,"",N476/K476))</f>
        <v/>
      </c>
      <c r="P476" s="25"/>
      <c r="Q476" s="25"/>
      <c r="R476" s="25"/>
      <c r="S476" s="36" t="str">
        <f aca="false">IF(A476="","",YEAR(A476)+IF(AND(FYStart&gt;1,MONTH(A476)&gt;=FYStart),1,0))</f>
        <v/>
      </c>
      <c r="T476" s="36" t="str">
        <f aca="false">IF(A476="","",MOD(MONTH(A476)-FYStart,12)+1)</f>
        <v/>
      </c>
      <c r="U476" s="37" t="str">
        <f aca="false">IF(A476="","",TEXT(A476,"mmm"))</f>
        <v/>
      </c>
      <c r="V476" s="37" t="str">
        <f aca="false">IF(Q476="","",IFERROR(INDEX(Settings!$I$11:$I$15,MATCH(Q476,Settings!$H$11:$H$15,0)),"No"))</f>
        <v/>
      </c>
      <c r="W476" s="37" t="str">
        <f aca="false">IF(Q476="","",IFERROR(INDEX(Settings!$J$11:$J$15,MATCH(Q476,Settings!$H$11:$H$15,0)),"No"))</f>
        <v/>
      </c>
    </row>
    <row r="477" customFormat="false" ht="15" hidden="false" customHeight="false" outlineLevel="0" collapsed="false">
      <c r="A477" s="30"/>
      <c r="B477" s="25"/>
      <c r="C477" s="25"/>
      <c r="D477" s="25"/>
      <c r="E477" s="25"/>
      <c r="F477" s="25"/>
      <c r="G477" s="25"/>
      <c r="H477" s="31"/>
      <c r="I477" s="32"/>
      <c r="J477" s="33"/>
      <c r="K477" s="34" t="str">
        <f aca="false">IF(OR(H477="",I477=""),"",H477*I477*(1-N(J477)))</f>
        <v/>
      </c>
      <c r="L477" s="32"/>
      <c r="M477" s="34" t="str">
        <f aca="false">IF(OR(H477="",L477=""),"",H477*L477)</f>
        <v/>
      </c>
      <c r="N477" s="34" t="str">
        <f aca="false">IF(OR(K477="",M477=""),"",K477-M477)</f>
        <v/>
      </c>
      <c r="O477" s="35" t="str">
        <f aca="false">IF(OR(N477="",K477=""),"",IF(K477=0,"",N477/K477))</f>
        <v/>
      </c>
      <c r="P477" s="25"/>
      <c r="Q477" s="25"/>
      <c r="R477" s="25"/>
      <c r="S477" s="36" t="str">
        <f aca="false">IF(A477="","",YEAR(A477)+IF(AND(FYStart&gt;1,MONTH(A477)&gt;=FYStart),1,0))</f>
        <v/>
      </c>
      <c r="T477" s="36" t="str">
        <f aca="false">IF(A477="","",MOD(MONTH(A477)-FYStart,12)+1)</f>
        <v/>
      </c>
      <c r="U477" s="37" t="str">
        <f aca="false">IF(A477="","",TEXT(A477,"mmm"))</f>
        <v/>
      </c>
      <c r="V477" s="37" t="str">
        <f aca="false">IF(Q477="","",IFERROR(INDEX(Settings!$I$11:$I$15,MATCH(Q477,Settings!$H$11:$H$15,0)),"No"))</f>
        <v/>
      </c>
      <c r="W477" s="37" t="str">
        <f aca="false">IF(Q477="","",IFERROR(INDEX(Settings!$J$11:$J$15,MATCH(Q477,Settings!$H$11:$H$15,0)),"No"))</f>
        <v/>
      </c>
    </row>
    <row r="478" customFormat="false" ht="15" hidden="false" customHeight="false" outlineLevel="0" collapsed="false">
      <c r="A478" s="30"/>
      <c r="B478" s="25"/>
      <c r="C478" s="25"/>
      <c r="D478" s="25"/>
      <c r="E478" s="25"/>
      <c r="F478" s="25"/>
      <c r="G478" s="25"/>
      <c r="H478" s="31"/>
      <c r="I478" s="32"/>
      <c r="J478" s="33"/>
      <c r="K478" s="34" t="str">
        <f aca="false">IF(OR(H478="",I478=""),"",H478*I478*(1-N(J478)))</f>
        <v/>
      </c>
      <c r="L478" s="32"/>
      <c r="M478" s="34" t="str">
        <f aca="false">IF(OR(H478="",L478=""),"",H478*L478)</f>
        <v/>
      </c>
      <c r="N478" s="34" t="str">
        <f aca="false">IF(OR(K478="",M478=""),"",K478-M478)</f>
        <v/>
      </c>
      <c r="O478" s="35" t="str">
        <f aca="false">IF(OR(N478="",K478=""),"",IF(K478=0,"",N478/K478))</f>
        <v/>
      </c>
      <c r="P478" s="25"/>
      <c r="Q478" s="25"/>
      <c r="R478" s="25"/>
      <c r="S478" s="36" t="str">
        <f aca="false">IF(A478="","",YEAR(A478)+IF(AND(FYStart&gt;1,MONTH(A478)&gt;=FYStart),1,0))</f>
        <v/>
      </c>
      <c r="T478" s="36" t="str">
        <f aca="false">IF(A478="","",MOD(MONTH(A478)-FYStart,12)+1)</f>
        <v/>
      </c>
      <c r="U478" s="37" t="str">
        <f aca="false">IF(A478="","",TEXT(A478,"mmm"))</f>
        <v/>
      </c>
      <c r="V478" s="37" t="str">
        <f aca="false">IF(Q478="","",IFERROR(INDEX(Settings!$I$11:$I$15,MATCH(Q478,Settings!$H$11:$H$15,0)),"No"))</f>
        <v/>
      </c>
      <c r="W478" s="37" t="str">
        <f aca="false">IF(Q478="","",IFERROR(INDEX(Settings!$J$11:$J$15,MATCH(Q478,Settings!$H$11:$H$15,0)),"No"))</f>
        <v/>
      </c>
    </row>
    <row r="479" customFormat="false" ht="15" hidden="false" customHeight="false" outlineLevel="0" collapsed="false">
      <c r="A479" s="30"/>
      <c r="B479" s="25"/>
      <c r="C479" s="25"/>
      <c r="D479" s="25"/>
      <c r="E479" s="25"/>
      <c r="F479" s="25"/>
      <c r="G479" s="25"/>
      <c r="H479" s="31"/>
      <c r="I479" s="32"/>
      <c r="J479" s="33"/>
      <c r="K479" s="34" t="str">
        <f aca="false">IF(OR(H479="",I479=""),"",H479*I479*(1-N(J479)))</f>
        <v/>
      </c>
      <c r="L479" s="32"/>
      <c r="M479" s="34" t="str">
        <f aca="false">IF(OR(H479="",L479=""),"",H479*L479)</f>
        <v/>
      </c>
      <c r="N479" s="34" t="str">
        <f aca="false">IF(OR(K479="",M479=""),"",K479-M479)</f>
        <v/>
      </c>
      <c r="O479" s="35" t="str">
        <f aca="false">IF(OR(N479="",K479=""),"",IF(K479=0,"",N479/K479))</f>
        <v/>
      </c>
      <c r="P479" s="25"/>
      <c r="Q479" s="25"/>
      <c r="R479" s="25"/>
      <c r="S479" s="36" t="str">
        <f aca="false">IF(A479="","",YEAR(A479)+IF(AND(FYStart&gt;1,MONTH(A479)&gt;=FYStart),1,0))</f>
        <v/>
      </c>
      <c r="T479" s="36" t="str">
        <f aca="false">IF(A479="","",MOD(MONTH(A479)-FYStart,12)+1)</f>
        <v/>
      </c>
      <c r="U479" s="37" t="str">
        <f aca="false">IF(A479="","",TEXT(A479,"mmm"))</f>
        <v/>
      </c>
      <c r="V479" s="37" t="str">
        <f aca="false">IF(Q479="","",IFERROR(INDEX(Settings!$I$11:$I$15,MATCH(Q479,Settings!$H$11:$H$15,0)),"No"))</f>
        <v/>
      </c>
      <c r="W479" s="37" t="str">
        <f aca="false">IF(Q479="","",IFERROR(INDEX(Settings!$J$11:$J$15,MATCH(Q479,Settings!$H$11:$H$15,0)),"No"))</f>
        <v/>
      </c>
    </row>
    <row r="480" customFormat="false" ht="15" hidden="false" customHeight="false" outlineLevel="0" collapsed="false">
      <c r="A480" s="30"/>
      <c r="B480" s="25"/>
      <c r="C480" s="25"/>
      <c r="D480" s="25"/>
      <c r="E480" s="25"/>
      <c r="F480" s="25"/>
      <c r="G480" s="25"/>
      <c r="H480" s="31"/>
      <c r="I480" s="32"/>
      <c r="J480" s="33"/>
      <c r="K480" s="34" t="str">
        <f aca="false">IF(OR(H480="",I480=""),"",H480*I480*(1-N(J480)))</f>
        <v/>
      </c>
      <c r="L480" s="32"/>
      <c r="M480" s="34" t="str">
        <f aca="false">IF(OR(H480="",L480=""),"",H480*L480)</f>
        <v/>
      </c>
      <c r="N480" s="34" t="str">
        <f aca="false">IF(OR(K480="",M480=""),"",K480-M480)</f>
        <v/>
      </c>
      <c r="O480" s="35" t="str">
        <f aca="false">IF(OR(N480="",K480=""),"",IF(K480=0,"",N480/K480))</f>
        <v/>
      </c>
      <c r="P480" s="25"/>
      <c r="Q480" s="25"/>
      <c r="R480" s="25"/>
      <c r="S480" s="36" t="str">
        <f aca="false">IF(A480="","",YEAR(A480)+IF(AND(FYStart&gt;1,MONTH(A480)&gt;=FYStart),1,0))</f>
        <v/>
      </c>
      <c r="T480" s="36" t="str">
        <f aca="false">IF(A480="","",MOD(MONTH(A480)-FYStart,12)+1)</f>
        <v/>
      </c>
      <c r="U480" s="37" t="str">
        <f aca="false">IF(A480="","",TEXT(A480,"mmm"))</f>
        <v/>
      </c>
      <c r="V480" s="37" t="str">
        <f aca="false">IF(Q480="","",IFERROR(INDEX(Settings!$I$11:$I$15,MATCH(Q480,Settings!$H$11:$H$15,0)),"No"))</f>
        <v/>
      </c>
      <c r="W480" s="37" t="str">
        <f aca="false">IF(Q480="","",IFERROR(INDEX(Settings!$J$11:$J$15,MATCH(Q480,Settings!$H$11:$H$15,0)),"No"))</f>
        <v/>
      </c>
    </row>
    <row r="481" customFormat="false" ht="15" hidden="false" customHeight="false" outlineLevel="0" collapsed="false">
      <c r="A481" s="30"/>
      <c r="B481" s="25"/>
      <c r="C481" s="25"/>
      <c r="D481" s="25"/>
      <c r="E481" s="25"/>
      <c r="F481" s="25"/>
      <c r="G481" s="25"/>
      <c r="H481" s="31"/>
      <c r="I481" s="32"/>
      <c r="J481" s="33"/>
      <c r="K481" s="34" t="str">
        <f aca="false">IF(OR(H481="",I481=""),"",H481*I481*(1-N(J481)))</f>
        <v/>
      </c>
      <c r="L481" s="32"/>
      <c r="M481" s="34" t="str">
        <f aca="false">IF(OR(H481="",L481=""),"",H481*L481)</f>
        <v/>
      </c>
      <c r="N481" s="34" t="str">
        <f aca="false">IF(OR(K481="",M481=""),"",K481-M481)</f>
        <v/>
      </c>
      <c r="O481" s="35" t="str">
        <f aca="false">IF(OR(N481="",K481=""),"",IF(K481=0,"",N481/K481))</f>
        <v/>
      </c>
      <c r="P481" s="25"/>
      <c r="Q481" s="25"/>
      <c r="R481" s="25"/>
      <c r="S481" s="36" t="str">
        <f aca="false">IF(A481="","",YEAR(A481)+IF(AND(FYStart&gt;1,MONTH(A481)&gt;=FYStart),1,0))</f>
        <v/>
      </c>
      <c r="T481" s="36" t="str">
        <f aca="false">IF(A481="","",MOD(MONTH(A481)-FYStart,12)+1)</f>
        <v/>
      </c>
      <c r="U481" s="37" t="str">
        <f aca="false">IF(A481="","",TEXT(A481,"mmm"))</f>
        <v/>
      </c>
      <c r="V481" s="37" t="str">
        <f aca="false">IF(Q481="","",IFERROR(INDEX(Settings!$I$11:$I$15,MATCH(Q481,Settings!$H$11:$H$15,0)),"No"))</f>
        <v/>
      </c>
      <c r="W481" s="37" t="str">
        <f aca="false">IF(Q481="","",IFERROR(INDEX(Settings!$J$11:$J$15,MATCH(Q481,Settings!$H$11:$H$15,0)),"No"))</f>
        <v/>
      </c>
    </row>
    <row r="482" customFormat="false" ht="15" hidden="false" customHeight="false" outlineLevel="0" collapsed="false">
      <c r="A482" s="30"/>
      <c r="B482" s="25"/>
      <c r="C482" s="25"/>
      <c r="D482" s="25"/>
      <c r="E482" s="25"/>
      <c r="F482" s="25"/>
      <c r="G482" s="25"/>
      <c r="H482" s="31"/>
      <c r="I482" s="32"/>
      <c r="J482" s="33"/>
      <c r="K482" s="34" t="str">
        <f aca="false">IF(OR(H482="",I482=""),"",H482*I482*(1-N(J482)))</f>
        <v/>
      </c>
      <c r="L482" s="32"/>
      <c r="M482" s="34" t="str">
        <f aca="false">IF(OR(H482="",L482=""),"",H482*L482)</f>
        <v/>
      </c>
      <c r="N482" s="34" t="str">
        <f aca="false">IF(OR(K482="",M482=""),"",K482-M482)</f>
        <v/>
      </c>
      <c r="O482" s="35" t="str">
        <f aca="false">IF(OR(N482="",K482=""),"",IF(K482=0,"",N482/K482))</f>
        <v/>
      </c>
      <c r="P482" s="25"/>
      <c r="Q482" s="25"/>
      <c r="R482" s="25"/>
      <c r="S482" s="36" t="str">
        <f aca="false">IF(A482="","",YEAR(A482)+IF(AND(FYStart&gt;1,MONTH(A482)&gt;=FYStart),1,0))</f>
        <v/>
      </c>
      <c r="T482" s="36" t="str">
        <f aca="false">IF(A482="","",MOD(MONTH(A482)-FYStart,12)+1)</f>
        <v/>
      </c>
      <c r="U482" s="37" t="str">
        <f aca="false">IF(A482="","",TEXT(A482,"mmm"))</f>
        <v/>
      </c>
      <c r="V482" s="37" t="str">
        <f aca="false">IF(Q482="","",IFERROR(INDEX(Settings!$I$11:$I$15,MATCH(Q482,Settings!$H$11:$H$15,0)),"No"))</f>
        <v/>
      </c>
      <c r="W482" s="37" t="str">
        <f aca="false">IF(Q482="","",IFERROR(INDEX(Settings!$J$11:$J$15,MATCH(Q482,Settings!$H$11:$H$15,0)),"No"))</f>
        <v/>
      </c>
    </row>
    <row r="483" customFormat="false" ht="15" hidden="false" customHeight="false" outlineLevel="0" collapsed="false">
      <c r="A483" s="30"/>
      <c r="B483" s="25"/>
      <c r="C483" s="25"/>
      <c r="D483" s="25"/>
      <c r="E483" s="25"/>
      <c r="F483" s="25"/>
      <c r="G483" s="25"/>
      <c r="H483" s="31"/>
      <c r="I483" s="32"/>
      <c r="J483" s="33"/>
      <c r="K483" s="34" t="str">
        <f aca="false">IF(OR(H483="",I483=""),"",H483*I483*(1-N(J483)))</f>
        <v/>
      </c>
      <c r="L483" s="32"/>
      <c r="M483" s="34" t="str">
        <f aca="false">IF(OR(H483="",L483=""),"",H483*L483)</f>
        <v/>
      </c>
      <c r="N483" s="34" t="str">
        <f aca="false">IF(OR(K483="",M483=""),"",K483-M483)</f>
        <v/>
      </c>
      <c r="O483" s="35" t="str">
        <f aca="false">IF(OR(N483="",K483=""),"",IF(K483=0,"",N483/K483))</f>
        <v/>
      </c>
      <c r="P483" s="25"/>
      <c r="Q483" s="25"/>
      <c r="R483" s="25"/>
      <c r="S483" s="36" t="str">
        <f aca="false">IF(A483="","",YEAR(A483)+IF(AND(FYStart&gt;1,MONTH(A483)&gt;=FYStart),1,0))</f>
        <v/>
      </c>
      <c r="T483" s="36" t="str">
        <f aca="false">IF(A483="","",MOD(MONTH(A483)-FYStart,12)+1)</f>
        <v/>
      </c>
      <c r="U483" s="37" t="str">
        <f aca="false">IF(A483="","",TEXT(A483,"mmm"))</f>
        <v/>
      </c>
      <c r="V483" s="37" t="str">
        <f aca="false">IF(Q483="","",IFERROR(INDEX(Settings!$I$11:$I$15,MATCH(Q483,Settings!$H$11:$H$15,0)),"No"))</f>
        <v/>
      </c>
      <c r="W483" s="37" t="str">
        <f aca="false">IF(Q483="","",IFERROR(INDEX(Settings!$J$11:$J$15,MATCH(Q483,Settings!$H$11:$H$15,0)),"No"))</f>
        <v/>
      </c>
    </row>
    <row r="484" customFormat="false" ht="15" hidden="false" customHeight="false" outlineLevel="0" collapsed="false">
      <c r="A484" s="30"/>
      <c r="B484" s="25"/>
      <c r="C484" s="25"/>
      <c r="D484" s="25"/>
      <c r="E484" s="25"/>
      <c r="F484" s="25"/>
      <c r="G484" s="25"/>
      <c r="H484" s="31"/>
      <c r="I484" s="32"/>
      <c r="J484" s="33"/>
      <c r="K484" s="34" t="str">
        <f aca="false">IF(OR(H484="",I484=""),"",H484*I484*(1-N(J484)))</f>
        <v/>
      </c>
      <c r="L484" s="32"/>
      <c r="M484" s="34" t="str">
        <f aca="false">IF(OR(H484="",L484=""),"",H484*L484)</f>
        <v/>
      </c>
      <c r="N484" s="34" t="str">
        <f aca="false">IF(OR(K484="",M484=""),"",K484-M484)</f>
        <v/>
      </c>
      <c r="O484" s="35" t="str">
        <f aca="false">IF(OR(N484="",K484=""),"",IF(K484=0,"",N484/K484))</f>
        <v/>
      </c>
      <c r="P484" s="25"/>
      <c r="Q484" s="25"/>
      <c r="R484" s="25"/>
      <c r="S484" s="36" t="str">
        <f aca="false">IF(A484="","",YEAR(A484)+IF(AND(FYStart&gt;1,MONTH(A484)&gt;=FYStart),1,0))</f>
        <v/>
      </c>
      <c r="T484" s="36" t="str">
        <f aca="false">IF(A484="","",MOD(MONTH(A484)-FYStart,12)+1)</f>
        <v/>
      </c>
      <c r="U484" s="37" t="str">
        <f aca="false">IF(A484="","",TEXT(A484,"mmm"))</f>
        <v/>
      </c>
      <c r="V484" s="37" t="str">
        <f aca="false">IF(Q484="","",IFERROR(INDEX(Settings!$I$11:$I$15,MATCH(Q484,Settings!$H$11:$H$15,0)),"No"))</f>
        <v/>
      </c>
      <c r="W484" s="37" t="str">
        <f aca="false">IF(Q484="","",IFERROR(INDEX(Settings!$J$11:$J$15,MATCH(Q484,Settings!$H$11:$H$15,0)),"No"))</f>
        <v/>
      </c>
    </row>
    <row r="485" customFormat="false" ht="15" hidden="false" customHeight="false" outlineLevel="0" collapsed="false">
      <c r="A485" s="30"/>
      <c r="B485" s="25"/>
      <c r="C485" s="25"/>
      <c r="D485" s="25"/>
      <c r="E485" s="25"/>
      <c r="F485" s="25"/>
      <c r="G485" s="25"/>
      <c r="H485" s="31"/>
      <c r="I485" s="32"/>
      <c r="J485" s="33"/>
      <c r="K485" s="34" t="str">
        <f aca="false">IF(OR(H485="",I485=""),"",H485*I485*(1-N(J485)))</f>
        <v/>
      </c>
      <c r="L485" s="32"/>
      <c r="M485" s="34" t="str">
        <f aca="false">IF(OR(H485="",L485=""),"",H485*L485)</f>
        <v/>
      </c>
      <c r="N485" s="34" t="str">
        <f aca="false">IF(OR(K485="",M485=""),"",K485-M485)</f>
        <v/>
      </c>
      <c r="O485" s="35" t="str">
        <f aca="false">IF(OR(N485="",K485=""),"",IF(K485=0,"",N485/K485))</f>
        <v/>
      </c>
      <c r="P485" s="25"/>
      <c r="Q485" s="25"/>
      <c r="R485" s="25"/>
      <c r="S485" s="36" t="str">
        <f aca="false">IF(A485="","",YEAR(A485)+IF(AND(FYStart&gt;1,MONTH(A485)&gt;=FYStart),1,0))</f>
        <v/>
      </c>
      <c r="T485" s="36" t="str">
        <f aca="false">IF(A485="","",MOD(MONTH(A485)-FYStart,12)+1)</f>
        <v/>
      </c>
      <c r="U485" s="37" t="str">
        <f aca="false">IF(A485="","",TEXT(A485,"mmm"))</f>
        <v/>
      </c>
      <c r="V485" s="37" t="str">
        <f aca="false">IF(Q485="","",IFERROR(INDEX(Settings!$I$11:$I$15,MATCH(Q485,Settings!$H$11:$H$15,0)),"No"))</f>
        <v/>
      </c>
      <c r="W485" s="37" t="str">
        <f aca="false">IF(Q485="","",IFERROR(INDEX(Settings!$J$11:$J$15,MATCH(Q485,Settings!$H$11:$H$15,0)),"No"))</f>
        <v/>
      </c>
    </row>
    <row r="486" customFormat="false" ht="15" hidden="false" customHeight="false" outlineLevel="0" collapsed="false">
      <c r="A486" s="30"/>
      <c r="B486" s="25"/>
      <c r="C486" s="25"/>
      <c r="D486" s="25"/>
      <c r="E486" s="25"/>
      <c r="F486" s="25"/>
      <c r="G486" s="25"/>
      <c r="H486" s="31"/>
      <c r="I486" s="32"/>
      <c r="J486" s="33"/>
      <c r="K486" s="34" t="str">
        <f aca="false">IF(OR(H486="",I486=""),"",H486*I486*(1-N(J486)))</f>
        <v/>
      </c>
      <c r="L486" s="32"/>
      <c r="M486" s="34" t="str">
        <f aca="false">IF(OR(H486="",L486=""),"",H486*L486)</f>
        <v/>
      </c>
      <c r="N486" s="34" t="str">
        <f aca="false">IF(OR(K486="",M486=""),"",K486-M486)</f>
        <v/>
      </c>
      <c r="O486" s="35" t="str">
        <f aca="false">IF(OR(N486="",K486=""),"",IF(K486=0,"",N486/K486))</f>
        <v/>
      </c>
      <c r="P486" s="25"/>
      <c r="Q486" s="25"/>
      <c r="R486" s="25"/>
      <c r="S486" s="36" t="str">
        <f aca="false">IF(A486="","",YEAR(A486)+IF(AND(FYStart&gt;1,MONTH(A486)&gt;=FYStart),1,0))</f>
        <v/>
      </c>
      <c r="T486" s="36" t="str">
        <f aca="false">IF(A486="","",MOD(MONTH(A486)-FYStart,12)+1)</f>
        <v/>
      </c>
      <c r="U486" s="37" t="str">
        <f aca="false">IF(A486="","",TEXT(A486,"mmm"))</f>
        <v/>
      </c>
      <c r="V486" s="37" t="str">
        <f aca="false">IF(Q486="","",IFERROR(INDEX(Settings!$I$11:$I$15,MATCH(Q486,Settings!$H$11:$H$15,0)),"No"))</f>
        <v/>
      </c>
      <c r="W486" s="37" t="str">
        <f aca="false">IF(Q486="","",IFERROR(INDEX(Settings!$J$11:$J$15,MATCH(Q486,Settings!$H$11:$H$15,0)),"No"))</f>
        <v/>
      </c>
    </row>
    <row r="487" customFormat="false" ht="15" hidden="false" customHeight="false" outlineLevel="0" collapsed="false">
      <c r="A487" s="30"/>
      <c r="B487" s="25"/>
      <c r="C487" s="25"/>
      <c r="D487" s="25"/>
      <c r="E487" s="25"/>
      <c r="F487" s="25"/>
      <c r="G487" s="25"/>
      <c r="H487" s="31"/>
      <c r="I487" s="32"/>
      <c r="J487" s="33"/>
      <c r="K487" s="34" t="str">
        <f aca="false">IF(OR(H487="",I487=""),"",H487*I487*(1-N(J487)))</f>
        <v/>
      </c>
      <c r="L487" s="32"/>
      <c r="M487" s="34" t="str">
        <f aca="false">IF(OR(H487="",L487=""),"",H487*L487)</f>
        <v/>
      </c>
      <c r="N487" s="34" t="str">
        <f aca="false">IF(OR(K487="",M487=""),"",K487-M487)</f>
        <v/>
      </c>
      <c r="O487" s="35" t="str">
        <f aca="false">IF(OR(N487="",K487=""),"",IF(K487=0,"",N487/K487))</f>
        <v/>
      </c>
      <c r="P487" s="25"/>
      <c r="Q487" s="25"/>
      <c r="R487" s="25"/>
      <c r="S487" s="36" t="str">
        <f aca="false">IF(A487="","",YEAR(A487)+IF(AND(FYStart&gt;1,MONTH(A487)&gt;=FYStart),1,0))</f>
        <v/>
      </c>
      <c r="T487" s="36" t="str">
        <f aca="false">IF(A487="","",MOD(MONTH(A487)-FYStart,12)+1)</f>
        <v/>
      </c>
      <c r="U487" s="37" t="str">
        <f aca="false">IF(A487="","",TEXT(A487,"mmm"))</f>
        <v/>
      </c>
      <c r="V487" s="37" t="str">
        <f aca="false">IF(Q487="","",IFERROR(INDEX(Settings!$I$11:$I$15,MATCH(Q487,Settings!$H$11:$H$15,0)),"No"))</f>
        <v/>
      </c>
      <c r="W487" s="37" t="str">
        <f aca="false">IF(Q487="","",IFERROR(INDEX(Settings!$J$11:$J$15,MATCH(Q487,Settings!$H$11:$H$15,0)),"No"))</f>
        <v/>
      </c>
    </row>
    <row r="488" customFormat="false" ht="15" hidden="false" customHeight="false" outlineLevel="0" collapsed="false">
      <c r="A488" s="30"/>
      <c r="B488" s="25"/>
      <c r="C488" s="25"/>
      <c r="D488" s="25"/>
      <c r="E488" s="25"/>
      <c r="F488" s="25"/>
      <c r="G488" s="25"/>
      <c r="H488" s="31"/>
      <c r="I488" s="32"/>
      <c r="J488" s="33"/>
      <c r="K488" s="34" t="str">
        <f aca="false">IF(OR(H488="",I488=""),"",H488*I488*(1-N(J488)))</f>
        <v/>
      </c>
      <c r="L488" s="32"/>
      <c r="M488" s="34" t="str">
        <f aca="false">IF(OR(H488="",L488=""),"",H488*L488)</f>
        <v/>
      </c>
      <c r="N488" s="34" t="str">
        <f aca="false">IF(OR(K488="",M488=""),"",K488-M488)</f>
        <v/>
      </c>
      <c r="O488" s="35" t="str">
        <f aca="false">IF(OR(N488="",K488=""),"",IF(K488=0,"",N488/K488))</f>
        <v/>
      </c>
      <c r="P488" s="25"/>
      <c r="Q488" s="25"/>
      <c r="R488" s="25"/>
      <c r="S488" s="36" t="str">
        <f aca="false">IF(A488="","",YEAR(A488)+IF(AND(FYStart&gt;1,MONTH(A488)&gt;=FYStart),1,0))</f>
        <v/>
      </c>
      <c r="T488" s="36" t="str">
        <f aca="false">IF(A488="","",MOD(MONTH(A488)-FYStart,12)+1)</f>
        <v/>
      </c>
      <c r="U488" s="37" t="str">
        <f aca="false">IF(A488="","",TEXT(A488,"mmm"))</f>
        <v/>
      </c>
      <c r="V488" s="37" t="str">
        <f aca="false">IF(Q488="","",IFERROR(INDEX(Settings!$I$11:$I$15,MATCH(Q488,Settings!$H$11:$H$15,0)),"No"))</f>
        <v/>
      </c>
      <c r="W488" s="37" t="str">
        <f aca="false">IF(Q488="","",IFERROR(INDEX(Settings!$J$11:$J$15,MATCH(Q488,Settings!$H$11:$H$15,0)),"No"))</f>
        <v/>
      </c>
    </row>
    <row r="489" customFormat="false" ht="15" hidden="false" customHeight="false" outlineLevel="0" collapsed="false">
      <c r="A489" s="30"/>
      <c r="B489" s="25"/>
      <c r="C489" s="25"/>
      <c r="D489" s="25"/>
      <c r="E489" s="25"/>
      <c r="F489" s="25"/>
      <c r="G489" s="25"/>
      <c r="H489" s="31"/>
      <c r="I489" s="32"/>
      <c r="J489" s="33"/>
      <c r="K489" s="34" t="str">
        <f aca="false">IF(OR(H489="",I489=""),"",H489*I489*(1-N(J489)))</f>
        <v/>
      </c>
      <c r="L489" s="32"/>
      <c r="M489" s="34" t="str">
        <f aca="false">IF(OR(H489="",L489=""),"",H489*L489)</f>
        <v/>
      </c>
      <c r="N489" s="34" t="str">
        <f aca="false">IF(OR(K489="",M489=""),"",K489-M489)</f>
        <v/>
      </c>
      <c r="O489" s="35" t="str">
        <f aca="false">IF(OR(N489="",K489=""),"",IF(K489=0,"",N489/K489))</f>
        <v/>
      </c>
      <c r="P489" s="25"/>
      <c r="Q489" s="25"/>
      <c r="R489" s="25"/>
      <c r="S489" s="36" t="str">
        <f aca="false">IF(A489="","",YEAR(A489)+IF(AND(FYStart&gt;1,MONTH(A489)&gt;=FYStart),1,0))</f>
        <v/>
      </c>
      <c r="T489" s="36" t="str">
        <f aca="false">IF(A489="","",MOD(MONTH(A489)-FYStart,12)+1)</f>
        <v/>
      </c>
      <c r="U489" s="37" t="str">
        <f aca="false">IF(A489="","",TEXT(A489,"mmm"))</f>
        <v/>
      </c>
      <c r="V489" s="37" t="str">
        <f aca="false">IF(Q489="","",IFERROR(INDEX(Settings!$I$11:$I$15,MATCH(Q489,Settings!$H$11:$H$15,0)),"No"))</f>
        <v/>
      </c>
      <c r="W489" s="37" t="str">
        <f aca="false">IF(Q489="","",IFERROR(INDEX(Settings!$J$11:$J$15,MATCH(Q489,Settings!$H$11:$H$15,0)),"No"))</f>
        <v/>
      </c>
    </row>
    <row r="490" customFormat="false" ht="15" hidden="false" customHeight="false" outlineLevel="0" collapsed="false">
      <c r="A490" s="30"/>
      <c r="B490" s="25"/>
      <c r="C490" s="25"/>
      <c r="D490" s="25"/>
      <c r="E490" s="25"/>
      <c r="F490" s="25"/>
      <c r="G490" s="25"/>
      <c r="H490" s="31"/>
      <c r="I490" s="32"/>
      <c r="J490" s="33"/>
      <c r="K490" s="34" t="str">
        <f aca="false">IF(OR(H490="",I490=""),"",H490*I490*(1-N(J490)))</f>
        <v/>
      </c>
      <c r="L490" s="32"/>
      <c r="M490" s="34" t="str">
        <f aca="false">IF(OR(H490="",L490=""),"",H490*L490)</f>
        <v/>
      </c>
      <c r="N490" s="34" t="str">
        <f aca="false">IF(OR(K490="",M490=""),"",K490-M490)</f>
        <v/>
      </c>
      <c r="O490" s="35" t="str">
        <f aca="false">IF(OR(N490="",K490=""),"",IF(K490=0,"",N490/K490))</f>
        <v/>
      </c>
      <c r="P490" s="25"/>
      <c r="Q490" s="25"/>
      <c r="R490" s="25"/>
      <c r="S490" s="36" t="str">
        <f aca="false">IF(A490="","",YEAR(A490)+IF(AND(FYStart&gt;1,MONTH(A490)&gt;=FYStart),1,0))</f>
        <v/>
      </c>
      <c r="T490" s="36" t="str">
        <f aca="false">IF(A490="","",MOD(MONTH(A490)-FYStart,12)+1)</f>
        <v/>
      </c>
      <c r="U490" s="37" t="str">
        <f aca="false">IF(A490="","",TEXT(A490,"mmm"))</f>
        <v/>
      </c>
      <c r="V490" s="37" t="str">
        <f aca="false">IF(Q490="","",IFERROR(INDEX(Settings!$I$11:$I$15,MATCH(Q490,Settings!$H$11:$H$15,0)),"No"))</f>
        <v/>
      </c>
      <c r="W490" s="37" t="str">
        <f aca="false">IF(Q490="","",IFERROR(INDEX(Settings!$J$11:$J$15,MATCH(Q490,Settings!$H$11:$H$15,0)),"No"))</f>
        <v/>
      </c>
    </row>
    <row r="491" customFormat="false" ht="15" hidden="false" customHeight="false" outlineLevel="0" collapsed="false">
      <c r="A491" s="30"/>
      <c r="B491" s="25"/>
      <c r="C491" s="25"/>
      <c r="D491" s="25"/>
      <c r="E491" s="25"/>
      <c r="F491" s="25"/>
      <c r="G491" s="25"/>
      <c r="H491" s="31"/>
      <c r="I491" s="32"/>
      <c r="J491" s="33"/>
      <c r="K491" s="34" t="str">
        <f aca="false">IF(OR(H491="",I491=""),"",H491*I491*(1-N(J491)))</f>
        <v/>
      </c>
      <c r="L491" s="32"/>
      <c r="M491" s="34" t="str">
        <f aca="false">IF(OR(H491="",L491=""),"",H491*L491)</f>
        <v/>
      </c>
      <c r="N491" s="34" t="str">
        <f aca="false">IF(OR(K491="",M491=""),"",K491-M491)</f>
        <v/>
      </c>
      <c r="O491" s="35" t="str">
        <f aca="false">IF(OR(N491="",K491=""),"",IF(K491=0,"",N491/K491))</f>
        <v/>
      </c>
      <c r="P491" s="25"/>
      <c r="Q491" s="25"/>
      <c r="R491" s="25"/>
      <c r="S491" s="36" t="str">
        <f aca="false">IF(A491="","",YEAR(A491)+IF(AND(FYStart&gt;1,MONTH(A491)&gt;=FYStart),1,0))</f>
        <v/>
      </c>
      <c r="T491" s="36" t="str">
        <f aca="false">IF(A491="","",MOD(MONTH(A491)-FYStart,12)+1)</f>
        <v/>
      </c>
      <c r="U491" s="37" t="str">
        <f aca="false">IF(A491="","",TEXT(A491,"mmm"))</f>
        <v/>
      </c>
      <c r="V491" s="37" t="str">
        <f aca="false">IF(Q491="","",IFERROR(INDEX(Settings!$I$11:$I$15,MATCH(Q491,Settings!$H$11:$H$15,0)),"No"))</f>
        <v/>
      </c>
      <c r="W491" s="37" t="str">
        <f aca="false">IF(Q491="","",IFERROR(INDEX(Settings!$J$11:$J$15,MATCH(Q491,Settings!$H$11:$H$15,0)),"No"))</f>
        <v/>
      </c>
    </row>
    <row r="492" customFormat="false" ht="15" hidden="false" customHeight="false" outlineLevel="0" collapsed="false">
      <c r="A492" s="30"/>
      <c r="B492" s="25"/>
      <c r="C492" s="25"/>
      <c r="D492" s="25"/>
      <c r="E492" s="25"/>
      <c r="F492" s="25"/>
      <c r="G492" s="25"/>
      <c r="H492" s="31"/>
      <c r="I492" s="32"/>
      <c r="J492" s="33"/>
      <c r="K492" s="34" t="str">
        <f aca="false">IF(OR(H492="",I492=""),"",H492*I492*(1-N(J492)))</f>
        <v/>
      </c>
      <c r="L492" s="32"/>
      <c r="M492" s="34" t="str">
        <f aca="false">IF(OR(H492="",L492=""),"",H492*L492)</f>
        <v/>
      </c>
      <c r="N492" s="34" t="str">
        <f aca="false">IF(OR(K492="",M492=""),"",K492-M492)</f>
        <v/>
      </c>
      <c r="O492" s="35" t="str">
        <f aca="false">IF(OR(N492="",K492=""),"",IF(K492=0,"",N492/K492))</f>
        <v/>
      </c>
      <c r="P492" s="25"/>
      <c r="Q492" s="25"/>
      <c r="R492" s="25"/>
      <c r="S492" s="36" t="str">
        <f aca="false">IF(A492="","",YEAR(A492)+IF(AND(FYStart&gt;1,MONTH(A492)&gt;=FYStart),1,0))</f>
        <v/>
      </c>
      <c r="T492" s="36" t="str">
        <f aca="false">IF(A492="","",MOD(MONTH(A492)-FYStart,12)+1)</f>
        <v/>
      </c>
      <c r="U492" s="37" t="str">
        <f aca="false">IF(A492="","",TEXT(A492,"mmm"))</f>
        <v/>
      </c>
      <c r="V492" s="37" t="str">
        <f aca="false">IF(Q492="","",IFERROR(INDEX(Settings!$I$11:$I$15,MATCH(Q492,Settings!$H$11:$H$15,0)),"No"))</f>
        <v/>
      </c>
      <c r="W492" s="37" t="str">
        <f aca="false">IF(Q492="","",IFERROR(INDEX(Settings!$J$11:$J$15,MATCH(Q492,Settings!$H$11:$H$15,0)),"No"))</f>
        <v/>
      </c>
    </row>
    <row r="493" customFormat="false" ht="15" hidden="false" customHeight="false" outlineLevel="0" collapsed="false">
      <c r="A493" s="30"/>
      <c r="B493" s="25"/>
      <c r="C493" s="25"/>
      <c r="D493" s="25"/>
      <c r="E493" s="25"/>
      <c r="F493" s="25"/>
      <c r="G493" s="25"/>
      <c r="H493" s="31"/>
      <c r="I493" s="32"/>
      <c r="J493" s="33"/>
      <c r="K493" s="34" t="str">
        <f aca="false">IF(OR(H493="",I493=""),"",H493*I493*(1-N(J493)))</f>
        <v/>
      </c>
      <c r="L493" s="32"/>
      <c r="M493" s="34" t="str">
        <f aca="false">IF(OR(H493="",L493=""),"",H493*L493)</f>
        <v/>
      </c>
      <c r="N493" s="34" t="str">
        <f aca="false">IF(OR(K493="",M493=""),"",K493-M493)</f>
        <v/>
      </c>
      <c r="O493" s="35" t="str">
        <f aca="false">IF(OR(N493="",K493=""),"",IF(K493=0,"",N493/K493))</f>
        <v/>
      </c>
      <c r="P493" s="25"/>
      <c r="Q493" s="25"/>
      <c r="R493" s="25"/>
      <c r="S493" s="36" t="str">
        <f aca="false">IF(A493="","",YEAR(A493)+IF(AND(FYStart&gt;1,MONTH(A493)&gt;=FYStart),1,0))</f>
        <v/>
      </c>
      <c r="T493" s="36" t="str">
        <f aca="false">IF(A493="","",MOD(MONTH(A493)-FYStart,12)+1)</f>
        <v/>
      </c>
      <c r="U493" s="37" t="str">
        <f aca="false">IF(A493="","",TEXT(A493,"mmm"))</f>
        <v/>
      </c>
      <c r="V493" s="37" t="str">
        <f aca="false">IF(Q493="","",IFERROR(INDEX(Settings!$I$11:$I$15,MATCH(Q493,Settings!$H$11:$H$15,0)),"No"))</f>
        <v/>
      </c>
      <c r="W493" s="37" t="str">
        <f aca="false">IF(Q493="","",IFERROR(INDEX(Settings!$J$11:$J$15,MATCH(Q493,Settings!$H$11:$H$15,0)),"No"))</f>
        <v/>
      </c>
    </row>
    <row r="494" customFormat="false" ht="15" hidden="false" customHeight="false" outlineLevel="0" collapsed="false">
      <c r="A494" s="30"/>
      <c r="B494" s="25"/>
      <c r="C494" s="25"/>
      <c r="D494" s="25"/>
      <c r="E494" s="25"/>
      <c r="F494" s="25"/>
      <c r="G494" s="25"/>
      <c r="H494" s="31"/>
      <c r="I494" s="32"/>
      <c r="J494" s="33"/>
      <c r="K494" s="34" t="str">
        <f aca="false">IF(OR(H494="",I494=""),"",H494*I494*(1-N(J494)))</f>
        <v/>
      </c>
      <c r="L494" s="32"/>
      <c r="M494" s="34" t="str">
        <f aca="false">IF(OR(H494="",L494=""),"",H494*L494)</f>
        <v/>
      </c>
      <c r="N494" s="34" t="str">
        <f aca="false">IF(OR(K494="",M494=""),"",K494-M494)</f>
        <v/>
      </c>
      <c r="O494" s="35" t="str">
        <f aca="false">IF(OR(N494="",K494=""),"",IF(K494=0,"",N494/K494))</f>
        <v/>
      </c>
      <c r="P494" s="25"/>
      <c r="Q494" s="25"/>
      <c r="R494" s="25"/>
      <c r="S494" s="36" t="str">
        <f aca="false">IF(A494="","",YEAR(A494)+IF(AND(FYStart&gt;1,MONTH(A494)&gt;=FYStart),1,0))</f>
        <v/>
      </c>
      <c r="T494" s="36" t="str">
        <f aca="false">IF(A494="","",MOD(MONTH(A494)-FYStart,12)+1)</f>
        <v/>
      </c>
      <c r="U494" s="37" t="str">
        <f aca="false">IF(A494="","",TEXT(A494,"mmm"))</f>
        <v/>
      </c>
      <c r="V494" s="37" t="str">
        <f aca="false">IF(Q494="","",IFERROR(INDEX(Settings!$I$11:$I$15,MATCH(Q494,Settings!$H$11:$H$15,0)),"No"))</f>
        <v/>
      </c>
      <c r="W494" s="37" t="str">
        <f aca="false">IF(Q494="","",IFERROR(INDEX(Settings!$J$11:$J$15,MATCH(Q494,Settings!$H$11:$H$15,0)),"No"))</f>
        <v/>
      </c>
    </row>
    <row r="495" customFormat="false" ht="15" hidden="false" customHeight="false" outlineLevel="0" collapsed="false">
      <c r="A495" s="30"/>
      <c r="B495" s="25"/>
      <c r="C495" s="25"/>
      <c r="D495" s="25"/>
      <c r="E495" s="25"/>
      <c r="F495" s="25"/>
      <c r="G495" s="25"/>
      <c r="H495" s="31"/>
      <c r="I495" s="32"/>
      <c r="J495" s="33"/>
      <c r="K495" s="34" t="str">
        <f aca="false">IF(OR(H495="",I495=""),"",H495*I495*(1-N(J495)))</f>
        <v/>
      </c>
      <c r="L495" s="32"/>
      <c r="M495" s="34" t="str">
        <f aca="false">IF(OR(H495="",L495=""),"",H495*L495)</f>
        <v/>
      </c>
      <c r="N495" s="34" t="str">
        <f aca="false">IF(OR(K495="",M495=""),"",K495-M495)</f>
        <v/>
      </c>
      <c r="O495" s="35" t="str">
        <f aca="false">IF(OR(N495="",K495=""),"",IF(K495=0,"",N495/K495))</f>
        <v/>
      </c>
      <c r="P495" s="25"/>
      <c r="Q495" s="25"/>
      <c r="R495" s="25"/>
      <c r="S495" s="36" t="str">
        <f aca="false">IF(A495="","",YEAR(A495)+IF(AND(FYStart&gt;1,MONTH(A495)&gt;=FYStart),1,0))</f>
        <v/>
      </c>
      <c r="T495" s="36" t="str">
        <f aca="false">IF(A495="","",MOD(MONTH(A495)-FYStart,12)+1)</f>
        <v/>
      </c>
      <c r="U495" s="37" t="str">
        <f aca="false">IF(A495="","",TEXT(A495,"mmm"))</f>
        <v/>
      </c>
      <c r="V495" s="37" t="str">
        <f aca="false">IF(Q495="","",IFERROR(INDEX(Settings!$I$11:$I$15,MATCH(Q495,Settings!$H$11:$H$15,0)),"No"))</f>
        <v/>
      </c>
      <c r="W495" s="37" t="str">
        <f aca="false">IF(Q495="","",IFERROR(INDEX(Settings!$J$11:$J$15,MATCH(Q495,Settings!$H$11:$H$15,0)),"No"))</f>
        <v/>
      </c>
    </row>
    <row r="496" customFormat="false" ht="15" hidden="false" customHeight="false" outlineLevel="0" collapsed="false">
      <c r="A496" s="30"/>
      <c r="B496" s="25"/>
      <c r="C496" s="25"/>
      <c r="D496" s="25"/>
      <c r="E496" s="25"/>
      <c r="F496" s="25"/>
      <c r="G496" s="25"/>
      <c r="H496" s="31"/>
      <c r="I496" s="32"/>
      <c r="J496" s="33"/>
      <c r="K496" s="34" t="str">
        <f aca="false">IF(OR(H496="",I496=""),"",H496*I496*(1-N(J496)))</f>
        <v/>
      </c>
      <c r="L496" s="32"/>
      <c r="M496" s="34" t="str">
        <f aca="false">IF(OR(H496="",L496=""),"",H496*L496)</f>
        <v/>
      </c>
      <c r="N496" s="34" t="str">
        <f aca="false">IF(OR(K496="",M496=""),"",K496-M496)</f>
        <v/>
      </c>
      <c r="O496" s="35" t="str">
        <f aca="false">IF(OR(N496="",K496=""),"",IF(K496=0,"",N496/K496))</f>
        <v/>
      </c>
      <c r="P496" s="25"/>
      <c r="Q496" s="25"/>
      <c r="R496" s="25"/>
      <c r="S496" s="36" t="str">
        <f aca="false">IF(A496="","",YEAR(A496)+IF(AND(FYStart&gt;1,MONTH(A496)&gt;=FYStart),1,0))</f>
        <v/>
      </c>
      <c r="T496" s="36" t="str">
        <f aca="false">IF(A496="","",MOD(MONTH(A496)-FYStart,12)+1)</f>
        <v/>
      </c>
      <c r="U496" s="37" t="str">
        <f aca="false">IF(A496="","",TEXT(A496,"mmm"))</f>
        <v/>
      </c>
      <c r="V496" s="37" t="str">
        <f aca="false">IF(Q496="","",IFERROR(INDEX(Settings!$I$11:$I$15,MATCH(Q496,Settings!$H$11:$H$15,0)),"No"))</f>
        <v/>
      </c>
      <c r="W496" s="37" t="str">
        <f aca="false">IF(Q496="","",IFERROR(INDEX(Settings!$J$11:$J$15,MATCH(Q496,Settings!$H$11:$H$15,0)),"No"))</f>
        <v/>
      </c>
    </row>
    <row r="497" customFormat="false" ht="15" hidden="false" customHeight="false" outlineLevel="0" collapsed="false">
      <c r="A497" s="30"/>
      <c r="B497" s="25"/>
      <c r="C497" s="25"/>
      <c r="D497" s="25"/>
      <c r="E497" s="25"/>
      <c r="F497" s="25"/>
      <c r="G497" s="25"/>
      <c r="H497" s="31"/>
      <c r="I497" s="32"/>
      <c r="J497" s="33"/>
      <c r="K497" s="34" t="str">
        <f aca="false">IF(OR(H497="",I497=""),"",H497*I497*(1-N(J497)))</f>
        <v/>
      </c>
      <c r="L497" s="32"/>
      <c r="M497" s="34" t="str">
        <f aca="false">IF(OR(H497="",L497=""),"",H497*L497)</f>
        <v/>
      </c>
      <c r="N497" s="34" t="str">
        <f aca="false">IF(OR(K497="",M497=""),"",K497-M497)</f>
        <v/>
      </c>
      <c r="O497" s="35" t="str">
        <f aca="false">IF(OR(N497="",K497=""),"",IF(K497=0,"",N497/K497))</f>
        <v/>
      </c>
      <c r="P497" s="25"/>
      <c r="Q497" s="25"/>
      <c r="R497" s="25"/>
      <c r="S497" s="36" t="str">
        <f aca="false">IF(A497="","",YEAR(A497)+IF(AND(FYStart&gt;1,MONTH(A497)&gt;=FYStart),1,0))</f>
        <v/>
      </c>
      <c r="T497" s="36" t="str">
        <f aca="false">IF(A497="","",MOD(MONTH(A497)-FYStart,12)+1)</f>
        <v/>
      </c>
      <c r="U497" s="37" t="str">
        <f aca="false">IF(A497="","",TEXT(A497,"mmm"))</f>
        <v/>
      </c>
      <c r="V497" s="37" t="str">
        <f aca="false">IF(Q497="","",IFERROR(INDEX(Settings!$I$11:$I$15,MATCH(Q497,Settings!$H$11:$H$15,0)),"No"))</f>
        <v/>
      </c>
      <c r="W497" s="37" t="str">
        <f aca="false">IF(Q497="","",IFERROR(INDEX(Settings!$J$11:$J$15,MATCH(Q497,Settings!$H$11:$H$15,0)),"No"))</f>
        <v/>
      </c>
    </row>
    <row r="498" customFormat="false" ht="15" hidden="false" customHeight="false" outlineLevel="0" collapsed="false">
      <c r="A498" s="30"/>
      <c r="B498" s="25"/>
      <c r="C498" s="25"/>
      <c r="D498" s="25"/>
      <c r="E498" s="25"/>
      <c r="F498" s="25"/>
      <c r="G498" s="25"/>
      <c r="H498" s="31"/>
      <c r="I498" s="32"/>
      <c r="J498" s="33"/>
      <c r="K498" s="34" t="str">
        <f aca="false">IF(OR(H498="",I498=""),"",H498*I498*(1-N(J498)))</f>
        <v/>
      </c>
      <c r="L498" s="32"/>
      <c r="M498" s="34" t="str">
        <f aca="false">IF(OR(H498="",L498=""),"",H498*L498)</f>
        <v/>
      </c>
      <c r="N498" s="34" t="str">
        <f aca="false">IF(OR(K498="",M498=""),"",K498-M498)</f>
        <v/>
      </c>
      <c r="O498" s="35" t="str">
        <f aca="false">IF(OR(N498="",K498=""),"",IF(K498=0,"",N498/K498))</f>
        <v/>
      </c>
      <c r="P498" s="25"/>
      <c r="Q498" s="25"/>
      <c r="R498" s="25"/>
      <c r="S498" s="36" t="str">
        <f aca="false">IF(A498="","",YEAR(A498)+IF(AND(FYStart&gt;1,MONTH(A498)&gt;=FYStart),1,0))</f>
        <v/>
      </c>
      <c r="T498" s="36" t="str">
        <f aca="false">IF(A498="","",MOD(MONTH(A498)-FYStart,12)+1)</f>
        <v/>
      </c>
      <c r="U498" s="37" t="str">
        <f aca="false">IF(A498="","",TEXT(A498,"mmm"))</f>
        <v/>
      </c>
      <c r="V498" s="37" t="str">
        <f aca="false">IF(Q498="","",IFERROR(INDEX(Settings!$I$11:$I$15,MATCH(Q498,Settings!$H$11:$H$15,0)),"No"))</f>
        <v/>
      </c>
      <c r="W498" s="37" t="str">
        <f aca="false">IF(Q498="","",IFERROR(INDEX(Settings!$J$11:$J$15,MATCH(Q498,Settings!$H$11:$H$15,0)),"No"))</f>
        <v/>
      </c>
    </row>
    <row r="499" customFormat="false" ht="15" hidden="false" customHeight="false" outlineLevel="0" collapsed="false">
      <c r="A499" s="30"/>
      <c r="B499" s="25"/>
      <c r="C499" s="25"/>
      <c r="D499" s="25"/>
      <c r="E499" s="25"/>
      <c r="F499" s="25"/>
      <c r="G499" s="25"/>
      <c r="H499" s="31"/>
      <c r="I499" s="32"/>
      <c r="J499" s="33"/>
      <c r="K499" s="34" t="str">
        <f aca="false">IF(OR(H499="",I499=""),"",H499*I499*(1-N(J499)))</f>
        <v/>
      </c>
      <c r="L499" s="32"/>
      <c r="M499" s="34" t="str">
        <f aca="false">IF(OR(H499="",L499=""),"",H499*L499)</f>
        <v/>
      </c>
      <c r="N499" s="34" t="str">
        <f aca="false">IF(OR(K499="",M499=""),"",K499-M499)</f>
        <v/>
      </c>
      <c r="O499" s="35" t="str">
        <f aca="false">IF(OR(N499="",K499=""),"",IF(K499=0,"",N499/K499))</f>
        <v/>
      </c>
      <c r="P499" s="25"/>
      <c r="Q499" s="25"/>
      <c r="R499" s="25"/>
      <c r="S499" s="36" t="str">
        <f aca="false">IF(A499="","",YEAR(A499)+IF(AND(FYStart&gt;1,MONTH(A499)&gt;=FYStart),1,0))</f>
        <v/>
      </c>
      <c r="T499" s="36" t="str">
        <f aca="false">IF(A499="","",MOD(MONTH(A499)-FYStart,12)+1)</f>
        <v/>
      </c>
      <c r="U499" s="37" t="str">
        <f aca="false">IF(A499="","",TEXT(A499,"mmm"))</f>
        <v/>
      </c>
      <c r="V499" s="37" t="str">
        <f aca="false">IF(Q499="","",IFERROR(INDEX(Settings!$I$11:$I$15,MATCH(Q499,Settings!$H$11:$H$15,0)),"No"))</f>
        <v/>
      </c>
      <c r="W499" s="37" t="str">
        <f aca="false">IF(Q499="","",IFERROR(INDEX(Settings!$J$11:$J$15,MATCH(Q499,Settings!$H$11:$H$15,0)),"No"))</f>
        <v/>
      </c>
    </row>
    <row r="500" customFormat="false" ht="15" hidden="false" customHeight="false" outlineLevel="0" collapsed="false">
      <c r="A500" s="30"/>
      <c r="B500" s="25"/>
      <c r="C500" s="25"/>
      <c r="D500" s="25"/>
      <c r="E500" s="25"/>
      <c r="F500" s="25"/>
      <c r="G500" s="25"/>
      <c r="H500" s="31"/>
      <c r="I500" s="32"/>
      <c r="J500" s="33"/>
      <c r="K500" s="34" t="str">
        <f aca="false">IF(OR(H500="",I500=""),"",H500*I500*(1-N(J500)))</f>
        <v/>
      </c>
      <c r="L500" s="32"/>
      <c r="M500" s="34" t="str">
        <f aca="false">IF(OR(H500="",L500=""),"",H500*L500)</f>
        <v/>
      </c>
      <c r="N500" s="34" t="str">
        <f aca="false">IF(OR(K500="",M500=""),"",K500-M500)</f>
        <v/>
      </c>
      <c r="O500" s="35" t="str">
        <f aca="false">IF(OR(N500="",K500=""),"",IF(K500=0,"",N500/K500))</f>
        <v/>
      </c>
      <c r="P500" s="25"/>
      <c r="Q500" s="25"/>
      <c r="R500" s="25"/>
      <c r="S500" s="36" t="str">
        <f aca="false">IF(A500="","",YEAR(A500)+IF(AND(FYStart&gt;1,MONTH(A500)&gt;=FYStart),1,0))</f>
        <v/>
      </c>
      <c r="T500" s="36" t="str">
        <f aca="false">IF(A500="","",MOD(MONTH(A500)-FYStart,12)+1)</f>
        <v/>
      </c>
      <c r="U500" s="37" t="str">
        <f aca="false">IF(A500="","",TEXT(A500,"mmm"))</f>
        <v/>
      </c>
      <c r="V500" s="37" t="str">
        <f aca="false">IF(Q500="","",IFERROR(INDEX(Settings!$I$11:$I$15,MATCH(Q500,Settings!$H$11:$H$15,0)),"No"))</f>
        <v/>
      </c>
      <c r="W500" s="37" t="str">
        <f aca="false">IF(Q500="","",IFERROR(INDEX(Settings!$J$11:$J$15,MATCH(Q500,Settings!$H$11:$H$15,0)),"No"))</f>
        <v/>
      </c>
    </row>
    <row r="501" customFormat="false" ht="15" hidden="false" customHeight="false" outlineLevel="0" collapsed="false">
      <c r="A501" s="30"/>
      <c r="B501" s="25"/>
      <c r="C501" s="25"/>
      <c r="D501" s="25"/>
      <c r="E501" s="25"/>
      <c r="F501" s="25"/>
      <c r="G501" s="25"/>
      <c r="H501" s="31"/>
      <c r="I501" s="32"/>
      <c r="J501" s="33"/>
      <c r="K501" s="34" t="str">
        <f aca="false">IF(OR(H501="",I501=""),"",H501*I501*(1-N(J501)))</f>
        <v/>
      </c>
      <c r="L501" s="32"/>
      <c r="M501" s="34" t="str">
        <f aca="false">IF(OR(H501="",L501=""),"",H501*L501)</f>
        <v/>
      </c>
      <c r="N501" s="34" t="str">
        <f aca="false">IF(OR(K501="",M501=""),"",K501-M501)</f>
        <v/>
      </c>
      <c r="O501" s="35" t="str">
        <f aca="false">IF(OR(N501="",K501=""),"",IF(K501=0,"",N501/K501))</f>
        <v/>
      </c>
      <c r="P501" s="25"/>
      <c r="Q501" s="25"/>
      <c r="R501" s="25"/>
      <c r="S501" s="36" t="str">
        <f aca="false">IF(A501="","",YEAR(A501)+IF(AND(FYStart&gt;1,MONTH(A501)&gt;=FYStart),1,0))</f>
        <v/>
      </c>
      <c r="T501" s="36" t="str">
        <f aca="false">IF(A501="","",MOD(MONTH(A501)-FYStart,12)+1)</f>
        <v/>
      </c>
      <c r="U501" s="37" t="str">
        <f aca="false">IF(A501="","",TEXT(A501,"mmm"))</f>
        <v/>
      </c>
      <c r="V501" s="37" t="str">
        <f aca="false">IF(Q501="","",IFERROR(INDEX(Settings!$I$11:$I$15,MATCH(Q501,Settings!$H$11:$H$15,0)),"No"))</f>
        <v/>
      </c>
      <c r="W501" s="37" t="str">
        <f aca="false">IF(Q501="","",IFERROR(INDEX(Settings!$J$11:$J$15,MATCH(Q501,Settings!$H$11:$H$15,0)),"No"))</f>
        <v/>
      </c>
    </row>
    <row r="502" customFormat="false" ht="15" hidden="false" customHeight="false" outlineLevel="0" collapsed="false">
      <c r="A502" s="30"/>
      <c r="B502" s="25"/>
      <c r="C502" s="25"/>
      <c r="D502" s="25"/>
      <c r="E502" s="25"/>
      <c r="F502" s="25"/>
      <c r="G502" s="25"/>
      <c r="H502" s="31"/>
      <c r="I502" s="32"/>
      <c r="J502" s="33"/>
      <c r="K502" s="34" t="str">
        <f aca="false">IF(OR(H502="",I502=""),"",H502*I502*(1-N(J502)))</f>
        <v/>
      </c>
      <c r="L502" s="32"/>
      <c r="M502" s="34" t="str">
        <f aca="false">IF(OR(H502="",L502=""),"",H502*L502)</f>
        <v/>
      </c>
      <c r="N502" s="34" t="str">
        <f aca="false">IF(OR(K502="",M502=""),"",K502-M502)</f>
        <v/>
      </c>
      <c r="O502" s="35" t="str">
        <f aca="false">IF(OR(N502="",K502=""),"",IF(K502=0,"",N502/K502))</f>
        <v/>
      </c>
      <c r="P502" s="25"/>
      <c r="Q502" s="25"/>
      <c r="R502" s="25"/>
      <c r="S502" s="36" t="str">
        <f aca="false">IF(A502="","",YEAR(A502)+IF(AND(FYStart&gt;1,MONTH(A502)&gt;=FYStart),1,0))</f>
        <v/>
      </c>
      <c r="T502" s="36" t="str">
        <f aca="false">IF(A502="","",MOD(MONTH(A502)-FYStart,12)+1)</f>
        <v/>
      </c>
      <c r="U502" s="37" t="str">
        <f aca="false">IF(A502="","",TEXT(A502,"mmm"))</f>
        <v/>
      </c>
      <c r="V502" s="37" t="str">
        <f aca="false">IF(Q502="","",IFERROR(INDEX(Settings!$I$11:$I$15,MATCH(Q502,Settings!$H$11:$H$15,0)),"No"))</f>
        <v/>
      </c>
      <c r="W502" s="37" t="str">
        <f aca="false">IF(Q502="","",IFERROR(INDEX(Settings!$J$11:$J$15,MATCH(Q502,Settings!$H$11:$H$15,0)),"No"))</f>
        <v/>
      </c>
    </row>
    <row r="503" customFormat="false" ht="15" hidden="false" customHeight="false" outlineLevel="0" collapsed="false">
      <c r="A503" s="30"/>
      <c r="B503" s="25"/>
      <c r="C503" s="25"/>
      <c r="D503" s="25"/>
      <c r="E503" s="25"/>
      <c r="F503" s="25"/>
      <c r="G503" s="25"/>
      <c r="H503" s="31"/>
      <c r="I503" s="32"/>
      <c r="J503" s="33"/>
      <c r="K503" s="34" t="str">
        <f aca="false">IF(OR(H503="",I503=""),"",H503*I503*(1-N(J503)))</f>
        <v/>
      </c>
      <c r="L503" s="32"/>
      <c r="M503" s="34" t="str">
        <f aca="false">IF(OR(H503="",L503=""),"",H503*L503)</f>
        <v/>
      </c>
      <c r="N503" s="34" t="str">
        <f aca="false">IF(OR(K503="",M503=""),"",K503-M503)</f>
        <v/>
      </c>
      <c r="O503" s="35" t="str">
        <f aca="false">IF(OR(N503="",K503=""),"",IF(K503=0,"",N503/K503))</f>
        <v/>
      </c>
      <c r="P503" s="25"/>
      <c r="Q503" s="25"/>
      <c r="R503" s="25"/>
      <c r="S503" s="36" t="str">
        <f aca="false">IF(A503="","",YEAR(A503)+IF(AND(FYStart&gt;1,MONTH(A503)&gt;=FYStart),1,0))</f>
        <v/>
      </c>
      <c r="T503" s="36" t="str">
        <f aca="false">IF(A503="","",MOD(MONTH(A503)-FYStart,12)+1)</f>
        <v/>
      </c>
      <c r="U503" s="37" t="str">
        <f aca="false">IF(A503="","",TEXT(A503,"mmm"))</f>
        <v/>
      </c>
      <c r="V503" s="37" t="str">
        <f aca="false">IF(Q503="","",IFERROR(INDEX(Settings!$I$11:$I$15,MATCH(Q503,Settings!$H$11:$H$15,0)),"No"))</f>
        <v/>
      </c>
      <c r="W503" s="37" t="str">
        <f aca="false">IF(Q503="","",IFERROR(INDEX(Settings!$J$11:$J$15,MATCH(Q503,Settings!$H$11:$H$15,0)),"No"))</f>
        <v/>
      </c>
    </row>
    <row r="504" customFormat="false" ht="15" hidden="false" customHeight="false" outlineLevel="0" collapsed="false">
      <c r="A504" s="30"/>
      <c r="B504" s="25"/>
      <c r="C504" s="25"/>
      <c r="D504" s="25"/>
      <c r="E504" s="25"/>
      <c r="F504" s="25"/>
      <c r="G504" s="25"/>
      <c r="H504" s="31"/>
      <c r="I504" s="32"/>
      <c r="J504" s="33"/>
      <c r="K504" s="34" t="str">
        <f aca="false">IF(OR(H504="",I504=""),"",H504*I504*(1-N(J504)))</f>
        <v/>
      </c>
      <c r="L504" s="32"/>
      <c r="M504" s="34" t="str">
        <f aca="false">IF(OR(H504="",L504=""),"",H504*L504)</f>
        <v/>
      </c>
      <c r="N504" s="34" t="str">
        <f aca="false">IF(OR(K504="",M504=""),"",K504-M504)</f>
        <v/>
      </c>
      <c r="O504" s="35" t="str">
        <f aca="false">IF(OR(N504="",K504=""),"",IF(K504=0,"",N504/K504))</f>
        <v/>
      </c>
      <c r="P504" s="25"/>
      <c r="Q504" s="25"/>
      <c r="R504" s="25"/>
      <c r="S504" s="36" t="str">
        <f aca="false">IF(A504="","",YEAR(A504)+IF(AND(FYStart&gt;1,MONTH(A504)&gt;=FYStart),1,0))</f>
        <v/>
      </c>
      <c r="T504" s="36" t="str">
        <f aca="false">IF(A504="","",MOD(MONTH(A504)-FYStart,12)+1)</f>
        <v/>
      </c>
      <c r="U504" s="37" t="str">
        <f aca="false">IF(A504="","",TEXT(A504,"mmm"))</f>
        <v/>
      </c>
      <c r="V504" s="37" t="str">
        <f aca="false">IF(Q504="","",IFERROR(INDEX(Settings!$I$11:$I$15,MATCH(Q504,Settings!$H$11:$H$15,0)),"No"))</f>
        <v/>
      </c>
      <c r="W504" s="37" t="str">
        <f aca="false">IF(Q504="","",IFERROR(INDEX(Settings!$J$11:$J$15,MATCH(Q504,Settings!$H$11:$H$15,0)),"No"))</f>
        <v/>
      </c>
    </row>
    <row r="505" customFormat="false" ht="15" hidden="false" customHeight="false" outlineLevel="0" collapsed="false">
      <c r="A505" s="30"/>
      <c r="B505" s="25"/>
      <c r="C505" s="25"/>
      <c r="D505" s="25"/>
      <c r="E505" s="25"/>
      <c r="F505" s="25"/>
      <c r="G505" s="25"/>
      <c r="H505" s="31"/>
      <c r="I505" s="32"/>
      <c r="J505" s="33"/>
      <c r="K505" s="34" t="str">
        <f aca="false">IF(OR(H505="",I505=""),"",H505*I505*(1-N(J505)))</f>
        <v/>
      </c>
      <c r="L505" s="32"/>
      <c r="M505" s="34" t="str">
        <f aca="false">IF(OR(H505="",L505=""),"",H505*L505)</f>
        <v/>
      </c>
      <c r="N505" s="34" t="str">
        <f aca="false">IF(OR(K505="",M505=""),"",K505-M505)</f>
        <v/>
      </c>
      <c r="O505" s="35" t="str">
        <f aca="false">IF(OR(N505="",K505=""),"",IF(K505=0,"",N505/K505))</f>
        <v/>
      </c>
      <c r="P505" s="25"/>
      <c r="Q505" s="25"/>
      <c r="R505" s="25"/>
      <c r="S505" s="36" t="str">
        <f aca="false">IF(A505="","",YEAR(A505)+IF(AND(FYStart&gt;1,MONTH(A505)&gt;=FYStart),1,0))</f>
        <v/>
      </c>
      <c r="T505" s="36" t="str">
        <f aca="false">IF(A505="","",MOD(MONTH(A505)-FYStart,12)+1)</f>
        <v/>
      </c>
      <c r="U505" s="37" t="str">
        <f aca="false">IF(A505="","",TEXT(A505,"mmm"))</f>
        <v/>
      </c>
      <c r="V505" s="37" t="str">
        <f aca="false">IF(Q505="","",IFERROR(INDEX(Settings!$I$11:$I$15,MATCH(Q505,Settings!$H$11:$H$15,0)),"No"))</f>
        <v/>
      </c>
      <c r="W505" s="37" t="str">
        <f aca="false">IF(Q505="","",IFERROR(INDEX(Settings!$J$11:$J$15,MATCH(Q505,Settings!$H$11:$H$15,0)),"No"))</f>
        <v/>
      </c>
    </row>
    <row r="506" customFormat="false" ht="15" hidden="false" customHeight="false" outlineLevel="0" collapsed="false">
      <c r="A506" s="30"/>
      <c r="B506" s="25"/>
      <c r="C506" s="25"/>
      <c r="D506" s="25"/>
      <c r="E506" s="25"/>
      <c r="F506" s="25"/>
      <c r="G506" s="25"/>
      <c r="H506" s="31"/>
      <c r="I506" s="32"/>
      <c r="J506" s="33"/>
      <c r="K506" s="34" t="str">
        <f aca="false">IF(OR(H506="",I506=""),"",H506*I506*(1-N(J506)))</f>
        <v/>
      </c>
      <c r="L506" s="32"/>
      <c r="M506" s="34" t="str">
        <f aca="false">IF(OR(H506="",L506=""),"",H506*L506)</f>
        <v/>
      </c>
      <c r="N506" s="34" t="str">
        <f aca="false">IF(OR(K506="",M506=""),"",K506-M506)</f>
        <v/>
      </c>
      <c r="O506" s="35" t="str">
        <f aca="false">IF(OR(N506="",K506=""),"",IF(K506=0,"",N506/K506))</f>
        <v/>
      </c>
      <c r="P506" s="25"/>
      <c r="Q506" s="25"/>
      <c r="R506" s="25"/>
      <c r="S506" s="36" t="str">
        <f aca="false">IF(A506="","",YEAR(A506)+IF(AND(FYStart&gt;1,MONTH(A506)&gt;=FYStart),1,0))</f>
        <v/>
      </c>
      <c r="T506" s="36" t="str">
        <f aca="false">IF(A506="","",MOD(MONTH(A506)-FYStart,12)+1)</f>
        <v/>
      </c>
      <c r="U506" s="37" t="str">
        <f aca="false">IF(A506="","",TEXT(A506,"mmm"))</f>
        <v/>
      </c>
      <c r="V506" s="37" t="str">
        <f aca="false">IF(Q506="","",IFERROR(INDEX(Settings!$I$11:$I$15,MATCH(Q506,Settings!$H$11:$H$15,0)),"No"))</f>
        <v/>
      </c>
      <c r="W506" s="37" t="str">
        <f aca="false">IF(Q506="","",IFERROR(INDEX(Settings!$J$11:$J$15,MATCH(Q506,Settings!$H$11:$H$15,0)),"No"))</f>
        <v/>
      </c>
    </row>
    <row r="507" customFormat="false" ht="15" hidden="false" customHeight="false" outlineLevel="0" collapsed="false">
      <c r="A507" s="30"/>
      <c r="B507" s="25"/>
      <c r="C507" s="25"/>
      <c r="D507" s="25"/>
      <c r="E507" s="25"/>
      <c r="F507" s="25"/>
      <c r="G507" s="25"/>
      <c r="H507" s="31"/>
      <c r="I507" s="32"/>
      <c r="J507" s="33"/>
      <c r="K507" s="34" t="str">
        <f aca="false">IF(OR(H507="",I507=""),"",H507*I507*(1-N(J507)))</f>
        <v/>
      </c>
      <c r="L507" s="32"/>
      <c r="M507" s="34" t="str">
        <f aca="false">IF(OR(H507="",L507=""),"",H507*L507)</f>
        <v/>
      </c>
      <c r="N507" s="34" t="str">
        <f aca="false">IF(OR(K507="",M507=""),"",K507-M507)</f>
        <v/>
      </c>
      <c r="O507" s="35" t="str">
        <f aca="false">IF(OR(N507="",K507=""),"",IF(K507=0,"",N507/K507))</f>
        <v/>
      </c>
      <c r="P507" s="25"/>
      <c r="Q507" s="25"/>
      <c r="R507" s="25"/>
      <c r="S507" s="36" t="str">
        <f aca="false">IF(A507="","",YEAR(A507)+IF(AND(FYStart&gt;1,MONTH(A507)&gt;=FYStart),1,0))</f>
        <v/>
      </c>
      <c r="T507" s="36" t="str">
        <f aca="false">IF(A507="","",MOD(MONTH(A507)-FYStart,12)+1)</f>
        <v/>
      </c>
      <c r="U507" s="37" t="str">
        <f aca="false">IF(A507="","",TEXT(A507,"mmm"))</f>
        <v/>
      </c>
      <c r="V507" s="37" t="str">
        <f aca="false">IF(Q507="","",IFERROR(INDEX(Settings!$I$11:$I$15,MATCH(Q507,Settings!$H$11:$H$15,0)),"No"))</f>
        <v/>
      </c>
      <c r="W507" s="37" t="str">
        <f aca="false">IF(Q507="","",IFERROR(INDEX(Settings!$J$11:$J$15,MATCH(Q507,Settings!$H$11:$H$15,0)),"No"))</f>
        <v/>
      </c>
    </row>
    <row r="508" customFormat="false" ht="15" hidden="false" customHeight="false" outlineLevel="0" collapsed="false">
      <c r="A508" s="30"/>
      <c r="B508" s="25"/>
      <c r="C508" s="25"/>
      <c r="D508" s="25"/>
      <c r="E508" s="25"/>
      <c r="F508" s="25"/>
      <c r="G508" s="25"/>
      <c r="H508" s="31"/>
      <c r="I508" s="32"/>
      <c r="J508" s="33"/>
      <c r="K508" s="34" t="str">
        <f aca="false">IF(OR(H508="",I508=""),"",H508*I508*(1-N(J508)))</f>
        <v/>
      </c>
      <c r="L508" s="32"/>
      <c r="M508" s="34" t="str">
        <f aca="false">IF(OR(H508="",L508=""),"",H508*L508)</f>
        <v/>
      </c>
      <c r="N508" s="34" t="str">
        <f aca="false">IF(OR(K508="",M508=""),"",K508-M508)</f>
        <v/>
      </c>
      <c r="O508" s="35" t="str">
        <f aca="false">IF(OR(N508="",K508=""),"",IF(K508=0,"",N508/K508))</f>
        <v/>
      </c>
      <c r="P508" s="25"/>
      <c r="Q508" s="25"/>
      <c r="R508" s="25"/>
      <c r="S508" s="36" t="str">
        <f aca="false">IF(A508="","",YEAR(A508)+IF(AND(FYStart&gt;1,MONTH(A508)&gt;=FYStart),1,0))</f>
        <v/>
      </c>
      <c r="T508" s="36" t="str">
        <f aca="false">IF(A508="","",MOD(MONTH(A508)-FYStart,12)+1)</f>
        <v/>
      </c>
      <c r="U508" s="37" t="str">
        <f aca="false">IF(A508="","",TEXT(A508,"mmm"))</f>
        <v/>
      </c>
      <c r="V508" s="37" t="str">
        <f aca="false">IF(Q508="","",IFERROR(INDEX(Settings!$I$11:$I$15,MATCH(Q508,Settings!$H$11:$H$15,0)),"No"))</f>
        <v/>
      </c>
      <c r="W508" s="37" t="str">
        <f aca="false">IF(Q508="","",IFERROR(INDEX(Settings!$J$11:$J$15,MATCH(Q508,Settings!$H$11:$H$15,0)),"No"))</f>
        <v/>
      </c>
    </row>
    <row r="509" customFormat="false" ht="15" hidden="false" customHeight="false" outlineLevel="0" collapsed="false">
      <c r="A509" s="30"/>
      <c r="B509" s="25"/>
      <c r="C509" s="25"/>
      <c r="D509" s="25"/>
      <c r="E509" s="25"/>
      <c r="F509" s="25"/>
      <c r="G509" s="25"/>
      <c r="H509" s="31"/>
      <c r="I509" s="32"/>
      <c r="J509" s="33"/>
      <c r="K509" s="34" t="str">
        <f aca="false">IF(OR(H509="",I509=""),"",H509*I509*(1-N(J509)))</f>
        <v/>
      </c>
      <c r="L509" s="32"/>
      <c r="M509" s="34" t="str">
        <f aca="false">IF(OR(H509="",L509=""),"",H509*L509)</f>
        <v/>
      </c>
      <c r="N509" s="34" t="str">
        <f aca="false">IF(OR(K509="",M509=""),"",K509-M509)</f>
        <v/>
      </c>
      <c r="O509" s="35" t="str">
        <f aca="false">IF(OR(N509="",K509=""),"",IF(K509=0,"",N509/K509))</f>
        <v/>
      </c>
      <c r="P509" s="25"/>
      <c r="Q509" s="25"/>
      <c r="R509" s="25"/>
      <c r="S509" s="36" t="str">
        <f aca="false">IF(A509="","",YEAR(A509)+IF(AND(FYStart&gt;1,MONTH(A509)&gt;=FYStart),1,0))</f>
        <v/>
      </c>
      <c r="T509" s="36" t="str">
        <f aca="false">IF(A509="","",MOD(MONTH(A509)-FYStart,12)+1)</f>
        <v/>
      </c>
      <c r="U509" s="37" t="str">
        <f aca="false">IF(A509="","",TEXT(A509,"mmm"))</f>
        <v/>
      </c>
      <c r="V509" s="37" t="str">
        <f aca="false">IF(Q509="","",IFERROR(INDEX(Settings!$I$11:$I$15,MATCH(Q509,Settings!$H$11:$H$15,0)),"No"))</f>
        <v/>
      </c>
      <c r="W509" s="37" t="str">
        <f aca="false">IF(Q509="","",IFERROR(INDEX(Settings!$J$11:$J$15,MATCH(Q509,Settings!$H$11:$H$15,0)),"No"))</f>
        <v/>
      </c>
    </row>
    <row r="510" customFormat="false" ht="15" hidden="false" customHeight="false" outlineLevel="0" collapsed="false">
      <c r="A510" s="30"/>
      <c r="B510" s="25"/>
      <c r="C510" s="25"/>
      <c r="D510" s="25"/>
      <c r="E510" s="25"/>
      <c r="F510" s="25"/>
      <c r="G510" s="25"/>
      <c r="H510" s="31"/>
      <c r="I510" s="32"/>
      <c r="J510" s="33"/>
      <c r="K510" s="34" t="str">
        <f aca="false">IF(OR(H510="",I510=""),"",H510*I510*(1-N(J510)))</f>
        <v/>
      </c>
      <c r="L510" s="32"/>
      <c r="M510" s="34" t="str">
        <f aca="false">IF(OR(H510="",L510=""),"",H510*L510)</f>
        <v/>
      </c>
      <c r="N510" s="34" t="str">
        <f aca="false">IF(OR(K510="",M510=""),"",K510-M510)</f>
        <v/>
      </c>
      <c r="O510" s="35" t="str">
        <f aca="false">IF(OR(N510="",K510=""),"",IF(K510=0,"",N510/K510))</f>
        <v/>
      </c>
      <c r="P510" s="25"/>
      <c r="Q510" s="25"/>
      <c r="R510" s="25"/>
      <c r="S510" s="36" t="str">
        <f aca="false">IF(A510="","",YEAR(A510)+IF(AND(FYStart&gt;1,MONTH(A510)&gt;=FYStart),1,0))</f>
        <v/>
      </c>
      <c r="T510" s="36" t="str">
        <f aca="false">IF(A510="","",MOD(MONTH(A510)-FYStart,12)+1)</f>
        <v/>
      </c>
      <c r="U510" s="37" t="str">
        <f aca="false">IF(A510="","",TEXT(A510,"mmm"))</f>
        <v/>
      </c>
      <c r="V510" s="37" t="str">
        <f aca="false">IF(Q510="","",IFERROR(INDEX(Settings!$I$11:$I$15,MATCH(Q510,Settings!$H$11:$H$15,0)),"No"))</f>
        <v/>
      </c>
      <c r="W510" s="37" t="str">
        <f aca="false">IF(Q510="","",IFERROR(INDEX(Settings!$J$11:$J$15,MATCH(Q510,Settings!$H$11:$H$15,0)),"No"))</f>
        <v/>
      </c>
    </row>
    <row r="511" customFormat="false" ht="15" hidden="false" customHeight="false" outlineLevel="0" collapsed="false">
      <c r="A511" s="30"/>
      <c r="B511" s="25"/>
      <c r="C511" s="25"/>
      <c r="D511" s="25"/>
      <c r="E511" s="25"/>
      <c r="F511" s="25"/>
      <c r="G511" s="25"/>
      <c r="H511" s="31"/>
      <c r="I511" s="32"/>
      <c r="J511" s="33"/>
      <c r="K511" s="34" t="str">
        <f aca="false">IF(OR(H511="",I511=""),"",H511*I511*(1-N(J511)))</f>
        <v/>
      </c>
      <c r="L511" s="32"/>
      <c r="M511" s="34" t="str">
        <f aca="false">IF(OR(H511="",L511=""),"",H511*L511)</f>
        <v/>
      </c>
      <c r="N511" s="34" t="str">
        <f aca="false">IF(OR(K511="",M511=""),"",K511-M511)</f>
        <v/>
      </c>
      <c r="O511" s="35" t="str">
        <f aca="false">IF(OR(N511="",K511=""),"",IF(K511=0,"",N511/K511))</f>
        <v/>
      </c>
      <c r="P511" s="25"/>
      <c r="Q511" s="25"/>
      <c r="R511" s="25"/>
      <c r="S511" s="36" t="str">
        <f aca="false">IF(A511="","",YEAR(A511)+IF(AND(FYStart&gt;1,MONTH(A511)&gt;=FYStart),1,0))</f>
        <v/>
      </c>
      <c r="T511" s="36" t="str">
        <f aca="false">IF(A511="","",MOD(MONTH(A511)-FYStart,12)+1)</f>
        <v/>
      </c>
      <c r="U511" s="37" t="str">
        <f aca="false">IF(A511="","",TEXT(A511,"mmm"))</f>
        <v/>
      </c>
      <c r="V511" s="37" t="str">
        <f aca="false">IF(Q511="","",IFERROR(INDEX(Settings!$I$11:$I$15,MATCH(Q511,Settings!$H$11:$H$15,0)),"No"))</f>
        <v/>
      </c>
      <c r="W511" s="37" t="str">
        <f aca="false">IF(Q511="","",IFERROR(INDEX(Settings!$J$11:$J$15,MATCH(Q511,Settings!$H$11:$H$15,0)),"No"))</f>
        <v/>
      </c>
    </row>
    <row r="512" customFormat="false" ht="15" hidden="false" customHeight="false" outlineLevel="0" collapsed="false">
      <c r="A512" s="30"/>
      <c r="B512" s="25"/>
      <c r="C512" s="25"/>
      <c r="D512" s="25"/>
      <c r="E512" s="25"/>
      <c r="F512" s="25"/>
      <c r="G512" s="25"/>
      <c r="H512" s="31"/>
      <c r="I512" s="32"/>
      <c r="J512" s="33"/>
      <c r="K512" s="34" t="str">
        <f aca="false">IF(OR(H512="",I512=""),"",H512*I512*(1-N(J512)))</f>
        <v/>
      </c>
      <c r="L512" s="32"/>
      <c r="M512" s="34" t="str">
        <f aca="false">IF(OR(H512="",L512=""),"",H512*L512)</f>
        <v/>
      </c>
      <c r="N512" s="34" t="str">
        <f aca="false">IF(OR(K512="",M512=""),"",K512-M512)</f>
        <v/>
      </c>
      <c r="O512" s="35" t="str">
        <f aca="false">IF(OR(N512="",K512=""),"",IF(K512=0,"",N512/K512))</f>
        <v/>
      </c>
      <c r="P512" s="25"/>
      <c r="Q512" s="25"/>
      <c r="R512" s="25"/>
      <c r="S512" s="36" t="str">
        <f aca="false">IF(A512="","",YEAR(A512)+IF(AND(FYStart&gt;1,MONTH(A512)&gt;=FYStart),1,0))</f>
        <v/>
      </c>
      <c r="T512" s="36" t="str">
        <f aca="false">IF(A512="","",MOD(MONTH(A512)-FYStart,12)+1)</f>
        <v/>
      </c>
      <c r="U512" s="37" t="str">
        <f aca="false">IF(A512="","",TEXT(A512,"mmm"))</f>
        <v/>
      </c>
      <c r="V512" s="37" t="str">
        <f aca="false">IF(Q512="","",IFERROR(INDEX(Settings!$I$11:$I$15,MATCH(Q512,Settings!$H$11:$H$15,0)),"No"))</f>
        <v/>
      </c>
      <c r="W512" s="37" t="str">
        <f aca="false">IF(Q512="","",IFERROR(INDEX(Settings!$J$11:$J$15,MATCH(Q512,Settings!$H$11:$H$15,0)),"No"))</f>
        <v/>
      </c>
    </row>
    <row r="513" customFormat="false" ht="15" hidden="false" customHeight="false" outlineLevel="0" collapsed="false">
      <c r="A513" s="30"/>
      <c r="B513" s="25"/>
      <c r="C513" s="25"/>
      <c r="D513" s="25"/>
      <c r="E513" s="25"/>
      <c r="F513" s="25"/>
      <c r="G513" s="25"/>
      <c r="H513" s="31"/>
      <c r="I513" s="32"/>
      <c r="J513" s="33"/>
      <c r="K513" s="34" t="str">
        <f aca="false">IF(OR(H513="",I513=""),"",H513*I513*(1-N(J513)))</f>
        <v/>
      </c>
      <c r="L513" s="32"/>
      <c r="M513" s="34" t="str">
        <f aca="false">IF(OR(H513="",L513=""),"",H513*L513)</f>
        <v/>
      </c>
      <c r="N513" s="34" t="str">
        <f aca="false">IF(OR(K513="",M513=""),"",K513-M513)</f>
        <v/>
      </c>
      <c r="O513" s="35" t="str">
        <f aca="false">IF(OR(N513="",K513=""),"",IF(K513=0,"",N513/K513))</f>
        <v/>
      </c>
      <c r="P513" s="25"/>
      <c r="Q513" s="25"/>
      <c r="R513" s="25"/>
      <c r="S513" s="36" t="str">
        <f aca="false">IF(A513="","",YEAR(A513)+IF(AND(FYStart&gt;1,MONTH(A513)&gt;=FYStart),1,0))</f>
        <v/>
      </c>
      <c r="T513" s="36" t="str">
        <f aca="false">IF(A513="","",MOD(MONTH(A513)-FYStart,12)+1)</f>
        <v/>
      </c>
      <c r="U513" s="37" t="str">
        <f aca="false">IF(A513="","",TEXT(A513,"mmm"))</f>
        <v/>
      </c>
      <c r="V513" s="37" t="str">
        <f aca="false">IF(Q513="","",IFERROR(INDEX(Settings!$I$11:$I$15,MATCH(Q513,Settings!$H$11:$H$15,0)),"No"))</f>
        <v/>
      </c>
      <c r="W513" s="37" t="str">
        <f aca="false">IF(Q513="","",IFERROR(INDEX(Settings!$J$11:$J$15,MATCH(Q513,Settings!$H$11:$H$15,0)),"No"))</f>
        <v/>
      </c>
    </row>
    <row r="514" customFormat="false" ht="15" hidden="false" customHeight="false" outlineLevel="0" collapsed="false">
      <c r="A514" s="30"/>
      <c r="B514" s="25"/>
      <c r="C514" s="25"/>
      <c r="D514" s="25"/>
      <c r="E514" s="25"/>
      <c r="F514" s="25"/>
      <c r="G514" s="25"/>
      <c r="H514" s="31"/>
      <c r="I514" s="32"/>
      <c r="J514" s="33"/>
      <c r="K514" s="34" t="str">
        <f aca="false">IF(OR(H514="",I514=""),"",H514*I514*(1-N(J514)))</f>
        <v/>
      </c>
      <c r="L514" s="32"/>
      <c r="M514" s="34" t="str">
        <f aca="false">IF(OR(H514="",L514=""),"",H514*L514)</f>
        <v/>
      </c>
      <c r="N514" s="34" t="str">
        <f aca="false">IF(OR(K514="",M514=""),"",K514-M514)</f>
        <v/>
      </c>
      <c r="O514" s="35" t="str">
        <f aca="false">IF(OR(N514="",K514=""),"",IF(K514=0,"",N514/K514))</f>
        <v/>
      </c>
      <c r="P514" s="25"/>
      <c r="Q514" s="25"/>
      <c r="R514" s="25"/>
      <c r="S514" s="36" t="str">
        <f aca="false">IF(A514="","",YEAR(A514)+IF(AND(FYStart&gt;1,MONTH(A514)&gt;=FYStart),1,0))</f>
        <v/>
      </c>
      <c r="T514" s="36" t="str">
        <f aca="false">IF(A514="","",MOD(MONTH(A514)-FYStart,12)+1)</f>
        <v/>
      </c>
      <c r="U514" s="37" t="str">
        <f aca="false">IF(A514="","",TEXT(A514,"mmm"))</f>
        <v/>
      </c>
      <c r="V514" s="37" t="str">
        <f aca="false">IF(Q514="","",IFERROR(INDEX(Settings!$I$11:$I$15,MATCH(Q514,Settings!$H$11:$H$15,0)),"No"))</f>
        <v/>
      </c>
      <c r="W514" s="37" t="str">
        <f aca="false">IF(Q514="","",IFERROR(INDEX(Settings!$J$11:$J$15,MATCH(Q514,Settings!$H$11:$H$15,0)),"No"))</f>
        <v/>
      </c>
    </row>
    <row r="515" customFormat="false" ht="15" hidden="false" customHeight="false" outlineLevel="0" collapsed="false">
      <c r="A515" s="30"/>
      <c r="B515" s="25"/>
      <c r="C515" s="25"/>
      <c r="D515" s="25"/>
      <c r="E515" s="25"/>
      <c r="F515" s="25"/>
      <c r="G515" s="25"/>
      <c r="H515" s="31"/>
      <c r="I515" s="32"/>
      <c r="J515" s="33"/>
      <c r="K515" s="34" t="str">
        <f aca="false">IF(OR(H515="",I515=""),"",H515*I515*(1-N(J515)))</f>
        <v/>
      </c>
      <c r="L515" s="32"/>
      <c r="M515" s="34" t="str">
        <f aca="false">IF(OR(H515="",L515=""),"",H515*L515)</f>
        <v/>
      </c>
      <c r="N515" s="34" t="str">
        <f aca="false">IF(OR(K515="",M515=""),"",K515-M515)</f>
        <v/>
      </c>
      <c r="O515" s="35" t="str">
        <f aca="false">IF(OR(N515="",K515=""),"",IF(K515=0,"",N515/K515))</f>
        <v/>
      </c>
      <c r="P515" s="25"/>
      <c r="Q515" s="25"/>
      <c r="R515" s="25"/>
      <c r="S515" s="36" t="str">
        <f aca="false">IF(A515="","",YEAR(A515)+IF(AND(FYStart&gt;1,MONTH(A515)&gt;=FYStart),1,0))</f>
        <v/>
      </c>
      <c r="T515" s="36" t="str">
        <f aca="false">IF(A515="","",MOD(MONTH(A515)-FYStart,12)+1)</f>
        <v/>
      </c>
      <c r="U515" s="37" t="str">
        <f aca="false">IF(A515="","",TEXT(A515,"mmm"))</f>
        <v/>
      </c>
      <c r="V515" s="37" t="str">
        <f aca="false">IF(Q515="","",IFERROR(INDEX(Settings!$I$11:$I$15,MATCH(Q515,Settings!$H$11:$H$15,0)),"No"))</f>
        <v/>
      </c>
      <c r="W515" s="37" t="str">
        <f aca="false">IF(Q515="","",IFERROR(INDEX(Settings!$J$11:$J$15,MATCH(Q515,Settings!$H$11:$H$15,0)),"No"))</f>
        <v/>
      </c>
    </row>
    <row r="516" customFormat="false" ht="15" hidden="false" customHeight="false" outlineLevel="0" collapsed="false">
      <c r="A516" s="30"/>
      <c r="B516" s="25"/>
      <c r="C516" s="25"/>
      <c r="D516" s="25"/>
      <c r="E516" s="25"/>
      <c r="F516" s="25"/>
      <c r="G516" s="25"/>
      <c r="H516" s="31"/>
      <c r="I516" s="32"/>
      <c r="J516" s="33"/>
      <c r="K516" s="34" t="str">
        <f aca="false">IF(OR(H516="",I516=""),"",H516*I516*(1-N(J516)))</f>
        <v/>
      </c>
      <c r="L516" s="32"/>
      <c r="M516" s="34" t="str">
        <f aca="false">IF(OR(H516="",L516=""),"",H516*L516)</f>
        <v/>
      </c>
      <c r="N516" s="34" t="str">
        <f aca="false">IF(OR(K516="",M516=""),"",K516-M516)</f>
        <v/>
      </c>
      <c r="O516" s="35" t="str">
        <f aca="false">IF(OR(N516="",K516=""),"",IF(K516=0,"",N516/K516))</f>
        <v/>
      </c>
      <c r="P516" s="25"/>
      <c r="Q516" s="25"/>
      <c r="R516" s="25"/>
      <c r="S516" s="36" t="str">
        <f aca="false">IF(A516="","",YEAR(A516)+IF(AND(FYStart&gt;1,MONTH(A516)&gt;=FYStart),1,0))</f>
        <v/>
      </c>
      <c r="T516" s="36" t="str">
        <f aca="false">IF(A516="","",MOD(MONTH(A516)-FYStart,12)+1)</f>
        <v/>
      </c>
      <c r="U516" s="37" t="str">
        <f aca="false">IF(A516="","",TEXT(A516,"mmm"))</f>
        <v/>
      </c>
      <c r="V516" s="37" t="str">
        <f aca="false">IF(Q516="","",IFERROR(INDEX(Settings!$I$11:$I$15,MATCH(Q516,Settings!$H$11:$H$15,0)),"No"))</f>
        <v/>
      </c>
      <c r="W516" s="37" t="str">
        <f aca="false">IF(Q516="","",IFERROR(INDEX(Settings!$J$11:$J$15,MATCH(Q516,Settings!$H$11:$H$15,0)),"No"))</f>
        <v/>
      </c>
    </row>
    <row r="517" customFormat="false" ht="15" hidden="false" customHeight="false" outlineLevel="0" collapsed="false">
      <c r="A517" s="30"/>
      <c r="B517" s="25"/>
      <c r="C517" s="25"/>
      <c r="D517" s="25"/>
      <c r="E517" s="25"/>
      <c r="F517" s="25"/>
      <c r="G517" s="25"/>
      <c r="H517" s="31"/>
      <c r="I517" s="32"/>
      <c r="J517" s="33"/>
      <c r="K517" s="34" t="str">
        <f aca="false">IF(OR(H517="",I517=""),"",H517*I517*(1-N(J517)))</f>
        <v/>
      </c>
      <c r="L517" s="32"/>
      <c r="M517" s="34" t="str">
        <f aca="false">IF(OR(H517="",L517=""),"",H517*L517)</f>
        <v/>
      </c>
      <c r="N517" s="34" t="str">
        <f aca="false">IF(OR(K517="",M517=""),"",K517-M517)</f>
        <v/>
      </c>
      <c r="O517" s="35" t="str">
        <f aca="false">IF(OR(N517="",K517=""),"",IF(K517=0,"",N517/K517))</f>
        <v/>
      </c>
      <c r="P517" s="25"/>
      <c r="Q517" s="25"/>
      <c r="R517" s="25"/>
      <c r="S517" s="36" t="str">
        <f aca="false">IF(A517="","",YEAR(A517)+IF(AND(FYStart&gt;1,MONTH(A517)&gt;=FYStart),1,0))</f>
        <v/>
      </c>
      <c r="T517" s="36" t="str">
        <f aca="false">IF(A517="","",MOD(MONTH(A517)-FYStart,12)+1)</f>
        <v/>
      </c>
      <c r="U517" s="37" t="str">
        <f aca="false">IF(A517="","",TEXT(A517,"mmm"))</f>
        <v/>
      </c>
      <c r="V517" s="37" t="str">
        <f aca="false">IF(Q517="","",IFERROR(INDEX(Settings!$I$11:$I$15,MATCH(Q517,Settings!$H$11:$H$15,0)),"No"))</f>
        <v/>
      </c>
      <c r="W517" s="37" t="str">
        <f aca="false">IF(Q517="","",IFERROR(INDEX(Settings!$J$11:$J$15,MATCH(Q517,Settings!$H$11:$H$15,0)),"No"))</f>
        <v/>
      </c>
    </row>
    <row r="518" customFormat="false" ht="15" hidden="false" customHeight="false" outlineLevel="0" collapsed="false">
      <c r="A518" s="30"/>
      <c r="B518" s="25"/>
      <c r="C518" s="25"/>
      <c r="D518" s="25"/>
      <c r="E518" s="25"/>
      <c r="F518" s="25"/>
      <c r="G518" s="25"/>
      <c r="H518" s="31"/>
      <c r="I518" s="32"/>
      <c r="J518" s="33"/>
      <c r="K518" s="34" t="str">
        <f aca="false">IF(OR(H518="",I518=""),"",H518*I518*(1-N(J518)))</f>
        <v/>
      </c>
      <c r="L518" s="32"/>
      <c r="M518" s="34" t="str">
        <f aca="false">IF(OR(H518="",L518=""),"",H518*L518)</f>
        <v/>
      </c>
      <c r="N518" s="34" t="str">
        <f aca="false">IF(OR(K518="",M518=""),"",K518-M518)</f>
        <v/>
      </c>
      <c r="O518" s="35" t="str">
        <f aca="false">IF(OR(N518="",K518=""),"",IF(K518=0,"",N518/K518))</f>
        <v/>
      </c>
      <c r="P518" s="25"/>
      <c r="Q518" s="25"/>
      <c r="R518" s="25"/>
      <c r="S518" s="36" t="str">
        <f aca="false">IF(A518="","",YEAR(A518)+IF(AND(FYStart&gt;1,MONTH(A518)&gt;=FYStart),1,0))</f>
        <v/>
      </c>
      <c r="T518" s="36" t="str">
        <f aca="false">IF(A518="","",MOD(MONTH(A518)-FYStart,12)+1)</f>
        <v/>
      </c>
      <c r="U518" s="37" t="str">
        <f aca="false">IF(A518="","",TEXT(A518,"mmm"))</f>
        <v/>
      </c>
      <c r="V518" s="37" t="str">
        <f aca="false">IF(Q518="","",IFERROR(INDEX(Settings!$I$11:$I$15,MATCH(Q518,Settings!$H$11:$H$15,0)),"No"))</f>
        <v/>
      </c>
      <c r="W518" s="37" t="str">
        <f aca="false">IF(Q518="","",IFERROR(INDEX(Settings!$J$11:$J$15,MATCH(Q518,Settings!$H$11:$H$15,0)),"No"))</f>
        <v/>
      </c>
    </row>
    <row r="519" customFormat="false" ht="15" hidden="false" customHeight="false" outlineLevel="0" collapsed="false">
      <c r="A519" s="30"/>
      <c r="B519" s="25"/>
      <c r="C519" s="25"/>
      <c r="D519" s="25"/>
      <c r="E519" s="25"/>
      <c r="F519" s="25"/>
      <c r="G519" s="25"/>
      <c r="H519" s="31"/>
      <c r="I519" s="32"/>
      <c r="J519" s="33"/>
      <c r="K519" s="34" t="str">
        <f aca="false">IF(OR(H519="",I519=""),"",H519*I519*(1-N(J519)))</f>
        <v/>
      </c>
      <c r="L519" s="32"/>
      <c r="M519" s="34" t="str">
        <f aca="false">IF(OR(H519="",L519=""),"",H519*L519)</f>
        <v/>
      </c>
      <c r="N519" s="34" t="str">
        <f aca="false">IF(OR(K519="",M519=""),"",K519-M519)</f>
        <v/>
      </c>
      <c r="O519" s="35" t="str">
        <f aca="false">IF(OR(N519="",K519=""),"",IF(K519=0,"",N519/K519))</f>
        <v/>
      </c>
      <c r="P519" s="25"/>
      <c r="Q519" s="25"/>
      <c r="R519" s="25"/>
      <c r="S519" s="36" t="str">
        <f aca="false">IF(A519="","",YEAR(A519)+IF(AND(FYStart&gt;1,MONTH(A519)&gt;=FYStart),1,0))</f>
        <v/>
      </c>
      <c r="T519" s="36" t="str">
        <f aca="false">IF(A519="","",MOD(MONTH(A519)-FYStart,12)+1)</f>
        <v/>
      </c>
      <c r="U519" s="37" t="str">
        <f aca="false">IF(A519="","",TEXT(A519,"mmm"))</f>
        <v/>
      </c>
      <c r="V519" s="37" t="str">
        <f aca="false">IF(Q519="","",IFERROR(INDEX(Settings!$I$11:$I$15,MATCH(Q519,Settings!$H$11:$H$15,0)),"No"))</f>
        <v/>
      </c>
      <c r="W519" s="37" t="str">
        <f aca="false">IF(Q519="","",IFERROR(INDEX(Settings!$J$11:$J$15,MATCH(Q519,Settings!$H$11:$H$15,0)),"No"))</f>
        <v/>
      </c>
    </row>
    <row r="520" customFormat="false" ht="15" hidden="false" customHeight="false" outlineLevel="0" collapsed="false">
      <c r="A520" s="30"/>
      <c r="B520" s="25"/>
      <c r="C520" s="25"/>
      <c r="D520" s="25"/>
      <c r="E520" s="25"/>
      <c r="F520" s="25"/>
      <c r="G520" s="25"/>
      <c r="H520" s="31"/>
      <c r="I520" s="32"/>
      <c r="J520" s="33"/>
      <c r="K520" s="34" t="str">
        <f aca="false">IF(OR(H520="",I520=""),"",H520*I520*(1-N(J520)))</f>
        <v/>
      </c>
      <c r="L520" s="32"/>
      <c r="M520" s="34" t="str">
        <f aca="false">IF(OR(H520="",L520=""),"",H520*L520)</f>
        <v/>
      </c>
      <c r="N520" s="34" t="str">
        <f aca="false">IF(OR(K520="",M520=""),"",K520-M520)</f>
        <v/>
      </c>
      <c r="O520" s="35" t="str">
        <f aca="false">IF(OR(N520="",K520=""),"",IF(K520=0,"",N520/K520))</f>
        <v/>
      </c>
      <c r="P520" s="25"/>
      <c r="Q520" s="25"/>
      <c r="R520" s="25"/>
      <c r="S520" s="36" t="str">
        <f aca="false">IF(A520="","",YEAR(A520)+IF(AND(FYStart&gt;1,MONTH(A520)&gt;=FYStart),1,0))</f>
        <v/>
      </c>
      <c r="T520" s="36" t="str">
        <f aca="false">IF(A520="","",MOD(MONTH(A520)-FYStart,12)+1)</f>
        <v/>
      </c>
      <c r="U520" s="37" t="str">
        <f aca="false">IF(A520="","",TEXT(A520,"mmm"))</f>
        <v/>
      </c>
      <c r="V520" s="37" t="str">
        <f aca="false">IF(Q520="","",IFERROR(INDEX(Settings!$I$11:$I$15,MATCH(Q520,Settings!$H$11:$H$15,0)),"No"))</f>
        <v/>
      </c>
      <c r="W520" s="37" t="str">
        <f aca="false">IF(Q520="","",IFERROR(INDEX(Settings!$J$11:$J$15,MATCH(Q520,Settings!$H$11:$H$15,0)),"No"))</f>
        <v/>
      </c>
    </row>
    <row r="521" customFormat="false" ht="15" hidden="false" customHeight="false" outlineLevel="0" collapsed="false">
      <c r="A521" s="30"/>
      <c r="B521" s="25"/>
      <c r="C521" s="25"/>
      <c r="D521" s="25"/>
      <c r="E521" s="25"/>
      <c r="F521" s="25"/>
      <c r="G521" s="25"/>
      <c r="H521" s="31"/>
      <c r="I521" s="32"/>
      <c r="J521" s="33"/>
      <c r="K521" s="34" t="str">
        <f aca="false">IF(OR(H521="",I521=""),"",H521*I521*(1-N(J521)))</f>
        <v/>
      </c>
      <c r="L521" s="32"/>
      <c r="M521" s="34" t="str">
        <f aca="false">IF(OR(H521="",L521=""),"",H521*L521)</f>
        <v/>
      </c>
      <c r="N521" s="34" t="str">
        <f aca="false">IF(OR(K521="",M521=""),"",K521-M521)</f>
        <v/>
      </c>
      <c r="O521" s="35" t="str">
        <f aca="false">IF(OR(N521="",K521=""),"",IF(K521=0,"",N521/K521))</f>
        <v/>
      </c>
      <c r="P521" s="25"/>
      <c r="Q521" s="25"/>
      <c r="R521" s="25"/>
      <c r="S521" s="36" t="str">
        <f aca="false">IF(A521="","",YEAR(A521)+IF(AND(FYStart&gt;1,MONTH(A521)&gt;=FYStart),1,0))</f>
        <v/>
      </c>
      <c r="T521" s="36" t="str">
        <f aca="false">IF(A521="","",MOD(MONTH(A521)-FYStart,12)+1)</f>
        <v/>
      </c>
      <c r="U521" s="37" t="str">
        <f aca="false">IF(A521="","",TEXT(A521,"mmm"))</f>
        <v/>
      </c>
      <c r="V521" s="37" t="str">
        <f aca="false">IF(Q521="","",IFERROR(INDEX(Settings!$I$11:$I$15,MATCH(Q521,Settings!$H$11:$H$15,0)),"No"))</f>
        <v/>
      </c>
      <c r="W521" s="37" t="str">
        <f aca="false">IF(Q521="","",IFERROR(INDEX(Settings!$J$11:$J$15,MATCH(Q521,Settings!$H$11:$H$15,0)),"No"))</f>
        <v/>
      </c>
    </row>
    <row r="522" customFormat="false" ht="15" hidden="false" customHeight="false" outlineLevel="0" collapsed="false">
      <c r="A522" s="30"/>
      <c r="B522" s="25"/>
      <c r="C522" s="25"/>
      <c r="D522" s="25"/>
      <c r="E522" s="25"/>
      <c r="F522" s="25"/>
      <c r="G522" s="25"/>
      <c r="H522" s="31"/>
      <c r="I522" s="32"/>
      <c r="J522" s="33"/>
      <c r="K522" s="34" t="str">
        <f aca="false">IF(OR(H522="",I522=""),"",H522*I522*(1-N(J522)))</f>
        <v/>
      </c>
      <c r="L522" s="32"/>
      <c r="M522" s="34" t="str">
        <f aca="false">IF(OR(H522="",L522=""),"",H522*L522)</f>
        <v/>
      </c>
      <c r="N522" s="34" t="str">
        <f aca="false">IF(OR(K522="",M522=""),"",K522-M522)</f>
        <v/>
      </c>
      <c r="O522" s="35" t="str">
        <f aca="false">IF(OR(N522="",K522=""),"",IF(K522=0,"",N522/K522))</f>
        <v/>
      </c>
      <c r="P522" s="25"/>
      <c r="Q522" s="25"/>
      <c r="R522" s="25"/>
      <c r="S522" s="36" t="str">
        <f aca="false">IF(A522="","",YEAR(A522)+IF(AND(FYStart&gt;1,MONTH(A522)&gt;=FYStart),1,0))</f>
        <v/>
      </c>
      <c r="T522" s="36" t="str">
        <f aca="false">IF(A522="","",MOD(MONTH(A522)-FYStart,12)+1)</f>
        <v/>
      </c>
      <c r="U522" s="37" t="str">
        <f aca="false">IF(A522="","",TEXT(A522,"mmm"))</f>
        <v/>
      </c>
      <c r="V522" s="37" t="str">
        <f aca="false">IF(Q522="","",IFERROR(INDEX(Settings!$I$11:$I$15,MATCH(Q522,Settings!$H$11:$H$15,0)),"No"))</f>
        <v/>
      </c>
      <c r="W522" s="37" t="str">
        <f aca="false">IF(Q522="","",IFERROR(INDEX(Settings!$J$11:$J$15,MATCH(Q522,Settings!$H$11:$H$15,0)),"No"))</f>
        <v/>
      </c>
    </row>
    <row r="523" customFormat="false" ht="15" hidden="false" customHeight="false" outlineLevel="0" collapsed="false">
      <c r="A523" s="30"/>
      <c r="B523" s="25"/>
      <c r="C523" s="25"/>
      <c r="D523" s="25"/>
      <c r="E523" s="25"/>
      <c r="F523" s="25"/>
      <c r="G523" s="25"/>
      <c r="H523" s="31"/>
      <c r="I523" s="32"/>
      <c r="J523" s="33"/>
      <c r="K523" s="34" t="str">
        <f aca="false">IF(OR(H523="",I523=""),"",H523*I523*(1-N(J523)))</f>
        <v/>
      </c>
      <c r="L523" s="32"/>
      <c r="M523" s="34" t="str">
        <f aca="false">IF(OR(H523="",L523=""),"",H523*L523)</f>
        <v/>
      </c>
      <c r="N523" s="34" t="str">
        <f aca="false">IF(OR(K523="",M523=""),"",K523-M523)</f>
        <v/>
      </c>
      <c r="O523" s="35" t="str">
        <f aca="false">IF(OR(N523="",K523=""),"",IF(K523=0,"",N523/K523))</f>
        <v/>
      </c>
      <c r="P523" s="25"/>
      <c r="Q523" s="25"/>
      <c r="R523" s="25"/>
      <c r="S523" s="36" t="str">
        <f aca="false">IF(A523="","",YEAR(A523)+IF(AND(FYStart&gt;1,MONTH(A523)&gt;=FYStart),1,0))</f>
        <v/>
      </c>
      <c r="T523" s="36" t="str">
        <f aca="false">IF(A523="","",MOD(MONTH(A523)-FYStart,12)+1)</f>
        <v/>
      </c>
      <c r="U523" s="37" t="str">
        <f aca="false">IF(A523="","",TEXT(A523,"mmm"))</f>
        <v/>
      </c>
      <c r="V523" s="37" t="str">
        <f aca="false">IF(Q523="","",IFERROR(INDEX(Settings!$I$11:$I$15,MATCH(Q523,Settings!$H$11:$H$15,0)),"No"))</f>
        <v/>
      </c>
      <c r="W523" s="37" t="str">
        <f aca="false">IF(Q523="","",IFERROR(INDEX(Settings!$J$11:$J$15,MATCH(Q523,Settings!$H$11:$H$15,0)),"No"))</f>
        <v/>
      </c>
    </row>
    <row r="524" customFormat="false" ht="15" hidden="false" customHeight="false" outlineLevel="0" collapsed="false">
      <c r="A524" s="30"/>
      <c r="B524" s="25"/>
      <c r="C524" s="25"/>
      <c r="D524" s="25"/>
      <c r="E524" s="25"/>
      <c r="F524" s="25"/>
      <c r="G524" s="25"/>
      <c r="H524" s="31"/>
      <c r="I524" s="32"/>
      <c r="J524" s="33"/>
      <c r="K524" s="34" t="str">
        <f aca="false">IF(OR(H524="",I524=""),"",H524*I524*(1-N(J524)))</f>
        <v/>
      </c>
      <c r="L524" s="32"/>
      <c r="M524" s="34" t="str">
        <f aca="false">IF(OR(H524="",L524=""),"",H524*L524)</f>
        <v/>
      </c>
      <c r="N524" s="34" t="str">
        <f aca="false">IF(OR(K524="",M524=""),"",K524-M524)</f>
        <v/>
      </c>
      <c r="O524" s="35" t="str">
        <f aca="false">IF(OR(N524="",K524=""),"",IF(K524=0,"",N524/K524))</f>
        <v/>
      </c>
      <c r="P524" s="25"/>
      <c r="Q524" s="25"/>
      <c r="R524" s="25"/>
      <c r="S524" s="36" t="str">
        <f aca="false">IF(A524="","",YEAR(A524)+IF(AND(FYStart&gt;1,MONTH(A524)&gt;=FYStart),1,0))</f>
        <v/>
      </c>
      <c r="T524" s="36" t="str">
        <f aca="false">IF(A524="","",MOD(MONTH(A524)-FYStart,12)+1)</f>
        <v/>
      </c>
      <c r="U524" s="37" t="str">
        <f aca="false">IF(A524="","",TEXT(A524,"mmm"))</f>
        <v/>
      </c>
      <c r="V524" s="37" t="str">
        <f aca="false">IF(Q524="","",IFERROR(INDEX(Settings!$I$11:$I$15,MATCH(Q524,Settings!$H$11:$H$15,0)),"No"))</f>
        <v/>
      </c>
      <c r="W524" s="37" t="str">
        <f aca="false">IF(Q524="","",IFERROR(INDEX(Settings!$J$11:$J$15,MATCH(Q524,Settings!$H$11:$H$15,0)),"No"))</f>
        <v/>
      </c>
    </row>
    <row r="525" customFormat="false" ht="15" hidden="false" customHeight="false" outlineLevel="0" collapsed="false">
      <c r="A525" s="30"/>
      <c r="B525" s="25"/>
      <c r="C525" s="25"/>
      <c r="D525" s="25"/>
      <c r="E525" s="25"/>
      <c r="F525" s="25"/>
      <c r="G525" s="25"/>
      <c r="H525" s="31"/>
      <c r="I525" s="32"/>
      <c r="J525" s="33"/>
      <c r="K525" s="34" t="str">
        <f aca="false">IF(OR(H525="",I525=""),"",H525*I525*(1-N(J525)))</f>
        <v/>
      </c>
      <c r="L525" s="32"/>
      <c r="M525" s="34" t="str">
        <f aca="false">IF(OR(H525="",L525=""),"",H525*L525)</f>
        <v/>
      </c>
      <c r="N525" s="34" t="str">
        <f aca="false">IF(OR(K525="",M525=""),"",K525-M525)</f>
        <v/>
      </c>
      <c r="O525" s="35" t="str">
        <f aca="false">IF(OR(N525="",K525=""),"",IF(K525=0,"",N525/K525))</f>
        <v/>
      </c>
      <c r="P525" s="25"/>
      <c r="Q525" s="25"/>
      <c r="R525" s="25"/>
      <c r="S525" s="36" t="str">
        <f aca="false">IF(A525="","",YEAR(A525)+IF(AND(FYStart&gt;1,MONTH(A525)&gt;=FYStart),1,0))</f>
        <v/>
      </c>
      <c r="T525" s="36" t="str">
        <f aca="false">IF(A525="","",MOD(MONTH(A525)-FYStart,12)+1)</f>
        <v/>
      </c>
      <c r="U525" s="37" t="str">
        <f aca="false">IF(A525="","",TEXT(A525,"mmm"))</f>
        <v/>
      </c>
      <c r="V525" s="37" t="str">
        <f aca="false">IF(Q525="","",IFERROR(INDEX(Settings!$I$11:$I$15,MATCH(Q525,Settings!$H$11:$H$15,0)),"No"))</f>
        <v/>
      </c>
      <c r="W525" s="37" t="str">
        <f aca="false">IF(Q525="","",IFERROR(INDEX(Settings!$J$11:$J$15,MATCH(Q525,Settings!$H$11:$H$15,0)),"No"))</f>
        <v/>
      </c>
    </row>
    <row r="526" customFormat="false" ht="15" hidden="false" customHeight="false" outlineLevel="0" collapsed="false">
      <c r="A526" s="30"/>
      <c r="B526" s="25"/>
      <c r="C526" s="25"/>
      <c r="D526" s="25"/>
      <c r="E526" s="25"/>
      <c r="F526" s="25"/>
      <c r="G526" s="25"/>
      <c r="H526" s="31"/>
      <c r="I526" s="32"/>
      <c r="J526" s="33"/>
      <c r="K526" s="34" t="str">
        <f aca="false">IF(OR(H526="",I526=""),"",H526*I526*(1-N(J526)))</f>
        <v/>
      </c>
      <c r="L526" s="32"/>
      <c r="M526" s="34" t="str">
        <f aca="false">IF(OR(H526="",L526=""),"",H526*L526)</f>
        <v/>
      </c>
      <c r="N526" s="34" t="str">
        <f aca="false">IF(OR(K526="",M526=""),"",K526-M526)</f>
        <v/>
      </c>
      <c r="O526" s="35" t="str">
        <f aca="false">IF(OR(N526="",K526=""),"",IF(K526=0,"",N526/K526))</f>
        <v/>
      </c>
      <c r="P526" s="25"/>
      <c r="Q526" s="25"/>
      <c r="R526" s="25"/>
      <c r="S526" s="36" t="str">
        <f aca="false">IF(A526="","",YEAR(A526)+IF(AND(FYStart&gt;1,MONTH(A526)&gt;=FYStart),1,0))</f>
        <v/>
      </c>
      <c r="T526" s="36" t="str">
        <f aca="false">IF(A526="","",MOD(MONTH(A526)-FYStart,12)+1)</f>
        <v/>
      </c>
      <c r="U526" s="37" t="str">
        <f aca="false">IF(A526="","",TEXT(A526,"mmm"))</f>
        <v/>
      </c>
      <c r="V526" s="37" t="str">
        <f aca="false">IF(Q526="","",IFERROR(INDEX(Settings!$I$11:$I$15,MATCH(Q526,Settings!$H$11:$H$15,0)),"No"))</f>
        <v/>
      </c>
      <c r="W526" s="37" t="str">
        <f aca="false">IF(Q526="","",IFERROR(INDEX(Settings!$J$11:$J$15,MATCH(Q526,Settings!$H$11:$H$15,0)),"No"))</f>
        <v/>
      </c>
    </row>
    <row r="527" customFormat="false" ht="15" hidden="false" customHeight="false" outlineLevel="0" collapsed="false">
      <c r="A527" s="30"/>
      <c r="B527" s="25"/>
      <c r="C527" s="25"/>
      <c r="D527" s="25"/>
      <c r="E527" s="25"/>
      <c r="F527" s="25"/>
      <c r="G527" s="25"/>
      <c r="H527" s="31"/>
      <c r="I527" s="32"/>
      <c r="J527" s="33"/>
      <c r="K527" s="34" t="str">
        <f aca="false">IF(OR(H527="",I527=""),"",H527*I527*(1-N(J527)))</f>
        <v/>
      </c>
      <c r="L527" s="32"/>
      <c r="M527" s="34" t="str">
        <f aca="false">IF(OR(H527="",L527=""),"",H527*L527)</f>
        <v/>
      </c>
      <c r="N527" s="34" t="str">
        <f aca="false">IF(OR(K527="",M527=""),"",K527-M527)</f>
        <v/>
      </c>
      <c r="O527" s="35" t="str">
        <f aca="false">IF(OR(N527="",K527=""),"",IF(K527=0,"",N527/K527))</f>
        <v/>
      </c>
      <c r="P527" s="25"/>
      <c r="Q527" s="25"/>
      <c r="R527" s="25"/>
      <c r="S527" s="36" t="str">
        <f aca="false">IF(A527="","",YEAR(A527)+IF(AND(FYStart&gt;1,MONTH(A527)&gt;=FYStart),1,0))</f>
        <v/>
      </c>
      <c r="T527" s="36" t="str">
        <f aca="false">IF(A527="","",MOD(MONTH(A527)-FYStart,12)+1)</f>
        <v/>
      </c>
      <c r="U527" s="37" t="str">
        <f aca="false">IF(A527="","",TEXT(A527,"mmm"))</f>
        <v/>
      </c>
      <c r="V527" s="37" t="str">
        <f aca="false">IF(Q527="","",IFERROR(INDEX(Settings!$I$11:$I$15,MATCH(Q527,Settings!$H$11:$H$15,0)),"No"))</f>
        <v/>
      </c>
      <c r="W527" s="37" t="str">
        <f aca="false">IF(Q527="","",IFERROR(INDEX(Settings!$J$11:$J$15,MATCH(Q527,Settings!$H$11:$H$15,0)),"No"))</f>
        <v/>
      </c>
    </row>
    <row r="528" customFormat="false" ht="15" hidden="false" customHeight="false" outlineLevel="0" collapsed="false">
      <c r="A528" s="30"/>
      <c r="B528" s="25"/>
      <c r="C528" s="25"/>
      <c r="D528" s="25"/>
      <c r="E528" s="25"/>
      <c r="F528" s="25"/>
      <c r="G528" s="25"/>
      <c r="H528" s="31"/>
      <c r="I528" s="32"/>
      <c r="J528" s="33"/>
      <c r="K528" s="34" t="str">
        <f aca="false">IF(OR(H528="",I528=""),"",H528*I528*(1-N(J528)))</f>
        <v/>
      </c>
      <c r="L528" s="32"/>
      <c r="M528" s="34" t="str">
        <f aca="false">IF(OR(H528="",L528=""),"",H528*L528)</f>
        <v/>
      </c>
      <c r="N528" s="34" t="str">
        <f aca="false">IF(OR(K528="",M528=""),"",K528-M528)</f>
        <v/>
      </c>
      <c r="O528" s="35" t="str">
        <f aca="false">IF(OR(N528="",K528=""),"",IF(K528=0,"",N528/K528))</f>
        <v/>
      </c>
      <c r="P528" s="25"/>
      <c r="Q528" s="25"/>
      <c r="R528" s="25"/>
      <c r="S528" s="36" t="str">
        <f aca="false">IF(A528="","",YEAR(A528)+IF(AND(FYStart&gt;1,MONTH(A528)&gt;=FYStart),1,0))</f>
        <v/>
      </c>
      <c r="T528" s="36" t="str">
        <f aca="false">IF(A528="","",MOD(MONTH(A528)-FYStart,12)+1)</f>
        <v/>
      </c>
      <c r="U528" s="37" t="str">
        <f aca="false">IF(A528="","",TEXT(A528,"mmm"))</f>
        <v/>
      </c>
      <c r="V528" s="37" t="str">
        <f aca="false">IF(Q528="","",IFERROR(INDEX(Settings!$I$11:$I$15,MATCH(Q528,Settings!$H$11:$H$15,0)),"No"))</f>
        <v/>
      </c>
      <c r="W528" s="37" t="str">
        <f aca="false">IF(Q528="","",IFERROR(INDEX(Settings!$J$11:$J$15,MATCH(Q528,Settings!$H$11:$H$15,0)),"No"))</f>
        <v/>
      </c>
    </row>
    <row r="529" customFormat="false" ht="15" hidden="false" customHeight="false" outlineLevel="0" collapsed="false">
      <c r="A529" s="30"/>
      <c r="B529" s="25"/>
      <c r="C529" s="25"/>
      <c r="D529" s="25"/>
      <c r="E529" s="25"/>
      <c r="F529" s="25"/>
      <c r="G529" s="25"/>
      <c r="H529" s="31"/>
      <c r="I529" s="32"/>
      <c r="J529" s="33"/>
      <c r="K529" s="34" t="str">
        <f aca="false">IF(OR(H529="",I529=""),"",H529*I529*(1-N(J529)))</f>
        <v/>
      </c>
      <c r="L529" s="32"/>
      <c r="M529" s="34" t="str">
        <f aca="false">IF(OR(H529="",L529=""),"",H529*L529)</f>
        <v/>
      </c>
      <c r="N529" s="34" t="str">
        <f aca="false">IF(OR(K529="",M529=""),"",K529-M529)</f>
        <v/>
      </c>
      <c r="O529" s="35" t="str">
        <f aca="false">IF(OR(N529="",K529=""),"",IF(K529=0,"",N529/K529))</f>
        <v/>
      </c>
      <c r="P529" s="25"/>
      <c r="Q529" s="25"/>
      <c r="R529" s="25"/>
      <c r="S529" s="36" t="str">
        <f aca="false">IF(A529="","",YEAR(A529)+IF(AND(FYStart&gt;1,MONTH(A529)&gt;=FYStart),1,0))</f>
        <v/>
      </c>
      <c r="T529" s="36" t="str">
        <f aca="false">IF(A529="","",MOD(MONTH(A529)-FYStart,12)+1)</f>
        <v/>
      </c>
      <c r="U529" s="37" t="str">
        <f aca="false">IF(A529="","",TEXT(A529,"mmm"))</f>
        <v/>
      </c>
      <c r="V529" s="37" t="str">
        <f aca="false">IF(Q529="","",IFERROR(INDEX(Settings!$I$11:$I$15,MATCH(Q529,Settings!$H$11:$H$15,0)),"No"))</f>
        <v/>
      </c>
      <c r="W529" s="37" t="str">
        <f aca="false">IF(Q529="","",IFERROR(INDEX(Settings!$J$11:$J$15,MATCH(Q529,Settings!$H$11:$H$15,0)),"No"))</f>
        <v/>
      </c>
    </row>
    <row r="530" customFormat="false" ht="15" hidden="false" customHeight="false" outlineLevel="0" collapsed="false">
      <c r="A530" s="30"/>
      <c r="B530" s="25"/>
      <c r="C530" s="25"/>
      <c r="D530" s="25"/>
      <c r="E530" s="25"/>
      <c r="F530" s="25"/>
      <c r="G530" s="25"/>
      <c r="H530" s="31"/>
      <c r="I530" s="32"/>
      <c r="J530" s="33"/>
      <c r="K530" s="34" t="str">
        <f aca="false">IF(OR(H530="",I530=""),"",H530*I530*(1-N(J530)))</f>
        <v/>
      </c>
      <c r="L530" s="32"/>
      <c r="M530" s="34" t="str">
        <f aca="false">IF(OR(H530="",L530=""),"",H530*L530)</f>
        <v/>
      </c>
      <c r="N530" s="34" t="str">
        <f aca="false">IF(OR(K530="",M530=""),"",K530-M530)</f>
        <v/>
      </c>
      <c r="O530" s="35" t="str">
        <f aca="false">IF(OR(N530="",K530=""),"",IF(K530=0,"",N530/K530))</f>
        <v/>
      </c>
      <c r="P530" s="25"/>
      <c r="Q530" s="25"/>
      <c r="R530" s="25"/>
      <c r="S530" s="36" t="str">
        <f aca="false">IF(A530="","",YEAR(A530)+IF(AND(FYStart&gt;1,MONTH(A530)&gt;=FYStart),1,0))</f>
        <v/>
      </c>
      <c r="T530" s="36" t="str">
        <f aca="false">IF(A530="","",MOD(MONTH(A530)-FYStart,12)+1)</f>
        <v/>
      </c>
      <c r="U530" s="37" t="str">
        <f aca="false">IF(A530="","",TEXT(A530,"mmm"))</f>
        <v/>
      </c>
      <c r="V530" s="37" t="str">
        <f aca="false">IF(Q530="","",IFERROR(INDEX(Settings!$I$11:$I$15,MATCH(Q530,Settings!$H$11:$H$15,0)),"No"))</f>
        <v/>
      </c>
      <c r="W530" s="37" t="str">
        <f aca="false">IF(Q530="","",IFERROR(INDEX(Settings!$J$11:$J$15,MATCH(Q530,Settings!$H$11:$H$15,0)),"No"))</f>
        <v/>
      </c>
    </row>
    <row r="531" customFormat="false" ht="15" hidden="false" customHeight="false" outlineLevel="0" collapsed="false">
      <c r="A531" s="30"/>
      <c r="B531" s="25"/>
      <c r="C531" s="25"/>
      <c r="D531" s="25"/>
      <c r="E531" s="25"/>
      <c r="F531" s="25"/>
      <c r="G531" s="25"/>
      <c r="H531" s="31"/>
      <c r="I531" s="32"/>
      <c r="J531" s="33"/>
      <c r="K531" s="34" t="str">
        <f aca="false">IF(OR(H531="",I531=""),"",H531*I531*(1-N(J531)))</f>
        <v/>
      </c>
      <c r="L531" s="32"/>
      <c r="M531" s="34" t="str">
        <f aca="false">IF(OR(H531="",L531=""),"",H531*L531)</f>
        <v/>
      </c>
      <c r="N531" s="34" t="str">
        <f aca="false">IF(OR(K531="",M531=""),"",K531-M531)</f>
        <v/>
      </c>
      <c r="O531" s="35" t="str">
        <f aca="false">IF(OR(N531="",K531=""),"",IF(K531=0,"",N531/K531))</f>
        <v/>
      </c>
      <c r="P531" s="25"/>
      <c r="Q531" s="25"/>
      <c r="R531" s="25"/>
      <c r="S531" s="36" t="str">
        <f aca="false">IF(A531="","",YEAR(A531)+IF(AND(FYStart&gt;1,MONTH(A531)&gt;=FYStart),1,0))</f>
        <v/>
      </c>
      <c r="T531" s="36" t="str">
        <f aca="false">IF(A531="","",MOD(MONTH(A531)-FYStart,12)+1)</f>
        <v/>
      </c>
      <c r="U531" s="37" t="str">
        <f aca="false">IF(A531="","",TEXT(A531,"mmm"))</f>
        <v/>
      </c>
      <c r="V531" s="37" t="str">
        <f aca="false">IF(Q531="","",IFERROR(INDEX(Settings!$I$11:$I$15,MATCH(Q531,Settings!$H$11:$H$15,0)),"No"))</f>
        <v/>
      </c>
      <c r="W531" s="37" t="str">
        <f aca="false">IF(Q531="","",IFERROR(INDEX(Settings!$J$11:$J$15,MATCH(Q531,Settings!$H$11:$H$15,0)),"No"))</f>
        <v/>
      </c>
    </row>
    <row r="532" customFormat="false" ht="15" hidden="false" customHeight="false" outlineLevel="0" collapsed="false">
      <c r="A532" s="30"/>
      <c r="B532" s="25"/>
      <c r="C532" s="25"/>
      <c r="D532" s="25"/>
      <c r="E532" s="25"/>
      <c r="F532" s="25"/>
      <c r="G532" s="25"/>
      <c r="H532" s="31"/>
      <c r="I532" s="32"/>
      <c r="J532" s="33"/>
      <c r="K532" s="34" t="str">
        <f aca="false">IF(OR(H532="",I532=""),"",H532*I532*(1-N(J532)))</f>
        <v/>
      </c>
      <c r="L532" s="32"/>
      <c r="M532" s="34" t="str">
        <f aca="false">IF(OR(H532="",L532=""),"",H532*L532)</f>
        <v/>
      </c>
      <c r="N532" s="34" t="str">
        <f aca="false">IF(OR(K532="",M532=""),"",K532-M532)</f>
        <v/>
      </c>
      <c r="O532" s="35" t="str">
        <f aca="false">IF(OR(N532="",K532=""),"",IF(K532=0,"",N532/K532))</f>
        <v/>
      </c>
      <c r="P532" s="25"/>
      <c r="Q532" s="25"/>
      <c r="R532" s="25"/>
      <c r="S532" s="36" t="str">
        <f aca="false">IF(A532="","",YEAR(A532)+IF(AND(FYStart&gt;1,MONTH(A532)&gt;=FYStart),1,0))</f>
        <v/>
      </c>
      <c r="T532" s="36" t="str">
        <f aca="false">IF(A532="","",MOD(MONTH(A532)-FYStart,12)+1)</f>
        <v/>
      </c>
      <c r="U532" s="37" t="str">
        <f aca="false">IF(A532="","",TEXT(A532,"mmm"))</f>
        <v/>
      </c>
      <c r="V532" s="37" t="str">
        <f aca="false">IF(Q532="","",IFERROR(INDEX(Settings!$I$11:$I$15,MATCH(Q532,Settings!$H$11:$H$15,0)),"No"))</f>
        <v/>
      </c>
      <c r="W532" s="37" t="str">
        <f aca="false">IF(Q532="","",IFERROR(INDEX(Settings!$J$11:$J$15,MATCH(Q532,Settings!$H$11:$H$15,0)),"No"))</f>
        <v/>
      </c>
    </row>
    <row r="533" customFormat="false" ht="15" hidden="false" customHeight="false" outlineLevel="0" collapsed="false">
      <c r="A533" s="30"/>
      <c r="B533" s="25"/>
      <c r="C533" s="25"/>
      <c r="D533" s="25"/>
      <c r="E533" s="25"/>
      <c r="F533" s="25"/>
      <c r="G533" s="25"/>
      <c r="H533" s="31"/>
      <c r="I533" s="32"/>
      <c r="J533" s="33"/>
      <c r="K533" s="34" t="str">
        <f aca="false">IF(OR(H533="",I533=""),"",H533*I533*(1-N(J533)))</f>
        <v/>
      </c>
      <c r="L533" s="32"/>
      <c r="M533" s="34" t="str">
        <f aca="false">IF(OR(H533="",L533=""),"",H533*L533)</f>
        <v/>
      </c>
      <c r="N533" s="34" t="str">
        <f aca="false">IF(OR(K533="",M533=""),"",K533-M533)</f>
        <v/>
      </c>
      <c r="O533" s="35" t="str">
        <f aca="false">IF(OR(N533="",K533=""),"",IF(K533=0,"",N533/K533))</f>
        <v/>
      </c>
      <c r="P533" s="25"/>
      <c r="Q533" s="25"/>
      <c r="R533" s="25"/>
      <c r="S533" s="36" t="str">
        <f aca="false">IF(A533="","",YEAR(A533)+IF(AND(FYStart&gt;1,MONTH(A533)&gt;=FYStart),1,0))</f>
        <v/>
      </c>
      <c r="T533" s="36" t="str">
        <f aca="false">IF(A533="","",MOD(MONTH(A533)-FYStart,12)+1)</f>
        <v/>
      </c>
      <c r="U533" s="37" t="str">
        <f aca="false">IF(A533="","",TEXT(A533,"mmm"))</f>
        <v/>
      </c>
      <c r="V533" s="37" t="str">
        <f aca="false">IF(Q533="","",IFERROR(INDEX(Settings!$I$11:$I$15,MATCH(Q533,Settings!$H$11:$H$15,0)),"No"))</f>
        <v/>
      </c>
      <c r="W533" s="37" t="str">
        <f aca="false">IF(Q533="","",IFERROR(INDEX(Settings!$J$11:$J$15,MATCH(Q533,Settings!$H$11:$H$15,0)),"No"))</f>
        <v/>
      </c>
    </row>
    <row r="534" customFormat="false" ht="15" hidden="false" customHeight="false" outlineLevel="0" collapsed="false">
      <c r="A534" s="30"/>
      <c r="B534" s="25"/>
      <c r="C534" s="25"/>
      <c r="D534" s="25"/>
      <c r="E534" s="25"/>
      <c r="F534" s="25"/>
      <c r="G534" s="25"/>
      <c r="H534" s="31"/>
      <c r="I534" s="32"/>
      <c r="J534" s="33"/>
      <c r="K534" s="34" t="str">
        <f aca="false">IF(OR(H534="",I534=""),"",H534*I534*(1-N(J534)))</f>
        <v/>
      </c>
      <c r="L534" s="32"/>
      <c r="M534" s="34" t="str">
        <f aca="false">IF(OR(H534="",L534=""),"",H534*L534)</f>
        <v/>
      </c>
      <c r="N534" s="34" t="str">
        <f aca="false">IF(OR(K534="",M534=""),"",K534-M534)</f>
        <v/>
      </c>
      <c r="O534" s="35" t="str">
        <f aca="false">IF(OR(N534="",K534=""),"",IF(K534=0,"",N534/K534))</f>
        <v/>
      </c>
      <c r="P534" s="25"/>
      <c r="Q534" s="25"/>
      <c r="R534" s="25"/>
      <c r="S534" s="36" t="str">
        <f aca="false">IF(A534="","",YEAR(A534)+IF(AND(FYStart&gt;1,MONTH(A534)&gt;=FYStart),1,0))</f>
        <v/>
      </c>
      <c r="T534" s="36" t="str">
        <f aca="false">IF(A534="","",MOD(MONTH(A534)-FYStart,12)+1)</f>
        <v/>
      </c>
      <c r="U534" s="37" t="str">
        <f aca="false">IF(A534="","",TEXT(A534,"mmm"))</f>
        <v/>
      </c>
      <c r="V534" s="37" t="str">
        <f aca="false">IF(Q534="","",IFERROR(INDEX(Settings!$I$11:$I$15,MATCH(Q534,Settings!$H$11:$H$15,0)),"No"))</f>
        <v/>
      </c>
      <c r="W534" s="37" t="str">
        <f aca="false">IF(Q534="","",IFERROR(INDEX(Settings!$J$11:$J$15,MATCH(Q534,Settings!$H$11:$H$15,0)),"No"))</f>
        <v/>
      </c>
    </row>
    <row r="535" customFormat="false" ht="15" hidden="false" customHeight="false" outlineLevel="0" collapsed="false">
      <c r="A535" s="30"/>
      <c r="B535" s="25"/>
      <c r="C535" s="25"/>
      <c r="D535" s="25"/>
      <c r="E535" s="25"/>
      <c r="F535" s="25"/>
      <c r="G535" s="25"/>
      <c r="H535" s="31"/>
      <c r="I535" s="32"/>
      <c r="J535" s="33"/>
      <c r="K535" s="34" t="str">
        <f aca="false">IF(OR(H535="",I535=""),"",H535*I535*(1-N(J535)))</f>
        <v/>
      </c>
      <c r="L535" s="32"/>
      <c r="M535" s="34" t="str">
        <f aca="false">IF(OR(H535="",L535=""),"",H535*L535)</f>
        <v/>
      </c>
      <c r="N535" s="34" t="str">
        <f aca="false">IF(OR(K535="",M535=""),"",K535-M535)</f>
        <v/>
      </c>
      <c r="O535" s="35" t="str">
        <f aca="false">IF(OR(N535="",K535=""),"",IF(K535=0,"",N535/K535))</f>
        <v/>
      </c>
      <c r="P535" s="25"/>
      <c r="Q535" s="25"/>
      <c r="R535" s="25"/>
      <c r="S535" s="36" t="str">
        <f aca="false">IF(A535="","",YEAR(A535)+IF(AND(FYStart&gt;1,MONTH(A535)&gt;=FYStart),1,0))</f>
        <v/>
      </c>
      <c r="T535" s="36" t="str">
        <f aca="false">IF(A535="","",MOD(MONTH(A535)-FYStart,12)+1)</f>
        <v/>
      </c>
      <c r="U535" s="37" t="str">
        <f aca="false">IF(A535="","",TEXT(A535,"mmm"))</f>
        <v/>
      </c>
      <c r="V535" s="37" t="str">
        <f aca="false">IF(Q535="","",IFERROR(INDEX(Settings!$I$11:$I$15,MATCH(Q535,Settings!$H$11:$H$15,0)),"No"))</f>
        <v/>
      </c>
      <c r="W535" s="37" t="str">
        <f aca="false">IF(Q535="","",IFERROR(INDEX(Settings!$J$11:$J$15,MATCH(Q535,Settings!$H$11:$H$15,0)),"No"))</f>
        <v/>
      </c>
    </row>
    <row r="536" customFormat="false" ht="15" hidden="false" customHeight="false" outlineLevel="0" collapsed="false">
      <c r="A536" s="30"/>
      <c r="B536" s="25"/>
      <c r="C536" s="25"/>
      <c r="D536" s="25"/>
      <c r="E536" s="25"/>
      <c r="F536" s="25"/>
      <c r="G536" s="25"/>
      <c r="H536" s="31"/>
      <c r="I536" s="32"/>
      <c r="J536" s="33"/>
      <c r="K536" s="34" t="str">
        <f aca="false">IF(OR(H536="",I536=""),"",H536*I536*(1-N(J536)))</f>
        <v/>
      </c>
      <c r="L536" s="32"/>
      <c r="M536" s="34" t="str">
        <f aca="false">IF(OR(H536="",L536=""),"",H536*L536)</f>
        <v/>
      </c>
      <c r="N536" s="34" t="str">
        <f aca="false">IF(OR(K536="",M536=""),"",K536-M536)</f>
        <v/>
      </c>
      <c r="O536" s="35" t="str">
        <f aca="false">IF(OR(N536="",K536=""),"",IF(K536=0,"",N536/K536))</f>
        <v/>
      </c>
      <c r="P536" s="25"/>
      <c r="Q536" s="25"/>
      <c r="R536" s="25"/>
      <c r="S536" s="36" t="str">
        <f aca="false">IF(A536="","",YEAR(A536)+IF(AND(FYStart&gt;1,MONTH(A536)&gt;=FYStart),1,0))</f>
        <v/>
      </c>
      <c r="T536" s="36" t="str">
        <f aca="false">IF(A536="","",MOD(MONTH(A536)-FYStart,12)+1)</f>
        <v/>
      </c>
      <c r="U536" s="37" t="str">
        <f aca="false">IF(A536="","",TEXT(A536,"mmm"))</f>
        <v/>
      </c>
      <c r="V536" s="37" t="str">
        <f aca="false">IF(Q536="","",IFERROR(INDEX(Settings!$I$11:$I$15,MATCH(Q536,Settings!$H$11:$H$15,0)),"No"))</f>
        <v/>
      </c>
      <c r="W536" s="37" t="str">
        <f aca="false">IF(Q536="","",IFERROR(INDEX(Settings!$J$11:$J$15,MATCH(Q536,Settings!$H$11:$H$15,0)),"No"))</f>
        <v/>
      </c>
    </row>
    <row r="537" customFormat="false" ht="15" hidden="false" customHeight="false" outlineLevel="0" collapsed="false">
      <c r="A537" s="30"/>
      <c r="B537" s="25"/>
      <c r="C537" s="25"/>
      <c r="D537" s="25"/>
      <c r="E537" s="25"/>
      <c r="F537" s="25"/>
      <c r="G537" s="25"/>
      <c r="H537" s="31"/>
      <c r="I537" s="32"/>
      <c r="J537" s="33"/>
      <c r="K537" s="34" t="str">
        <f aca="false">IF(OR(H537="",I537=""),"",H537*I537*(1-N(J537)))</f>
        <v/>
      </c>
      <c r="L537" s="32"/>
      <c r="M537" s="34" t="str">
        <f aca="false">IF(OR(H537="",L537=""),"",H537*L537)</f>
        <v/>
      </c>
      <c r="N537" s="34" t="str">
        <f aca="false">IF(OR(K537="",M537=""),"",K537-M537)</f>
        <v/>
      </c>
      <c r="O537" s="35" t="str">
        <f aca="false">IF(OR(N537="",K537=""),"",IF(K537=0,"",N537/K537))</f>
        <v/>
      </c>
      <c r="P537" s="25"/>
      <c r="Q537" s="25"/>
      <c r="R537" s="25"/>
      <c r="S537" s="36" t="str">
        <f aca="false">IF(A537="","",YEAR(A537)+IF(AND(FYStart&gt;1,MONTH(A537)&gt;=FYStart),1,0))</f>
        <v/>
      </c>
      <c r="T537" s="36" t="str">
        <f aca="false">IF(A537="","",MOD(MONTH(A537)-FYStart,12)+1)</f>
        <v/>
      </c>
      <c r="U537" s="37" t="str">
        <f aca="false">IF(A537="","",TEXT(A537,"mmm"))</f>
        <v/>
      </c>
      <c r="V537" s="37" t="str">
        <f aca="false">IF(Q537="","",IFERROR(INDEX(Settings!$I$11:$I$15,MATCH(Q537,Settings!$H$11:$H$15,0)),"No"))</f>
        <v/>
      </c>
      <c r="W537" s="37" t="str">
        <f aca="false">IF(Q537="","",IFERROR(INDEX(Settings!$J$11:$J$15,MATCH(Q537,Settings!$H$11:$H$15,0)),"No"))</f>
        <v/>
      </c>
    </row>
    <row r="538" customFormat="false" ht="15" hidden="false" customHeight="false" outlineLevel="0" collapsed="false">
      <c r="A538" s="30"/>
      <c r="B538" s="25"/>
      <c r="C538" s="25"/>
      <c r="D538" s="25"/>
      <c r="E538" s="25"/>
      <c r="F538" s="25"/>
      <c r="G538" s="25"/>
      <c r="H538" s="31"/>
      <c r="I538" s="32"/>
      <c r="J538" s="33"/>
      <c r="K538" s="34" t="str">
        <f aca="false">IF(OR(H538="",I538=""),"",H538*I538*(1-N(J538)))</f>
        <v/>
      </c>
      <c r="L538" s="32"/>
      <c r="M538" s="34" t="str">
        <f aca="false">IF(OR(H538="",L538=""),"",H538*L538)</f>
        <v/>
      </c>
      <c r="N538" s="34" t="str">
        <f aca="false">IF(OR(K538="",M538=""),"",K538-M538)</f>
        <v/>
      </c>
      <c r="O538" s="35" t="str">
        <f aca="false">IF(OR(N538="",K538=""),"",IF(K538=0,"",N538/K538))</f>
        <v/>
      </c>
      <c r="P538" s="25"/>
      <c r="Q538" s="25"/>
      <c r="R538" s="25"/>
      <c r="S538" s="36" t="str">
        <f aca="false">IF(A538="","",YEAR(A538)+IF(AND(FYStart&gt;1,MONTH(A538)&gt;=FYStart),1,0))</f>
        <v/>
      </c>
      <c r="T538" s="36" t="str">
        <f aca="false">IF(A538="","",MOD(MONTH(A538)-FYStart,12)+1)</f>
        <v/>
      </c>
      <c r="U538" s="37" t="str">
        <f aca="false">IF(A538="","",TEXT(A538,"mmm"))</f>
        <v/>
      </c>
      <c r="V538" s="37" t="str">
        <f aca="false">IF(Q538="","",IFERROR(INDEX(Settings!$I$11:$I$15,MATCH(Q538,Settings!$H$11:$H$15,0)),"No"))</f>
        <v/>
      </c>
      <c r="W538" s="37" t="str">
        <f aca="false">IF(Q538="","",IFERROR(INDEX(Settings!$J$11:$J$15,MATCH(Q538,Settings!$H$11:$H$15,0)),"No"))</f>
        <v/>
      </c>
    </row>
    <row r="539" customFormat="false" ht="15" hidden="false" customHeight="false" outlineLevel="0" collapsed="false">
      <c r="A539" s="30"/>
      <c r="B539" s="25"/>
      <c r="C539" s="25"/>
      <c r="D539" s="25"/>
      <c r="E539" s="25"/>
      <c r="F539" s="25"/>
      <c r="G539" s="25"/>
      <c r="H539" s="31"/>
      <c r="I539" s="32"/>
      <c r="J539" s="33"/>
      <c r="K539" s="34" t="str">
        <f aca="false">IF(OR(H539="",I539=""),"",H539*I539*(1-N(J539)))</f>
        <v/>
      </c>
      <c r="L539" s="32"/>
      <c r="M539" s="34" t="str">
        <f aca="false">IF(OR(H539="",L539=""),"",H539*L539)</f>
        <v/>
      </c>
      <c r="N539" s="34" t="str">
        <f aca="false">IF(OR(K539="",M539=""),"",K539-M539)</f>
        <v/>
      </c>
      <c r="O539" s="35" t="str">
        <f aca="false">IF(OR(N539="",K539=""),"",IF(K539=0,"",N539/K539))</f>
        <v/>
      </c>
      <c r="P539" s="25"/>
      <c r="Q539" s="25"/>
      <c r="R539" s="25"/>
      <c r="S539" s="36" t="str">
        <f aca="false">IF(A539="","",YEAR(A539)+IF(AND(FYStart&gt;1,MONTH(A539)&gt;=FYStart),1,0))</f>
        <v/>
      </c>
      <c r="T539" s="36" t="str">
        <f aca="false">IF(A539="","",MOD(MONTH(A539)-FYStart,12)+1)</f>
        <v/>
      </c>
      <c r="U539" s="37" t="str">
        <f aca="false">IF(A539="","",TEXT(A539,"mmm"))</f>
        <v/>
      </c>
      <c r="V539" s="37" t="str">
        <f aca="false">IF(Q539="","",IFERROR(INDEX(Settings!$I$11:$I$15,MATCH(Q539,Settings!$H$11:$H$15,0)),"No"))</f>
        <v/>
      </c>
      <c r="W539" s="37" t="str">
        <f aca="false">IF(Q539="","",IFERROR(INDEX(Settings!$J$11:$J$15,MATCH(Q539,Settings!$H$11:$H$15,0)),"No"))</f>
        <v/>
      </c>
    </row>
    <row r="540" customFormat="false" ht="15" hidden="false" customHeight="false" outlineLevel="0" collapsed="false">
      <c r="A540" s="30"/>
      <c r="B540" s="25"/>
      <c r="C540" s="25"/>
      <c r="D540" s="25"/>
      <c r="E540" s="25"/>
      <c r="F540" s="25"/>
      <c r="G540" s="25"/>
      <c r="H540" s="31"/>
      <c r="I540" s="32"/>
      <c r="J540" s="33"/>
      <c r="K540" s="34" t="str">
        <f aca="false">IF(OR(H540="",I540=""),"",H540*I540*(1-N(J540)))</f>
        <v/>
      </c>
      <c r="L540" s="32"/>
      <c r="M540" s="34" t="str">
        <f aca="false">IF(OR(H540="",L540=""),"",H540*L540)</f>
        <v/>
      </c>
      <c r="N540" s="34" t="str">
        <f aca="false">IF(OR(K540="",M540=""),"",K540-M540)</f>
        <v/>
      </c>
      <c r="O540" s="35" t="str">
        <f aca="false">IF(OR(N540="",K540=""),"",IF(K540=0,"",N540/K540))</f>
        <v/>
      </c>
      <c r="P540" s="25"/>
      <c r="Q540" s="25"/>
      <c r="R540" s="25"/>
      <c r="S540" s="36" t="str">
        <f aca="false">IF(A540="","",YEAR(A540)+IF(AND(FYStart&gt;1,MONTH(A540)&gt;=FYStart),1,0))</f>
        <v/>
      </c>
      <c r="T540" s="36" t="str">
        <f aca="false">IF(A540="","",MOD(MONTH(A540)-FYStart,12)+1)</f>
        <v/>
      </c>
      <c r="U540" s="37" t="str">
        <f aca="false">IF(A540="","",TEXT(A540,"mmm"))</f>
        <v/>
      </c>
      <c r="V540" s="37" t="str">
        <f aca="false">IF(Q540="","",IFERROR(INDEX(Settings!$I$11:$I$15,MATCH(Q540,Settings!$H$11:$H$15,0)),"No"))</f>
        <v/>
      </c>
      <c r="W540" s="37" t="str">
        <f aca="false">IF(Q540="","",IFERROR(INDEX(Settings!$J$11:$J$15,MATCH(Q540,Settings!$H$11:$H$15,0)),"No"))</f>
        <v/>
      </c>
    </row>
    <row r="541" customFormat="false" ht="15" hidden="false" customHeight="false" outlineLevel="0" collapsed="false">
      <c r="A541" s="30"/>
      <c r="B541" s="25"/>
      <c r="C541" s="25"/>
      <c r="D541" s="25"/>
      <c r="E541" s="25"/>
      <c r="F541" s="25"/>
      <c r="G541" s="25"/>
      <c r="H541" s="31"/>
      <c r="I541" s="32"/>
      <c r="J541" s="33"/>
      <c r="K541" s="34" t="str">
        <f aca="false">IF(OR(H541="",I541=""),"",H541*I541*(1-N(J541)))</f>
        <v/>
      </c>
      <c r="L541" s="32"/>
      <c r="M541" s="34" t="str">
        <f aca="false">IF(OR(H541="",L541=""),"",H541*L541)</f>
        <v/>
      </c>
      <c r="N541" s="34" t="str">
        <f aca="false">IF(OR(K541="",M541=""),"",K541-M541)</f>
        <v/>
      </c>
      <c r="O541" s="35" t="str">
        <f aca="false">IF(OR(N541="",K541=""),"",IF(K541=0,"",N541/K541))</f>
        <v/>
      </c>
      <c r="P541" s="25"/>
      <c r="Q541" s="25"/>
      <c r="R541" s="25"/>
      <c r="S541" s="36" t="str">
        <f aca="false">IF(A541="","",YEAR(A541)+IF(AND(FYStart&gt;1,MONTH(A541)&gt;=FYStart),1,0))</f>
        <v/>
      </c>
      <c r="T541" s="36" t="str">
        <f aca="false">IF(A541="","",MOD(MONTH(A541)-FYStart,12)+1)</f>
        <v/>
      </c>
      <c r="U541" s="37" t="str">
        <f aca="false">IF(A541="","",TEXT(A541,"mmm"))</f>
        <v/>
      </c>
      <c r="V541" s="37" t="str">
        <f aca="false">IF(Q541="","",IFERROR(INDEX(Settings!$I$11:$I$15,MATCH(Q541,Settings!$H$11:$H$15,0)),"No"))</f>
        <v/>
      </c>
      <c r="W541" s="37" t="str">
        <f aca="false">IF(Q541="","",IFERROR(INDEX(Settings!$J$11:$J$15,MATCH(Q541,Settings!$H$11:$H$15,0)),"No"))</f>
        <v/>
      </c>
    </row>
    <row r="542" customFormat="false" ht="15" hidden="false" customHeight="false" outlineLevel="0" collapsed="false">
      <c r="A542" s="30"/>
      <c r="B542" s="25"/>
      <c r="C542" s="25"/>
      <c r="D542" s="25"/>
      <c r="E542" s="25"/>
      <c r="F542" s="25"/>
      <c r="G542" s="25"/>
      <c r="H542" s="31"/>
      <c r="I542" s="32"/>
      <c r="J542" s="33"/>
      <c r="K542" s="34" t="str">
        <f aca="false">IF(OR(H542="",I542=""),"",H542*I542*(1-N(J542)))</f>
        <v/>
      </c>
      <c r="L542" s="32"/>
      <c r="M542" s="34" t="str">
        <f aca="false">IF(OR(H542="",L542=""),"",H542*L542)</f>
        <v/>
      </c>
      <c r="N542" s="34" t="str">
        <f aca="false">IF(OR(K542="",M542=""),"",K542-M542)</f>
        <v/>
      </c>
      <c r="O542" s="35" t="str">
        <f aca="false">IF(OR(N542="",K542=""),"",IF(K542=0,"",N542/K542))</f>
        <v/>
      </c>
      <c r="P542" s="25"/>
      <c r="Q542" s="25"/>
      <c r="R542" s="25"/>
      <c r="S542" s="36" t="str">
        <f aca="false">IF(A542="","",YEAR(A542)+IF(AND(FYStart&gt;1,MONTH(A542)&gt;=FYStart),1,0))</f>
        <v/>
      </c>
      <c r="T542" s="36" t="str">
        <f aca="false">IF(A542="","",MOD(MONTH(A542)-FYStart,12)+1)</f>
        <v/>
      </c>
      <c r="U542" s="37" t="str">
        <f aca="false">IF(A542="","",TEXT(A542,"mmm"))</f>
        <v/>
      </c>
      <c r="V542" s="37" t="str">
        <f aca="false">IF(Q542="","",IFERROR(INDEX(Settings!$I$11:$I$15,MATCH(Q542,Settings!$H$11:$H$15,0)),"No"))</f>
        <v/>
      </c>
      <c r="W542" s="37" t="str">
        <f aca="false">IF(Q542="","",IFERROR(INDEX(Settings!$J$11:$J$15,MATCH(Q542,Settings!$H$11:$H$15,0)),"No"))</f>
        <v/>
      </c>
    </row>
    <row r="543" customFormat="false" ht="15" hidden="false" customHeight="false" outlineLevel="0" collapsed="false">
      <c r="A543" s="30"/>
      <c r="B543" s="25"/>
      <c r="C543" s="25"/>
      <c r="D543" s="25"/>
      <c r="E543" s="25"/>
      <c r="F543" s="25"/>
      <c r="G543" s="25"/>
      <c r="H543" s="31"/>
      <c r="I543" s="32"/>
      <c r="J543" s="33"/>
      <c r="K543" s="34" t="str">
        <f aca="false">IF(OR(H543="",I543=""),"",H543*I543*(1-N(J543)))</f>
        <v/>
      </c>
      <c r="L543" s="32"/>
      <c r="M543" s="34" t="str">
        <f aca="false">IF(OR(H543="",L543=""),"",H543*L543)</f>
        <v/>
      </c>
      <c r="N543" s="34" t="str">
        <f aca="false">IF(OR(K543="",M543=""),"",K543-M543)</f>
        <v/>
      </c>
      <c r="O543" s="35" t="str">
        <f aca="false">IF(OR(N543="",K543=""),"",IF(K543=0,"",N543/K543))</f>
        <v/>
      </c>
      <c r="P543" s="25"/>
      <c r="Q543" s="25"/>
      <c r="R543" s="25"/>
      <c r="S543" s="36" t="str">
        <f aca="false">IF(A543="","",YEAR(A543)+IF(AND(FYStart&gt;1,MONTH(A543)&gt;=FYStart),1,0))</f>
        <v/>
      </c>
      <c r="T543" s="36" t="str">
        <f aca="false">IF(A543="","",MOD(MONTH(A543)-FYStart,12)+1)</f>
        <v/>
      </c>
      <c r="U543" s="37" t="str">
        <f aca="false">IF(A543="","",TEXT(A543,"mmm"))</f>
        <v/>
      </c>
      <c r="V543" s="37" t="str">
        <f aca="false">IF(Q543="","",IFERROR(INDEX(Settings!$I$11:$I$15,MATCH(Q543,Settings!$H$11:$H$15,0)),"No"))</f>
        <v/>
      </c>
      <c r="W543" s="37" t="str">
        <f aca="false">IF(Q543="","",IFERROR(INDEX(Settings!$J$11:$J$15,MATCH(Q543,Settings!$H$11:$H$15,0)),"No"))</f>
        <v/>
      </c>
    </row>
    <row r="544" customFormat="false" ht="15" hidden="false" customHeight="false" outlineLevel="0" collapsed="false">
      <c r="A544" s="30"/>
      <c r="B544" s="25"/>
      <c r="C544" s="25"/>
      <c r="D544" s="25"/>
      <c r="E544" s="25"/>
      <c r="F544" s="25"/>
      <c r="G544" s="25"/>
      <c r="H544" s="31"/>
      <c r="I544" s="32"/>
      <c r="J544" s="33"/>
      <c r="K544" s="34" t="str">
        <f aca="false">IF(OR(H544="",I544=""),"",H544*I544*(1-N(J544)))</f>
        <v/>
      </c>
      <c r="L544" s="32"/>
      <c r="M544" s="34" t="str">
        <f aca="false">IF(OR(H544="",L544=""),"",H544*L544)</f>
        <v/>
      </c>
      <c r="N544" s="34" t="str">
        <f aca="false">IF(OR(K544="",M544=""),"",K544-M544)</f>
        <v/>
      </c>
      <c r="O544" s="35" t="str">
        <f aca="false">IF(OR(N544="",K544=""),"",IF(K544=0,"",N544/K544))</f>
        <v/>
      </c>
      <c r="P544" s="25"/>
      <c r="Q544" s="25"/>
      <c r="R544" s="25"/>
      <c r="S544" s="36" t="str">
        <f aca="false">IF(A544="","",YEAR(A544)+IF(AND(FYStart&gt;1,MONTH(A544)&gt;=FYStart),1,0))</f>
        <v/>
      </c>
      <c r="T544" s="36" t="str">
        <f aca="false">IF(A544="","",MOD(MONTH(A544)-FYStart,12)+1)</f>
        <v/>
      </c>
      <c r="U544" s="37" t="str">
        <f aca="false">IF(A544="","",TEXT(A544,"mmm"))</f>
        <v/>
      </c>
      <c r="V544" s="37" t="str">
        <f aca="false">IF(Q544="","",IFERROR(INDEX(Settings!$I$11:$I$15,MATCH(Q544,Settings!$H$11:$H$15,0)),"No"))</f>
        <v/>
      </c>
      <c r="W544" s="37" t="str">
        <f aca="false">IF(Q544="","",IFERROR(INDEX(Settings!$J$11:$J$15,MATCH(Q544,Settings!$H$11:$H$15,0)),"No"))</f>
        <v/>
      </c>
    </row>
    <row r="545" customFormat="false" ht="15" hidden="false" customHeight="false" outlineLevel="0" collapsed="false">
      <c r="A545" s="30"/>
      <c r="B545" s="25"/>
      <c r="C545" s="25"/>
      <c r="D545" s="25"/>
      <c r="E545" s="25"/>
      <c r="F545" s="25"/>
      <c r="G545" s="25"/>
      <c r="H545" s="31"/>
      <c r="I545" s="32"/>
      <c r="J545" s="33"/>
      <c r="K545" s="34" t="str">
        <f aca="false">IF(OR(H545="",I545=""),"",H545*I545*(1-N(J545)))</f>
        <v/>
      </c>
      <c r="L545" s="32"/>
      <c r="M545" s="34" t="str">
        <f aca="false">IF(OR(H545="",L545=""),"",H545*L545)</f>
        <v/>
      </c>
      <c r="N545" s="34" t="str">
        <f aca="false">IF(OR(K545="",M545=""),"",K545-M545)</f>
        <v/>
      </c>
      <c r="O545" s="35" t="str">
        <f aca="false">IF(OR(N545="",K545=""),"",IF(K545=0,"",N545/K545))</f>
        <v/>
      </c>
      <c r="P545" s="25"/>
      <c r="Q545" s="25"/>
      <c r="R545" s="25"/>
      <c r="S545" s="36" t="str">
        <f aca="false">IF(A545="","",YEAR(A545)+IF(AND(FYStart&gt;1,MONTH(A545)&gt;=FYStart),1,0))</f>
        <v/>
      </c>
      <c r="T545" s="36" t="str">
        <f aca="false">IF(A545="","",MOD(MONTH(A545)-FYStart,12)+1)</f>
        <v/>
      </c>
      <c r="U545" s="37" t="str">
        <f aca="false">IF(A545="","",TEXT(A545,"mmm"))</f>
        <v/>
      </c>
      <c r="V545" s="37" t="str">
        <f aca="false">IF(Q545="","",IFERROR(INDEX(Settings!$I$11:$I$15,MATCH(Q545,Settings!$H$11:$H$15,0)),"No"))</f>
        <v/>
      </c>
      <c r="W545" s="37" t="str">
        <f aca="false">IF(Q545="","",IFERROR(INDEX(Settings!$J$11:$J$15,MATCH(Q545,Settings!$H$11:$H$15,0)),"No"))</f>
        <v/>
      </c>
    </row>
    <row r="546" customFormat="false" ht="15" hidden="false" customHeight="false" outlineLevel="0" collapsed="false">
      <c r="A546" s="30"/>
      <c r="B546" s="25"/>
      <c r="C546" s="25"/>
      <c r="D546" s="25"/>
      <c r="E546" s="25"/>
      <c r="F546" s="25"/>
      <c r="G546" s="25"/>
      <c r="H546" s="31"/>
      <c r="I546" s="32"/>
      <c r="J546" s="33"/>
      <c r="K546" s="34" t="str">
        <f aca="false">IF(OR(H546="",I546=""),"",H546*I546*(1-N(J546)))</f>
        <v/>
      </c>
      <c r="L546" s="32"/>
      <c r="M546" s="34" t="str">
        <f aca="false">IF(OR(H546="",L546=""),"",H546*L546)</f>
        <v/>
      </c>
      <c r="N546" s="34" t="str">
        <f aca="false">IF(OR(K546="",M546=""),"",K546-M546)</f>
        <v/>
      </c>
      <c r="O546" s="35" t="str">
        <f aca="false">IF(OR(N546="",K546=""),"",IF(K546=0,"",N546/K546))</f>
        <v/>
      </c>
      <c r="P546" s="25"/>
      <c r="Q546" s="25"/>
      <c r="R546" s="25"/>
      <c r="S546" s="36" t="str">
        <f aca="false">IF(A546="","",YEAR(A546)+IF(AND(FYStart&gt;1,MONTH(A546)&gt;=FYStart),1,0))</f>
        <v/>
      </c>
      <c r="T546" s="36" t="str">
        <f aca="false">IF(A546="","",MOD(MONTH(A546)-FYStart,12)+1)</f>
        <v/>
      </c>
      <c r="U546" s="37" t="str">
        <f aca="false">IF(A546="","",TEXT(A546,"mmm"))</f>
        <v/>
      </c>
      <c r="V546" s="37" t="str">
        <f aca="false">IF(Q546="","",IFERROR(INDEX(Settings!$I$11:$I$15,MATCH(Q546,Settings!$H$11:$H$15,0)),"No"))</f>
        <v/>
      </c>
      <c r="W546" s="37" t="str">
        <f aca="false">IF(Q546="","",IFERROR(INDEX(Settings!$J$11:$J$15,MATCH(Q546,Settings!$H$11:$H$15,0)),"No"))</f>
        <v/>
      </c>
    </row>
    <row r="547" customFormat="false" ht="15" hidden="false" customHeight="false" outlineLevel="0" collapsed="false">
      <c r="A547" s="30"/>
      <c r="B547" s="25"/>
      <c r="C547" s="25"/>
      <c r="D547" s="25"/>
      <c r="E547" s="25"/>
      <c r="F547" s="25"/>
      <c r="G547" s="25"/>
      <c r="H547" s="31"/>
      <c r="I547" s="32"/>
      <c r="J547" s="33"/>
      <c r="K547" s="34" t="str">
        <f aca="false">IF(OR(H547="",I547=""),"",H547*I547*(1-N(J547)))</f>
        <v/>
      </c>
      <c r="L547" s="32"/>
      <c r="M547" s="34" t="str">
        <f aca="false">IF(OR(H547="",L547=""),"",H547*L547)</f>
        <v/>
      </c>
      <c r="N547" s="34" t="str">
        <f aca="false">IF(OR(K547="",M547=""),"",K547-M547)</f>
        <v/>
      </c>
      <c r="O547" s="35" t="str">
        <f aca="false">IF(OR(N547="",K547=""),"",IF(K547=0,"",N547/K547))</f>
        <v/>
      </c>
      <c r="P547" s="25"/>
      <c r="Q547" s="25"/>
      <c r="R547" s="25"/>
      <c r="S547" s="36" t="str">
        <f aca="false">IF(A547="","",YEAR(A547)+IF(AND(FYStart&gt;1,MONTH(A547)&gt;=FYStart),1,0))</f>
        <v/>
      </c>
      <c r="T547" s="36" t="str">
        <f aca="false">IF(A547="","",MOD(MONTH(A547)-FYStart,12)+1)</f>
        <v/>
      </c>
      <c r="U547" s="37" t="str">
        <f aca="false">IF(A547="","",TEXT(A547,"mmm"))</f>
        <v/>
      </c>
      <c r="V547" s="37" t="str">
        <f aca="false">IF(Q547="","",IFERROR(INDEX(Settings!$I$11:$I$15,MATCH(Q547,Settings!$H$11:$H$15,0)),"No"))</f>
        <v/>
      </c>
      <c r="W547" s="37" t="str">
        <f aca="false">IF(Q547="","",IFERROR(INDEX(Settings!$J$11:$J$15,MATCH(Q547,Settings!$H$11:$H$15,0)),"No"))</f>
        <v/>
      </c>
    </row>
    <row r="548" customFormat="false" ht="15" hidden="false" customHeight="false" outlineLevel="0" collapsed="false">
      <c r="A548" s="30"/>
      <c r="B548" s="25"/>
      <c r="C548" s="25"/>
      <c r="D548" s="25"/>
      <c r="E548" s="25"/>
      <c r="F548" s="25"/>
      <c r="G548" s="25"/>
      <c r="H548" s="31"/>
      <c r="I548" s="32"/>
      <c r="J548" s="33"/>
      <c r="K548" s="34" t="str">
        <f aca="false">IF(OR(H548="",I548=""),"",H548*I548*(1-N(J548)))</f>
        <v/>
      </c>
      <c r="L548" s="32"/>
      <c r="M548" s="34" t="str">
        <f aca="false">IF(OR(H548="",L548=""),"",H548*L548)</f>
        <v/>
      </c>
      <c r="N548" s="34" t="str">
        <f aca="false">IF(OR(K548="",M548=""),"",K548-M548)</f>
        <v/>
      </c>
      <c r="O548" s="35" t="str">
        <f aca="false">IF(OR(N548="",K548=""),"",IF(K548=0,"",N548/K548))</f>
        <v/>
      </c>
      <c r="P548" s="25"/>
      <c r="Q548" s="25"/>
      <c r="R548" s="25"/>
      <c r="S548" s="36" t="str">
        <f aca="false">IF(A548="","",YEAR(A548)+IF(AND(FYStart&gt;1,MONTH(A548)&gt;=FYStart),1,0))</f>
        <v/>
      </c>
      <c r="T548" s="36" t="str">
        <f aca="false">IF(A548="","",MOD(MONTH(A548)-FYStart,12)+1)</f>
        <v/>
      </c>
      <c r="U548" s="37" t="str">
        <f aca="false">IF(A548="","",TEXT(A548,"mmm"))</f>
        <v/>
      </c>
      <c r="V548" s="37" t="str">
        <f aca="false">IF(Q548="","",IFERROR(INDEX(Settings!$I$11:$I$15,MATCH(Q548,Settings!$H$11:$H$15,0)),"No"))</f>
        <v/>
      </c>
      <c r="W548" s="37" t="str">
        <f aca="false">IF(Q548="","",IFERROR(INDEX(Settings!$J$11:$J$15,MATCH(Q548,Settings!$H$11:$H$15,0)),"No"))</f>
        <v/>
      </c>
    </row>
    <row r="549" customFormat="false" ht="15" hidden="false" customHeight="false" outlineLevel="0" collapsed="false">
      <c r="A549" s="30"/>
      <c r="B549" s="25"/>
      <c r="C549" s="25"/>
      <c r="D549" s="25"/>
      <c r="E549" s="25"/>
      <c r="F549" s="25"/>
      <c r="G549" s="25"/>
      <c r="H549" s="31"/>
      <c r="I549" s="32"/>
      <c r="J549" s="33"/>
      <c r="K549" s="34" t="str">
        <f aca="false">IF(OR(H549="",I549=""),"",H549*I549*(1-N(J549)))</f>
        <v/>
      </c>
      <c r="L549" s="32"/>
      <c r="M549" s="34" t="str">
        <f aca="false">IF(OR(H549="",L549=""),"",H549*L549)</f>
        <v/>
      </c>
      <c r="N549" s="34" t="str">
        <f aca="false">IF(OR(K549="",M549=""),"",K549-M549)</f>
        <v/>
      </c>
      <c r="O549" s="35" t="str">
        <f aca="false">IF(OR(N549="",K549=""),"",IF(K549=0,"",N549/K549))</f>
        <v/>
      </c>
      <c r="P549" s="25"/>
      <c r="Q549" s="25"/>
      <c r="R549" s="25"/>
      <c r="S549" s="36" t="str">
        <f aca="false">IF(A549="","",YEAR(A549)+IF(AND(FYStart&gt;1,MONTH(A549)&gt;=FYStart),1,0))</f>
        <v/>
      </c>
      <c r="T549" s="36" t="str">
        <f aca="false">IF(A549="","",MOD(MONTH(A549)-FYStart,12)+1)</f>
        <v/>
      </c>
      <c r="U549" s="37" t="str">
        <f aca="false">IF(A549="","",TEXT(A549,"mmm"))</f>
        <v/>
      </c>
      <c r="V549" s="37" t="str">
        <f aca="false">IF(Q549="","",IFERROR(INDEX(Settings!$I$11:$I$15,MATCH(Q549,Settings!$H$11:$H$15,0)),"No"))</f>
        <v/>
      </c>
      <c r="W549" s="37" t="str">
        <f aca="false">IF(Q549="","",IFERROR(INDEX(Settings!$J$11:$J$15,MATCH(Q549,Settings!$H$11:$H$15,0)),"No"))</f>
        <v/>
      </c>
    </row>
    <row r="550" customFormat="false" ht="15" hidden="false" customHeight="false" outlineLevel="0" collapsed="false">
      <c r="A550" s="30"/>
      <c r="B550" s="25"/>
      <c r="C550" s="25"/>
      <c r="D550" s="25"/>
      <c r="E550" s="25"/>
      <c r="F550" s="25"/>
      <c r="G550" s="25"/>
      <c r="H550" s="31"/>
      <c r="I550" s="32"/>
      <c r="J550" s="33"/>
      <c r="K550" s="34" t="str">
        <f aca="false">IF(OR(H550="",I550=""),"",H550*I550*(1-N(J550)))</f>
        <v/>
      </c>
      <c r="L550" s="32"/>
      <c r="M550" s="34" t="str">
        <f aca="false">IF(OR(H550="",L550=""),"",H550*L550)</f>
        <v/>
      </c>
      <c r="N550" s="34" t="str">
        <f aca="false">IF(OR(K550="",M550=""),"",K550-M550)</f>
        <v/>
      </c>
      <c r="O550" s="35" t="str">
        <f aca="false">IF(OR(N550="",K550=""),"",IF(K550=0,"",N550/K550))</f>
        <v/>
      </c>
      <c r="P550" s="25"/>
      <c r="Q550" s="25"/>
      <c r="R550" s="25"/>
      <c r="S550" s="36" t="str">
        <f aca="false">IF(A550="","",YEAR(A550)+IF(AND(FYStart&gt;1,MONTH(A550)&gt;=FYStart),1,0))</f>
        <v/>
      </c>
      <c r="T550" s="36" t="str">
        <f aca="false">IF(A550="","",MOD(MONTH(A550)-FYStart,12)+1)</f>
        <v/>
      </c>
      <c r="U550" s="37" t="str">
        <f aca="false">IF(A550="","",TEXT(A550,"mmm"))</f>
        <v/>
      </c>
      <c r="V550" s="37" t="str">
        <f aca="false">IF(Q550="","",IFERROR(INDEX(Settings!$I$11:$I$15,MATCH(Q550,Settings!$H$11:$H$15,0)),"No"))</f>
        <v/>
      </c>
      <c r="W550" s="37" t="str">
        <f aca="false">IF(Q550="","",IFERROR(INDEX(Settings!$J$11:$J$15,MATCH(Q550,Settings!$H$11:$H$15,0)),"No"))</f>
        <v/>
      </c>
    </row>
    <row r="551" customFormat="false" ht="15" hidden="false" customHeight="false" outlineLevel="0" collapsed="false">
      <c r="A551" s="30"/>
      <c r="B551" s="25"/>
      <c r="C551" s="25"/>
      <c r="D551" s="25"/>
      <c r="E551" s="25"/>
      <c r="F551" s="25"/>
      <c r="G551" s="25"/>
      <c r="H551" s="31"/>
      <c r="I551" s="32"/>
      <c r="J551" s="33"/>
      <c r="K551" s="34" t="str">
        <f aca="false">IF(OR(H551="",I551=""),"",H551*I551*(1-N(J551)))</f>
        <v/>
      </c>
      <c r="L551" s="32"/>
      <c r="M551" s="34" t="str">
        <f aca="false">IF(OR(H551="",L551=""),"",H551*L551)</f>
        <v/>
      </c>
      <c r="N551" s="34" t="str">
        <f aca="false">IF(OR(K551="",M551=""),"",K551-M551)</f>
        <v/>
      </c>
      <c r="O551" s="35" t="str">
        <f aca="false">IF(OR(N551="",K551=""),"",IF(K551=0,"",N551/K551))</f>
        <v/>
      </c>
      <c r="P551" s="25"/>
      <c r="Q551" s="25"/>
      <c r="R551" s="25"/>
      <c r="S551" s="36" t="str">
        <f aca="false">IF(A551="","",YEAR(A551)+IF(AND(FYStart&gt;1,MONTH(A551)&gt;=FYStart),1,0))</f>
        <v/>
      </c>
      <c r="T551" s="36" t="str">
        <f aca="false">IF(A551="","",MOD(MONTH(A551)-FYStart,12)+1)</f>
        <v/>
      </c>
      <c r="U551" s="37" t="str">
        <f aca="false">IF(A551="","",TEXT(A551,"mmm"))</f>
        <v/>
      </c>
      <c r="V551" s="37" t="str">
        <f aca="false">IF(Q551="","",IFERROR(INDEX(Settings!$I$11:$I$15,MATCH(Q551,Settings!$H$11:$H$15,0)),"No"))</f>
        <v/>
      </c>
      <c r="W551" s="37" t="str">
        <f aca="false">IF(Q551="","",IFERROR(INDEX(Settings!$J$11:$J$15,MATCH(Q551,Settings!$H$11:$H$15,0)),"No"))</f>
        <v/>
      </c>
    </row>
    <row r="552" customFormat="false" ht="15" hidden="false" customHeight="false" outlineLevel="0" collapsed="false">
      <c r="A552" s="30"/>
      <c r="B552" s="25"/>
      <c r="C552" s="25"/>
      <c r="D552" s="25"/>
      <c r="E552" s="25"/>
      <c r="F552" s="25"/>
      <c r="G552" s="25"/>
      <c r="H552" s="31"/>
      <c r="I552" s="32"/>
      <c r="J552" s="33"/>
      <c r="K552" s="34" t="str">
        <f aca="false">IF(OR(H552="",I552=""),"",H552*I552*(1-N(J552)))</f>
        <v/>
      </c>
      <c r="L552" s="32"/>
      <c r="M552" s="34" t="str">
        <f aca="false">IF(OR(H552="",L552=""),"",H552*L552)</f>
        <v/>
      </c>
      <c r="N552" s="34" t="str">
        <f aca="false">IF(OR(K552="",M552=""),"",K552-M552)</f>
        <v/>
      </c>
      <c r="O552" s="35" t="str">
        <f aca="false">IF(OR(N552="",K552=""),"",IF(K552=0,"",N552/K552))</f>
        <v/>
      </c>
      <c r="P552" s="25"/>
      <c r="Q552" s="25"/>
      <c r="R552" s="25"/>
      <c r="S552" s="36" t="str">
        <f aca="false">IF(A552="","",YEAR(A552)+IF(AND(FYStart&gt;1,MONTH(A552)&gt;=FYStart),1,0))</f>
        <v/>
      </c>
      <c r="T552" s="36" t="str">
        <f aca="false">IF(A552="","",MOD(MONTH(A552)-FYStart,12)+1)</f>
        <v/>
      </c>
      <c r="U552" s="37" t="str">
        <f aca="false">IF(A552="","",TEXT(A552,"mmm"))</f>
        <v/>
      </c>
      <c r="V552" s="37" t="str">
        <f aca="false">IF(Q552="","",IFERROR(INDEX(Settings!$I$11:$I$15,MATCH(Q552,Settings!$H$11:$H$15,0)),"No"))</f>
        <v/>
      </c>
      <c r="W552" s="37" t="str">
        <f aca="false">IF(Q552="","",IFERROR(INDEX(Settings!$J$11:$J$15,MATCH(Q552,Settings!$H$11:$H$15,0)),"No"))</f>
        <v/>
      </c>
    </row>
    <row r="553" customFormat="false" ht="15" hidden="false" customHeight="false" outlineLevel="0" collapsed="false">
      <c r="A553" s="30"/>
      <c r="B553" s="25"/>
      <c r="C553" s="25"/>
      <c r="D553" s="25"/>
      <c r="E553" s="25"/>
      <c r="F553" s="25"/>
      <c r="G553" s="25"/>
      <c r="H553" s="31"/>
      <c r="I553" s="32"/>
      <c r="J553" s="33"/>
      <c r="K553" s="34" t="str">
        <f aca="false">IF(OR(H553="",I553=""),"",H553*I553*(1-N(J553)))</f>
        <v/>
      </c>
      <c r="L553" s="32"/>
      <c r="M553" s="34" t="str">
        <f aca="false">IF(OR(H553="",L553=""),"",H553*L553)</f>
        <v/>
      </c>
      <c r="N553" s="34" t="str">
        <f aca="false">IF(OR(K553="",M553=""),"",K553-M553)</f>
        <v/>
      </c>
      <c r="O553" s="35" t="str">
        <f aca="false">IF(OR(N553="",K553=""),"",IF(K553=0,"",N553/K553))</f>
        <v/>
      </c>
      <c r="P553" s="25"/>
      <c r="Q553" s="25"/>
      <c r="R553" s="25"/>
      <c r="S553" s="36" t="str">
        <f aca="false">IF(A553="","",YEAR(A553)+IF(AND(FYStart&gt;1,MONTH(A553)&gt;=FYStart),1,0))</f>
        <v/>
      </c>
      <c r="T553" s="36" t="str">
        <f aca="false">IF(A553="","",MOD(MONTH(A553)-FYStart,12)+1)</f>
        <v/>
      </c>
      <c r="U553" s="37" t="str">
        <f aca="false">IF(A553="","",TEXT(A553,"mmm"))</f>
        <v/>
      </c>
      <c r="V553" s="37" t="str">
        <f aca="false">IF(Q553="","",IFERROR(INDEX(Settings!$I$11:$I$15,MATCH(Q553,Settings!$H$11:$H$15,0)),"No"))</f>
        <v/>
      </c>
      <c r="W553" s="37" t="str">
        <f aca="false">IF(Q553="","",IFERROR(INDEX(Settings!$J$11:$J$15,MATCH(Q553,Settings!$H$11:$H$15,0)),"No"))</f>
        <v/>
      </c>
    </row>
    <row r="554" customFormat="false" ht="15" hidden="false" customHeight="false" outlineLevel="0" collapsed="false">
      <c r="A554" s="30"/>
      <c r="B554" s="25"/>
      <c r="C554" s="25"/>
      <c r="D554" s="25"/>
      <c r="E554" s="25"/>
      <c r="F554" s="25"/>
      <c r="G554" s="25"/>
      <c r="H554" s="31"/>
      <c r="I554" s="32"/>
      <c r="J554" s="33"/>
      <c r="K554" s="34" t="str">
        <f aca="false">IF(OR(H554="",I554=""),"",H554*I554*(1-N(J554)))</f>
        <v/>
      </c>
      <c r="L554" s="32"/>
      <c r="M554" s="34" t="str">
        <f aca="false">IF(OR(H554="",L554=""),"",H554*L554)</f>
        <v/>
      </c>
      <c r="N554" s="34" t="str">
        <f aca="false">IF(OR(K554="",M554=""),"",K554-M554)</f>
        <v/>
      </c>
      <c r="O554" s="35" t="str">
        <f aca="false">IF(OR(N554="",K554=""),"",IF(K554=0,"",N554/K554))</f>
        <v/>
      </c>
      <c r="P554" s="25"/>
      <c r="Q554" s="25"/>
      <c r="R554" s="25"/>
      <c r="S554" s="36" t="str">
        <f aca="false">IF(A554="","",YEAR(A554)+IF(AND(FYStart&gt;1,MONTH(A554)&gt;=FYStart),1,0))</f>
        <v/>
      </c>
      <c r="T554" s="36" t="str">
        <f aca="false">IF(A554="","",MOD(MONTH(A554)-FYStart,12)+1)</f>
        <v/>
      </c>
      <c r="U554" s="37" t="str">
        <f aca="false">IF(A554="","",TEXT(A554,"mmm"))</f>
        <v/>
      </c>
      <c r="V554" s="37" t="str">
        <f aca="false">IF(Q554="","",IFERROR(INDEX(Settings!$I$11:$I$15,MATCH(Q554,Settings!$H$11:$H$15,0)),"No"))</f>
        <v/>
      </c>
      <c r="W554" s="37" t="str">
        <f aca="false">IF(Q554="","",IFERROR(INDEX(Settings!$J$11:$J$15,MATCH(Q554,Settings!$H$11:$H$15,0)),"No"))</f>
        <v/>
      </c>
    </row>
    <row r="555" customFormat="false" ht="15" hidden="false" customHeight="false" outlineLevel="0" collapsed="false">
      <c r="A555" s="30"/>
      <c r="B555" s="25"/>
      <c r="C555" s="25"/>
      <c r="D555" s="25"/>
      <c r="E555" s="25"/>
      <c r="F555" s="25"/>
      <c r="G555" s="25"/>
      <c r="H555" s="31"/>
      <c r="I555" s="32"/>
      <c r="J555" s="33"/>
      <c r="K555" s="34" t="str">
        <f aca="false">IF(OR(H555="",I555=""),"",H555*I555*(1-N(J555)))</f>
        <v/>
      </c>
      <c r="L555" s="32"/>
      <c r="M555" s="34" t="str">
        <f aca="false">IF(OR(H555="",L555=""),"",H555*L555)</f>
        <v/>
      </c>
      <c r="N555" s="34" t="str">
        <f aca="false">IF(OR(K555="",M555=""),"",K555-M555)</f>
        <v/>
      </c>
      <c r="O555" s="35" t="str">
        <f aca="false">IF(OR(N555="",K555=""),"",IF(K555=0,"",N555/K555))</f>
        <v/>
      </c>
      <c r="P555" s="25"/>
      <c r="Q555" s="25"/>
      <c r="R555" s="25"/>
      <c r="S555" s="36" t="str">
        <f aca="false">IF(A555="","",YEAR(A555)+IF(AND(FYStart&gt;1,MONTH(A555)&gt;=FYStart),1,0))</f>
        <v/>
      </c>
      <c r="T555" s="36" t="str">
        <f aca="false">IF(A555="","",MOD(MONTH(A555)-FYStart,12)+1)</f>
        <v/>
      </c>
      <c r="U555" s="37" t="str">
        <f aca="false">IF(A555="","",TEXT(A555,"mmm"))</f>
        <v/>
      </c>
      <c r="V555" s="37" t="str">
        <f aca="false">IF(Q555="","",IFERROR(INDEX(Settings!$I$11:$I$15,MATCH(Q555,Settings!$H$11:$H$15,0)),"No"))</f>
        <v/>
      </c>
      <c r="W555" s="37" t="str">
        <f aca="false">IF(Q555="","",IFERROR(INDEX(Settings!$J$11:$J$15,MATCH(Q555,Settings!$H$11:$H$15,0)),"No"))</f>
        <v/>
      </c>
    </row>
    <row r="556" customFormat="false" ht="15" hidden="false" customHeight="false" outlineLevel="0" collapsed="false">
      <c r="A556" s="30"/>
      <c r="B556" s="25"/>
      <c r="C556" s="25"/>
      <c r="D556" s="25"/>
      <c r="E556" s="25"/>
      <c r="F556" s="25"/>
      <c r="G556" s="25"/>
      <c r="H556" s="31"/>
      <c r="I556" s="32"/>
      <c r="J556" s="33"/>
      <c r="K556" s="34" t="str">
        <f aca="false">IF(OR(H556="",I556=""),"",H556*I556*(1-N(J556)))</f>
        <v/>
      </c>
      <c r="L556" s="32"/>
      <c r="M556" s="34" t="str">
        <f aca="false">IF(OR(H556="",L556=""),"",H556*L556)</f>
        <v/>
      </c>
      <c r="N556" s="34" t="str">
        <f aca="false">IF(OR(K556="",M556=""),"",K556-M556)</f>
        <v/>
      </c>
      <c r="O556" s="35" t="str">
        <f aca="false">IF(OR(N556="",K556=""),"",IF(K556=0,"",N556/K556))</f>
        <v/>
      </c>
      <c r="P556" s="25"/>
      <c r="Q556" s="25"/>
      <c r="R556" s="25"/>
      <c r="S556" s="36" t="str">
        <f aca="false">IF(A556="","",YEAR(A556)+IF(AND(FYStart&gt;1,MONTH(A556)&gt;=FYStart),1,0))</f>
        <v/>
      </c>
      <c r="T556" s="36" t="str">
        <f aca="false">IF(A556="","",MOD(MONTH(A556)-FYStart,12)+1)</f>
        <v/>
      </c>
      <c r="U556" s="37" t="str">
        <f aca="false">IF(A556="","",TEXT(A556,"mmm"))</f>
        <v/>
      </c>
      <c r="V556" s="37" t="str">
        <f aca="false">IF(Q556="","",IFERROR(INDEX(Settings!$I$11:$I$15,MATCH(Q556,Settings!$H$11:$H$15,0)),"No"))</f>
        <v/>
      </c>
      <c r="W556" s="37" t="str">
        <f aca="false">IF(Q556="","",IFERROR(INDEX(Settings!$J$11:$J$15,MATCH(Q556,Settings!$H$11:$H$15,0)),"No"))</f>
        <v/>
      </c>
    </row>
    <row r="557" customFormat="false" ht="15" hidden="false" customHeight="false" outlineLevel="0" collapsed="false">
      <c r="A557" s="30"/>
      <c r="B557" s="25"/>
      <c r="C557" s="25"/>
      <c r="D557" s="25"/>
      <c r="E557" s="25"/>
      <c r="F557" s="25"/>
      <c r="G557" s="25"/>
      <c r="H557" s="31"/>
      <c r="I557" s="32"/>
      <c r="J557" s="33"/>
      <c r="K557" s="34" t="str">
        <f aca="false">IF(OR(H557="",I557=""),"",H557*I557*(1-N(J557)))</f>
        <v/>
      </c>
      <c r="L557" s="32"/>
      <c r="M557" s="34" t="str">
        <f aca="false">IF(OR(H557="",L557=""),"",H557*L557)</f>
        <v/>
      </c>
      <c r="N557" s="34" t="str">
        <f aca="false">IF(OR(K557="",M557=""),"",K557-M557)</f>
        <v/>
      </c>
      <c r="O557" s="35" t="str">
        <f aca="false">IF(OR(N557="",K557=""),"",IF(K557=0,"",N557/K557))</f>
        <v/>
      </c>
      <c r="P557" s="25"/>
      <c r="Q557" s="25"/>
      <c r="R557" s="25"/>
      <c r="S557" s="36" t="str">
        <f aca="false">IF(A557="","",YEAR(A557)+IF(AND(FYStart&gt;1,MONTH(A557)&gt;=FYStart),1,0))</f>
        <v/>
      </c>
      <c r="T557" s="36" t="str">
        <f aca="false">IF(A557="","",MOD(MONTH(A557)-FYStart,12)+1)</f>
        <v/>
      </c>
      <c r="U557" s="37" t="str">
        <f aca="false">IF(A557="","",TEXT(A557,"mmm"))</f>
        <v/>
      </c>
      <c r="V557" s="37" t="str">
        <f aca="false">IF(Q557="","",IFERROR(INDEX(Settings!$I$11:$I$15,MATCH(Q557,Settings!$H$11:$H$15,0)),"No"))</f>
        <v/>
      </c>
      <c r="W557" s="37" t="str">
        <f aca="false">IF(Q557="","",IFERROR(INDEX(Settings!$J$11:$J$15,MATCH(Q557,Settings!$H$11:$H$15,0)),"No"))</f>
        <v/>
      </c>
    </row>
    <row r="558" customFormat="false" ht="15" hidden="false" customHeight="false" outlineLevel="0" collapsed="false">
      <c r="A558" s="30"/>
      <c r="B558" s="25"/>
      <c r="C558" s="25"/>
      <c r="D558" s="25"/>
      <c r="E558" s="25"/>
      <c r="F558" s="25"/>
      <c r="G558" s="25"/>
      <c r="H558" s="31"/>
      <c r="I558" s="32"/>
      <c r="J558" s="33"/>
      <c r="K558" s="34" t="str">
        <f aca="false">IF(OR(H558="",I558=""),"",H558*I558*(1-N(J558)))</f>
        <v/>
      </c>
      <c r="L558" s="32"/>
      <c r="M558" s="34" t="str">
        <f aca="false">IF(OR(H558="",L558=""),"",H558*L558)</f>
        <v/>
      </c>
      <c r="N558" s="34" t="str">
        <f aca="false">IF(OR(K558="",M558=""),"",K558-M558)</f>
        <v/>
      </c>
      <c r="O558" s="35" t="str">
        <f aca="false">IF(OR(N558="",K558=""),"",IF(K558=0,"",N558/K558))</f>
        <v/>
      </c>
      <c r="P558" s="25"/>
      <c r="Q558" s="25"/>
      <c r="R558" s="25"/>
      <c r="S558" s="36" t="str">
        <f aca="false">IF(A558="","",YEAR(A558)+IF(AND(FYStart&gt;1,MONTH(A558)&gt;=FYStart),1,0))</f>
        <v/>
      </c>
      <c r="T558" s="36" t="str">
        <f aca="false">IF(A558="","",MOD(MONTH(A558)-FYStart,12)+1)</f>
        <v/>
      </c>
      <c r="U558" s="37" t="str">
        <f aca="false">IF(A558="","",TEXT(A558,"mmm"))</f>
        <v/>
      </c>
      <c r="V558" s="37" t="str">
        <f aca="false">IF(Q558="","",IFERROR(INDEX(Settings!$I$11:$I$15,MATCH(Q558,Settings!$H$11:$H$15,0)),"No"))</f>
        <v/>
      </c>
      <c r="W558" s="37" t="str">
        <f aca="false">IF(Q558="","",IFERROR(INDEX(Settings!$J$11:$J$15,MATCH(Q558,Settings!$H$11:$H$15,0)),"No"))</f>
        <v/>
      </c>
    </row>
    <row r="559" customFormat="false" ht="15" hidden="false" customHeight="false" outlineLevel="0" collapsed="false">
      <c r="A559" s="30"/>
      <c r="B559" s="25"/>
      <c r="C559" s="25"/>
      <c r="D559" s="25"/>
      <c r="E559" s="25"/>
      <c r="F559" s="25"/>
      <c r="G559" s="25"/>
      <c r="H559" s="31"/>
      <c r="I559" s="32"/>
      <c r="J559" s="33"/>
      <c r="K559" s="34" t="str">
        <f aca="false">IF(OR(H559="",I559=""),"",H559*I559*(1-N(J559)))</f>
        <v/>
      </c>
      <c r="L559" s="32"/>
      <c r="M559" s="34" t="str">
        <f aca="false">IF(OR(H559="",L559=""),"",H559*L559)</f>
        <v/>
      </c>
      <c r="N559" s="34" t="str">
        <f aca="false">IF(OR(K559="",M559=""),"",K559-M559)</f>
        <v/>
      </c>
      <c r="O559" s="35" t="str">
        <f aca="false">IF(OR(N559="",K559=""),"",IF(K559=0,"",N559/K559))</f>
        <v/>
      </c>
      <c r="P559" s="25"/>
      <c r="Q559" s="25"/>
      <c r="R559" s="25"/>
      <c r="S559" s="36" t="str">
        <f aca="false">IF(A559="","",YEAR(A559)+IF(AND(FYStart&gt;1,MONTH(A559)&gt;=FYStart),1,0))</f>
        <v/>
      </c>
      <c r="T559" s="36" t="str">
        <f aca="false">IF(A559="","",MOD(MONTH(A559)-FYStart,12)+1)</f>
        <v/>
      </c>
      <c r="U559" s="37" t="str">
        <f aca="false">IF(A559="","",TEXT(A559,"mmm"))</f>
        <v/>
      </c>
      <c r="V559" s="37" t="str">
        <f aca="false">IF(Q559="","",IFERROR(INDEX(Settings!$I$11:$I$15,MATCH(Q559,Settings!$H$11:$H$15,0)),"No"))</f>
        <v/>
      </c>
      <c r="W559" s="37" t="str">
        <f aca="false">IF(Q559="","",IFERROR(INDEX(Settings!$J$11:$J$15,MATCH(Q559,Settings!$H$11:$H$15,0)),"No"))</f>
        <v/>
      </c>
    </row>
    <row r="560" customFormat="false" ht="15" hidden="false" customHeight="false" outlineLevel="0" collapsed="false">
      <c r="A560" s="30"/>
      <c r="B560" s="25"/>
      <c r="C560" s="25"/>
      <c r="D560" s="25"/>
      <c r="E560" s="25"/>
      <c r="F560" s="25"/>
      <c r="G560" s="25"/>
      <c r="H560" s="31"/>
      <c r="I560" s="32"/>
      <c r="J560" s="33"/>
      <c r="K560" s="34" t="str">
        <f aca="false">IF(OR(H560="",I560=""),"",H560*I560*(1-N(J560)))</f>
        <v/>
      </c>
      <c r="L560" s="32"/>
      <c r="M560" s="34" t="str">
        <f aca="false">IF(OR(H560="",L560=""),"",H560*L560)</f>
        <v/>
      </c>
      <c r="N560" s="34" t="str">
        <f aca="false">IF(OR(K560="",M560=""),"",K560-M560)</f>
        <v/>
      </c>
      <c r="O560" s="35" t="str">
        <f aca="false">IF(OR(N560="",K560=""),"",IF(K560=0,"",N560/K560))</f>
        <v/>
      </c>
      <c r="P560" s="25"/>
      <c r="Q560" s="25"/>
      <c r="R560" s="25"/>
      <c r="S560" s="36" t="str">
        <f aca="false">IF(A560="","",YEAR(A560)+IF(AND(FYStart&gt;1,MONTH(A560)&gt;=FYStart),1,0))</f>
        <v/>
      </c>
      <c r="T560" s="36" t="str">
        <f aca="false">IF(A560="","",MOD(MONTH(A560)-FYStart,12)+1)</f>
        <v/>
      </c>
      <c r="U560" s="37" t="str">
        <f aca="false">IF(A560="","",TEXT(A560,"mmm"))</f>
        <v/>
      </c>
      <c r="V560" s="37" t="str">
        <f aca="false">IF(Q560="","",IFERROR(INDEX(Settings!$I$11:$I$15,MATCH(Q560,Settings!$H$11:$H$15,0)),"No"))</f>
        <v/>
      </c>
      <c r="W560" s="37" t="str">
        <f aca="false">IF(Q560="","",IFERROR(INDEX(Settings!$J$11:$J$15,MATCH(Q560,Settings!$H$11:$H$15,0)),"No"))</f>
        <v/>
      </c>
    </row>
    <row r="561" customFormat="false" ht="15" hidden="false" customHeight="false" outlineLevel="0" collapsed="false">
      <c r="A561" s="30"/>
      <c r="B561" s="25"/>
      <c r="C561" s="25"/>
      <c r="D561" s="25"/>
      <c r="E561" s="25"/>
      <c r="F561" s="25"/>
      <c r="G561" s="25"/>
      <c r="H561" s="31"/>
      <c r="I561" s="32"/>
      <c r="J561" s="33"/>
      <c r="K561" s="34" t="str">
        <f aca="false">IF(OR(H561="",I561=""),"",H561*I561*(1-N(J561)))</f>
        <v/>
      </c>
      <c r="L561" s="32"/>
      <c r="M561" s="34" t="str">
        <f aca="false">IF(OR(H561="",L561=""),"",H561*L561)</f>
        <v/>
      </c>
      <c r="N561" s="34" t="str">
        <f aca="false">IF(OR(K561="",M561=""),"",K561-M561)</f>
        <v/>
      </c>
      <c r="O561" s="35" t="str">
        <f aca="false">IF(OR(N561="",K561=""),"",IF(K561=0,"",N561/K561))</f>
        <v/>
      </c>
      <c r="P561" s="25"/>
      <c r="Q561" s="25"/>
      <c r="R561" s="25"/>
      <c r="S561" s="36" t="str">
        <f aca="false">IF(A561="","",YEAR(A561)+IF(AND(FYStart&gt;1,MONTH(A561)&gt;=FYStart),1,0))</f>
        <v/>
      </c>
      <c r="T561" s="36" t="str">
        <f aca="false">IF(A561="","",MOD(MONTH(A561)-FYStart,12)+1)</f>
        <v/>
      </c>
      <c r="U561" s="37" t="str">
        <f aca="false">IF(A561="","",TEXT(A561,"mmm"))</f>
        <v/>
      </c>
      <c r="V561" s="37" t="str">
        <f aca="false">IF(Q561="","",IFERROR(INDEX(Settings!$I$11:$I$15,MATCH(Q561,Settings!$H$11:$H$15,0)),"No"))</f>
        <v/>
      </c>
      <c r="W561" s="37" t="str">
        <f aca="false">IF(Q561="","",IFERROR(INDEX(Settings!$J$11:$J$15,MATCH(Q561,Settings!$H$11:$H$15,0)),"No"))</f>
        <v/>
      </c>
    </row>
    <row r="562" customFormat="false" ht="15" hidden="false" customHeight="false" outlineLevel="0" collapsed="false">
      <c r="A562" s="30"/>
      <c r="B562" s="25"/>
      <c r="C562" s="25"/>
      <c r="D562" s="25"/>
      <c r="E562" s="25"/>
      <c r="F562" s="25"/>
      <c r="G562" s="25"/>
      <c r="H562" s="31"/>
      <c r="I562" s="32"/>
      <c r="J562" s="33"/>
      <c r="K562" s="34" t="str">
        <f aca="false">IF(OR(H562="",I562=""),"",H562*I562*(1-N(J562)))</f>
        <v/>
      </c>
      <c r="L562" s="32"/>
      <c r="M562" s="34" t="str">
        <f aca="false">IF(OR(H562="",L562=""),"",H562*L562)</f>
        <v/>
      </c>
      <c r="N562" s="34" t="str">
        <f aca="false">IF(OR(K562="",M562=""),"",K562-M562)</f>
        <v/>
      </c>
      <c r="O562" s="35" t="str">
        <f aca="false">IF(OR(N562="",K562=""),"",IF(K562=0,"",N562/K562))</f>
        <v/>
      </c>
      <c r="P562" s="25"/>
      <c r="Q562" s="25"/>
      <c r="R562" s="25"/>
      <c r="S562" s="36" t="str">
        <f aca="false">IF(A562="","",YEAR(A562)+IF(AND(FYStart&gt;1,MONTH(A562)&gt;=FYStart),1,0))</f>
        <v/>
      </c>
      <c r="T562" s="36" t="str">
        <f aca="false">IF(A562="","",MOD(MONTH(A562)-FYStart,12)+1)</f>
        <v/>
      </c>
      <c r="U562" s="37" t="str">
        <f aca="false">IF(A562="","",TEXT(A562,"mmm"))</f>
        <v/>
      </c>
      <c r="V562" s="37" t="str">
        <f aca="false">IF(Q562="","",IFERROR(INDEX(Settings!$I$11:$I$15,MATCH(Q562,Settings!$H$11:$H$15,0)),"No"))</f>
        <v/>
      </c>
      <c r="W562" s="37" t="str">
        <f aca="false">IF(Q562="","",IFERROR(INDEX(Settings!$J$11:$J$15,MATCH(Q562,Settings!$H$11:$H$15,0)),"No"))</f>
        <v/>
      </c>
    </row>
    <row r="563" customFormat="false" ht="15" hidden="false" customHeight="false" outlineLevel="0" collapsed="false">
      <c r="A563" s="30"/>
      <c r="B563" s="25"/>
      <c r="C563" s="25"/>
      <c r="D563" s="25"/>
      <c r="E563" s="25"/>
      <c r="F563" s="25"/>
      <c r="G563" s="25"/>
      <c r="H563" s="31"/>
      <c r="I563" s="32"/>
      <c r="J563" s="33"/>
      <c r="K563" s="34" t="str">
        <f aca="false">IF(OR(H563="",I563=""),"",H563*I563*(1-N(J563)))</f>
        <v/>
      </c>
      <c r="L563" s="32"/>
      <c r="M563" s="34" t="str">
        <f aca="false">IF(OR(H563="",L563=""),"",H563*L563)</f>
        <v/>
      </c>
      <c r="N563" s="34" t="str">
        <f aca="false">IF(OR(K563="",M563=""),"",K563-M563)</f>
        <v/>
      </c>
      <c r="O563" s="35" t="str">
        <f aca="false">IF(OR(N563="",K563=""),"",IF(K563=0,"",N563/K563))</f>
        <v/>
      </c>
      <c r="P563" s="25"/>
      <c r="Q563" s="25"/>
      <c r="R563" s="25"/>
      <c r="S563" s="36" t="str">
        <f aca="false">IF(A563="","",YEAR(A563)+IF(AND(FYStart&gt;1,MONTH(A563)&gt;=FYStart),1,0))</f>
        <v/>
      </c>
      <c r="T563" s="36" t="str">
        <f aca="false">IF(A563="","",MOD(MONTH(A563)-FYStart,12)+1)</f>
        <v/>
      </c>
      <c r="U563" s="37" t="str">
        <f aca="false">IF(A563="","",TEXT(A563,"mmm"))</f>
        <v/>
      </c>
      <c r="V563" s="37" t="str">
        <f aca="false">IF(Q563="","",IFERROR(INDEX(Settings!$I$11:$I$15,MATCH(Q563,Settings!$H$11:$H$15,0)),"No"))</f>
        <v/>
      </c>
      <c r="W563" s="37" t="str">
        <f aca="false">IF(Q563="","",IFERROR(INDEX(Settings!$J$11:$J$15,MATCH(Q563,Settings!$H$11:$H$15,0)),"No"))</f>
        <v/>
      </c>
    </row>
    <row r="564" customFormat="false" ht="15" hidden="false" customHeight="false" outlineLevel="0" collapsed="false">
      <c r="A564" s="30"/>
      <c r="B564" s="25"/>
      <c r="C564" s="25"/>
      <c r="D564" s="25"/>
      <c r="E564" s="25"/>
      <c r="F564" s="25"/>
      <c r="G564" s="25"/>
      <c r="H564" s="31"/>
      <c r="I564" s="32"/>
      <c r="J564" s="33"/>
      <c r="K564" s="34" t="str">
        <f aca="false">IF(OR(H564="",I564=""),"",H564*I564*(1-N(J564)))</f>
        <v/>
      </c>
      <c r="L564" s="32"/>
      <c r="M564" s="34" t="str">
        <f aca="false">IF(OR(H564="",L564=""),"",H564*L564)</f>
        <v/>
      </c>
      <c r="N564" s="34" t="str">
        <f aca="false">IF(OR(K564="",M564=""),"",K564-M564)</f>
        <v/>
      </c>
      <c r="O564" s="35" t="str">
        <f aca="false">IF(OR(N564="",K564=""),"",IF(K564=0,"",N564/K564))</f>
        <v/>
      </c>
      <c r="P564" s="25"/>
      <c r="Q564" s="25"/>
      <c r="R564" s="25"/>
      <c r="S564" s="36" t="str">
        <f aca="false">IF(A564="","",YEAR(A564)+IF(AND(FYStart&gt;1,MONTH(A564)&gt;=FYStart),1,0))</f>
        <v/>
      </c>
      <c r="T564" s="36" t="str">
        <f aca="false">IF(A564="","",MOD(MONTH(A564)-FYStart,12)+1)</f>
        <v/>
      </c>
      <c r="U564" s="37" t="str">
        <f aca="false">IF(A564="","",TEXT(A564,"mmm"))</f>
        <v/>
      </c>
      <c r="V564" s="37" t="str">
        <f aca="false">IF(Q564="","",IFERROR(INDEX(Settings!$I$11:$I$15,MATCH(Q564,Settings!$H$11:$H$15,0)),"No"))</f>
        <v/>
      </c>
      <c r="W564" s="37" t="str">
        <f aca="false">IF(Q564="","",IFERROR(INDEX(Settings!$J$11:$J$15,MATCH(Q564,Settings!$H$11:$H$15,0)),"No"))</f>
        <v/>
      </c>
    </row>
    <row r="565" customFormat="false" ht="15" hidden="false" customHeight="false" outlineLevel="0" collapsed="false">
      <c r="A565" s="30"/>
      <c r="B565" s="25"/>
      <c r="C565" s="25"/>
      <c r="D565" s="25"/>
      <c r="E565" s="25"/>
      <c r="F565" s="25"/>
      <c r="G565" s="25"/>
      <c r="H565" s="31"/>
      <c r="I565" s="32"/>
      <c r="J565" s="33"/>
      <c r="K565" s="34" t="str">
        <f aca="false">IF(OR(H565="",I565=""),"",H565*I565*(1-N(J565)))</f>
        <v/>
      </c>
      <c r="L565" s="32"/>
      <c r="M565" s="34" t="str">
        <f aca="false">IF(OR(H565="",L565=""),"",H565*L565)</f>
        <v/>
      </c>
      <c r="N565" s="34" t="str">
        <f aca="false">IF(OR(K565="",M565=""),"",K565-M565)</f>
        <v/>
      </c>
      <c r="O565" s="35" t="str">
        <f aca="false">IF(OR(N565="",K565=""),"",IF(K565=0,"",N565/K565))</f>
        <v/>
      </c>
      <c r="P565" s="25"/>
      <c r="Q565" s="25"/>
      <c r="R565" s="25"/>
      <c r="S565" s="36" t="str">
        <f aca="false">IF(A565="","",YEAR(A565)+IF(AND(FYStart&gt;1,MONTH(A565)&gt;=FYStart),1,0))</f>
        <v/>
      </c>
      <c r="T565" s="36" t="str">
        <f aca="false">IF(A565="","",MOD(MONTH(A565)-FYStart,12)+1)</f>
        <v/>
      </c>
      <c r="U565" s="37" t="str">
        <f aca="false">IF(A565="","",TEXT(A565,"mmm"))</f>
        <v/>
      </c>
      <c r="V565" s="37" t="str">
        <f aca="false">IF(Q565="","",IFERROR(INDEX(Settings!$I$11:$I$15,MATCH(Q565,Settings!$H$11:$H$15,0)),"No"))</f>
        <v/>
      </c>
      <c r="W565" s="37" t="str">
        <f aca="false">IF(Q565="","",IFERROR(INDEX(Settings!$J$11:$J$15,MATCH(Q565,Settings!$H$11:$H$15,0)),"No"))</f>
        <v/>
      </c>
    </row>
    <row r="566" customFormat="false" ht="15" hidden="false" customHeight="false" outlineLevel="0" collapsed="false">
      <c r="A566" s="30"/>
      <c r="B566" s="25"/>
      <c r="C566" s="25"/>
      <c r="D566" s="25"/>
      <c r="E566" s="25"/>
      <c r="F566" s="25"/>
      <c r="G566" s="25"/>
      <c r="H566" s="31"/>
      <c r="I566" s="32"/>
      <c r="J566" s="33"/>
      <c r="K566" s="34" t="str">
        <f aca="false">IF(OR(H566="",I566=""),"",H566*I566*(1-N(J566)))</f>
        <v/>
      </c>
      <c r="L566" s="32"/>
      <c r="M566" s="34" t="str">
        <f aca="false">IF(OR(H566="",L566=""),"",H566*L566)</f>
        <v/>
      </c>
      <c r="N566" s="34" t="str">
        <f aca="false">IF(OR(K566="",M566=""),"",K566-M566)</f>
        <v/>
      </c>
      <c r="O566" s="35" t="str">
        <f aca="false">IF(OR(N566="",K566=""),"",IF(K566=0,"",N566/K566))</f>
        <v/>
      </c>
      <c r="P566" s="25"/>
      <c r="Q566" s="25"/>
      <c r="R566" s="25"/>
      <c r="S566" s="36" t="str">
        <f aca="false">IF(A566="","",YEAR(A566)+IF(AND(FYStart&gt;1,MONTH(A566)&gt;=FYStart),1,0))</f>
        <v/>
      </c>
      <c r="T566" s="36" t="str">
        <f aca="false">IF(A566="","",MOD(MONTH(A566)-FYStart,12)+1)</f>
        <v/>
      </c>
      <c r="U566" s="37" t="str">
        <f aca="false">IF(A566="","",TEXT(A566,"mmm"))</f>
        <v/>
      </c>
      <c r="V566" s="37" t="str">
        <f aca="false">IF(Q566="","",IFERROR(INDEX(Settings!$I$11:$I$15,MATCH(Q566,Settings!$H$11:$H$15,0)),"No"))</f>
        <v/>
      </c>
      <c r="W566" s="37" t="str">
        <f aca="false">IF(Q566="","",IFERROR(INDEX(Settings!$J$11:$J$15,MATCH(Q566,Settings!$H$11:$H$15,0)),"No"))</f>
        <v/>
      </c>
    </row>
    <row r="567" customFormat="false" ht="15" hidden="false" customHeight="false" outlineLevel="0" collapsed="false">
      <c r="A567" s="30"/>
      <c r="B567" s="25"/>
      <c r="C567" s="25"/>
      <c r="D567" s="25"/>
      <c r="E567" s="25"/>
      <c r="F567" s="25"/>
      <c r="G567" s="25"/>
      <c r="H567" s="31"/>
      <c r="I567" s="32"/>
      <c r="J567" s="33"/>
      <c r="K567" s="34" t="str">
        <f aca="false">IF(OR(H567="",I567=""),"",H567*I567*(1-N(J567)))</f>
        <v/>
      </c>
      <c r="L567" s="32"/>
      <c r="M567" s="34" t="str">
        <f aca="false">IF(OR(H567="",L567=""),"",H567*L567)</f>
        <v/>
      </c>
      <c r="N567" s="34" t="str">
        <f aca="false">IF(OR(K567="",M567=""),"",K567-M567)</f>
        <v/>
      </c>
      <c r="O567" s="35" t="str">
        <f aca="false">IF(OR(N567="",K567=""),"",IF(K567=0,"",N567/K567))</f>
        <v/>
      </c>
      <c r="P567" s="25"/>
      <c r="Q567" s="25"/>
      <c r="R567" s="25"/>
      <c r="S567" s="36" t="str">
        <f aca="false">IF(A567="","",YEAR(A567)+IF(AND(FYStart&gt;1,MONTH(A567)&gt;=FYStart),1,0))</f>
        <v/>
      </c>
      <c r="T567" s="36" t="str">
        <f aca="false">IF(A567="","",MOD(MONTH(A567)-FYStart,12)+1)</f>
        <v/>
      </c>
      <c r="U567" s="37" t="str">
        <f aca="false">IF(A567="","",TEXT(A567,"mmm"))</f>
        <v/>
      </c>
      <c r="V567" s="37" t="str">
        <f aca="false">IF(Q567="","",IFERROR(INDEX(Settings!$I$11:$I$15,MATCH(Q567,Settings!$H$11:$H$15,0)),"No"))</f>
        <v/>
      </c>
      <c r="W567" s="37" t="str">
        <f aca="false">IF(Q567="","",IFERROR(INDEX(Settings!$J$11:$J$15,MATCH(Q567,Settings!$H$11:$H$15,0)),"No"))</f>
        <v/>
      </c>
    </row>
    <row r="568" customFormat="false" ht="15" hidden="false" customHeight="false" outlineLevel="0" collapsed="false">
      <c r="A568" s="30"/>
      <c r="B568" s="25"/>
      <c r="C568" s="25"/>
      <c r="D568" s="25"/>
      <c r="E568" s="25"/>
      <c r="F568" s="25"/>
      <c r="G568" s="25"/>
      <c r="H568" s="31"/>
      <c r="I568" s="32"/>
      <c r="J568" s="33"/>
      <c r="K568" s="34" t="str">
        <f aca="false">IF(OR(H568="",I568=""),"",H568*I568*(1-N(J568)))</f>
        <v/>
      </c>
      <c r="L568" s="32"/>
      <c r="M568" s="34" t="str">
        <f aca="false">IF(OR(H568="",L568=""),"",H568*L568)</f>
        <v/>
      </c>
      <c r="N568" s="34" t="str">
        <f aca="false">IF(OR(K568="",M568=""),"",K568-M568)</f>
        <v/>
      </c>
      <c r="O568" s="35" t="str">
        <f aca="false">IF(OR(N568="",K568=""),"",IF(K568=0,"",N568/K568))</f>
        <v/>
      </c>
      <c r="P568" s="25"/>
      <c r="Q568" s="25"/>
      <c r="R568" s="25"/>
      <c r="S568" s="36" t="str">
        <f aca="false">IF(A568="","",YEAR(A568)+IF(AND(FYStart&gt;1,MONTH(A568)&gt;=FYStart),1,0))</f>
        <v/>
      </c>
      <c r="T568" s="36" t="str">
        <f aca="false">IF(A568="","",MOD(MONTH(A568)-FYStart,12)+1)</f>
        <v/>
      </c>
      <c r="U568" s="37" t="str">
        <f aca="false">IF(A568="","",TEXT(A568,"mmm"))</f>
        <v/>
      </c>
      <c r="V568" s="37" t="str">
        <f aca="false">IF(Q568="","",IFERROR(INDEX(Settings!$I$11:$I$15,MATCH(Q568,Settings!$H$11:$H$15,0)),"No"))</f>
        <v/>
      </c>
      <c r="W568" s="37" t="str">
        <f aca="false">IF(Q568="","",IFERROR(INDEX(Settings!$J$11:$J$15,MATCH(Q568,Settings!$H$11:$H$15,0)),"No"))</f>
        <v/>
      </c>
    </row>
    <row r="569" customFormat="false" ht="15" hidden="false" customHeight="false" outlineLevel="0" collapsed="false">
      <c r="A569" s="30"/>
      <c r="B569" s="25"/>
      <c r="C569" s="25"/>
      <c r="D569" s="25"/>
      <c r="E569" s="25"/>
      <c r="F569" s="25"/>
      <c r="G569" s="25"/>
      <c r="H569" s="31"/>
      <c r="I569" s="32"/>
      <c r="J569" s="33"/>
      <c r="K569" s="34" t="str">
        <f aca="false">IF(OR(H569="",I569=""),"",H569*I569*(1-N(J569)))</f>
        <v/>
      </c>
      <c r="L569" s="32"/>
      <c r="M569" s="34" t="str">
        <f aca="false">IF(OR(H569="",L569=""),"",H569*L569)</f>
        <v/>
      </c>
      <c r="N569" s="34" t="str">
        <f aca="false">IF(OR(K569="",M569=""),"",K569-M569)</f>
        <v/>
      </c>
      <c r="O569" s="35" t="str">
        <f aca="false">IF(OR(N569="",K569=""),"",IF(K569=0,"",N569/K569))</f>
        <v/>
      </c>
      <c r="P569" s="25"/>
      <c r="Q569" s="25"/>
      <c r="R569" s="25"/>
      <c r="S569" s="36" t="str">
        <f aca="false">IF(A569="","",YEAR(A569)+IF(AND(FYStart&gt;1,MONTH(A569)&gt;=FYStart),1,0))</f>
        <v/>
      </c>
      <c r="T569" s="36" t="str">
        <f aca="false">IF(A569="","",MOD(MONTH(A569)-FYStart,12)+1)</f>
        <v/>
      </c>
      <c r="U569" s="37" t="str">
        <f aca="false">IF(A569="","",TEXT(A569,"mmm"))</f>
        <v/>
      </c>
      <c r="V569" s="37" t="str">
        <f aca="false">IF(Q569="","",IFERROR(INDEX(Settings!$I$11:$I$15,MATCH(Q569,Settings!$H$11:$H$15,0)),"No"))</f>
        <v/>
      </c>
      <c r="W569" s="37" t="str">
        <f aca="false">IF(Q569="","",IFERROR(INDEX(Settings!$J$11:$J$15,MATCH(Q569,Settings!$H$11:$H$15,0)),"No"))</f>
        <v/>
      </c>
    </row>
    <row r="570" customFormat="false" ht="15" hidden="false" customHeight="false" outlineLevel="0" collapsed="false">
      <c r="A570" s="30"/>
      <c r="B570" s="25"/>
      <c r="C570" s="25"/>
      <c r="D570" s="25"/>
      <c r="E570" s="25"/>
      <c r="F570" s="25"/>
      <c r="G570" s="25"/>
      <c r="H570" s="31"/>
      <c r="I570" s="32"/>
      <c r="J570" s="33"/>
      <c r="K570" s="34" t="str">
        <f aca="false">IF(OR(H570="",I570=""),"",H570*I570*(1-N(J570)))</f>
        <v/>
      </c>
      <c r="L570" s="32"/>
      <c r="M570" s="34" t="str">
        <f aca="false">IF(OR(H570="",L570=""),"",H570*L570)</f>
        <v/>
      </c>
      <c r="N570" s="34" t="str">
        <f aca="false">IF(OR(K570="",M570=""),"",K570-M570)</f>
        <v/>
      </c>
      <c r="O570" s="35" t="str">
        <f aca="false">IF(OR(N570="",K570=""),"",IF(K570=0,"",N570/K570))</f>
        <v/>
      </c>
      <c r="P570" s="25"/>
      <c r="Q570" s="25"/>
      <c r="R570" s="25"/>
      <c r="S570" s="36" t="str">
        <f aca="false">IF(A570="","",YEAR(A570)+IF(AND(FYStart&gt;1,MONTH(A570)&gt;=FYStart),1,0))</f>
        <v/>
      </c>
      <c r="T570" s="36" t="str">
        <f aca="false">IF(A570="","",MOD(MONTH(A570)-FYStart,12)+1)</f>
        <v/>
      </c>
      <c r="U570" s="37" t="str">
        <f aca="false">IF(A570="","",TEXT(A570,"mmm"))</f>
        <v/>
      </c>
      <c r="V570" s="37" t="str">
        <f aca="false">IF(Q570="","",IFERROR(INDEX(Settings!$I$11:$I$15,MATCH(Q570,Settings!$H$11:$H$15,0)),"No"))</f>
        <v/>
      </c>
      <c r="W570" s="37" t="str">
        <f aca="false">IF(Q570="","",IFERROR(INDEX(Settings!$J$11:$J$15,MATCH(Q570,Settings!$H$11:$H$15,0)),"No"))</f>
        <v/>
      </c>
    </row>
    <row r="571" customFormat="false" ht="15" hidden="false" customHeight="false" outlineLevel="0" collapsed="false">
      <c r="A571" s="30"/>
      <c r="B571" s="25"/>
      <c r="C571" s="25"/>
      <c r="D571" s="25"/>
      <c r="E571" s="25"/>
      <c r="F571" s="25"/>
      <c r="G571" s="25"/>
      <c r="H571" s="31"/>
      <c r="I571" s="32"/>
      <c r="J571" s="33"/>
      <c r="K571" s="34" t="str">
        <f aca="false">IF(OR(H571="",I571=""),"",H571*I571*(1-N(J571)))</f>
        <v/>
      </c>
      <c r="L571" s="32"/>
      <c r="M571" s="34" t="str">
        <f aca="false">IF(OR(H571="",L571=""),"",H571*L571)</f>
        <v/>
      </c>
      <c r="N571" s="34" t="str">
        <f aca="false">IF(OR(K571="",M571=""),"",K571-M571)</f>
        <v/>
      </c>
      <c r="O571" s="35" t="str">
        <f aca="false">IF(OR(N571="",K571=""),"",IF(K571=0,"",N571/K571))</f>
        <v/>
      </c>
      <c r="P571" s="25"/>
      <c r="Q571" s="25"/>
      <c r="R571" s="25"/>
      <c r="S571" s="36" t="str">
        <f aca="false">IF(A571="","",YEAR(A571)+IF(AND(FYStart&gt;1,MONTH(A571)&gt;=FYStart),1,0))</f>
        <v/>
      </c>
      <c r="T571" s="36" t="str">
        <f aca="false">IF(A571="","",MOD(MONTH(A571)-FYStart,12)+1)</f>
        <v/>
      </c>
      <c r="U571" s="37" t="str">
        <f aca="false">IF(A571="","",TEXT(A571,"mmm"))</f>
        <v/>
      </c>
      <c r="V571" s="37" t="str">
        <f aca="false">IF(Q571="","",IFERROR(INDEX(Settings!$I$11:$I$15,MATCH(Q571,Settings!$H$11:$H$15,0)),"No"))</f>
        <v/>
      </c>
      <c r="W571" s="37" t="str">
        <f aca="false">IF(Q571="","",IFERROR(INDEX(Settings!$J$11:$J$15,MATCH(Q571,Settings!$H$11:$H$15,0)),"No"))</f>
        <v/>
      </c>
    </row>
    <row r="572" customFormat="false" ht="15" hidden="false" customHeight="false" outlineLevel="0" collapsed="false">
      <c r="A572" s="30"/>
      <c r="B572" s="25"/>
      <c r="C572" s="25"/>
      <c r="D572" s="25"/>
      <c r="E572" s="25"/>
      <c r="F572" s="25"/>
      <c r="G572" s="25"/>
      <c r="H572" s="31"/>
      <c r="I572" s="32"/>
      <c r="J572" s="33"/>
      <c r="K572" s="34" t="str">
        <f aca="false">IF(OR(H572="",I572=""),"",H572*I572*(1-N(J572)))</f>
        <v/>
      </c>
      <c r="L572" s="32"/>
      <c r="M572" s="34" t="str">
        <f aca="false">IF(OR(H572="",L572=""),"",H572*L572)</f>
        <v/>
      </c>
      <c r="N572" s="34" t="str">
        <f aca="false">IF(OR(K572="",M572=""),"",K572-M572)</f>
        <v/>
      </c>
      <c r="O572" s="35" t="str">
        <f aca="false">IF(OR(N572="",K572=""),"",IF(K572=0,"",N572/K572))</f>
        <v/>
      </c>
      <c r="P572" s="25"/>
      <c r="Q572" s="25"/>
      <c r="R572" s="25"/>
      <c r="S572" s="36" t="str">
        <f aca="false">IF(A572="","",YEAR(A572)+IF(AND(FYStart&gt;1,MONTH(A572)&gt;=FYStart),1,0))</f>
        <v/>
      </c>
      <c r="T572" s="36" t="str">
        <f aca="false">IF(A572="","",MOD(MONTH(A572)-FYStart,12)+1)</f>
        <v/>
      </c>
      <c r="U572" s="37" t="str">
        <f aca="false">IF(A572="","",TEXT(A572,"mmm"))</f>
        <v/>
      </c>
      <c r="V572" s="37" t="str">
        <f aca="false">IF(Q572="","",IFERROR(INDEX(Settings!$I$11:$I$15,MATCH(Q572,Settings!$H$11:$H$15,0)),"No"))</f>
        <v/>
      </c>
      <c r="W572" s="37" t="str">
        <f aca="false">IF(Q572="","",IFERROR(INDEX(Settings!$J$11:$J$15,MATCH(Q572,Settings!$H$11:$H$15,0)),"No"))</f>
        <v/>
      </c>
    </row>
    <row r="573" customFormat="false" ht="15" hidden="false" customHeight="false" outlineLevel="0" collapsed="false">
      <c r="A573" s="30"/>
      <c r="B573" s="25"/>
      <c r="C573" s="25"/>
      <c r="D573" s="25"/>
      <c r="E573" s="25"/>
      <c r="F573" s="25"/>
      <c r="G573" s="25"/>
      <c r="H573" s="31"/>
      <c r="I573" s="32"/>
      <c r="J573" s="33"/>
      <c r="K573" s="34" t="str">
        <f aca="false">IF(OR(H573="",I573=""),"",H573*I573*(1-N(J573)))</f>
        <v/>
      </c>
      <c r="L573" s="32"/>
      <c r="M573" s="34" t="str">
        <f aca="false">IF(OR(H573="",L573=""),"",H573*L573)</f>
        <v/>
      </c>
      <c r="N573" s="34" t="str">
        <f aca="false">IF(OR(K573="",M573=""),"",K573-M573)</f>
        <v/>
      </c>
      <c r="O573" s="35" t="str">
        <f aca="false">IF(OR(N573="",K573=""),"",IF(K573=0,"",N573/K573))</f>
        <v/>
      </c>
      <c r="P573" s="25"/>
      <c r="Q573" s="25"/>
      <c r="R573" s="25"/>
      <c r="S573" s="36" t="str">
        <f aca="false">IF(A573="","",YEAR(A573)+IF(AND(FYStart&gt;1,MONTH(A573)&gt;=FYStart),1,0))</f>
        <v/>
      </c>
      <c r="T573" s="36" t="str">
        <f aca="false">IF(A573="","",MOD(MONTH(A573)-FYStart,12)+1)</f>
        <v/>
      </c>
      <c r="U573" s="37" t="str">
        <f aca="false">IF(A573="","",TEXT(A573,"mmm"))</f>
        <v/>
      </c>
      <c r="V573" s="37" t="str">
        <f aca="false">IF(Q573="","",IFERROR(INDEX(Settings!$I$11:$I$15,MATCH(Q573,Settings!$H$11:$H$15,0)),"No"))</f>
        <v/>
      </c>
      <c r="W573" s="37" t="str">
        <f aca="false">IF(Q573="","",IFERROR(INDEX(Settings!$J$11:$J$15,MATCH(Q573,Settings!$H$11:$H$15,0)),"No"))</f>
        <v/>
      </c>
    </row>
    <row r="574" customFormat="false" ht="15" hidden="false" customHeight="false" outlineLevel="0" collapsed="false">
      <c r="A574" s="30"/>
      <c r="B574" s="25"/>
      <c r="C574" s="25"/>
      <c r="D574" s="25"/>
      <c r="E574" s="25"/>
      <c r="F574" s="25"/>
      <c r="G574" s="25"/>
      <c r="H574" s="31"/>
      <c r="I574" s="32"/>
      <c r="J574" s="33"/>
      <c r="K574" s="34" t="str">
        <f aca="false">IF(OR(H574="",I574=""),"",H574*I574*(1-N(J574)))</f>
        <v/>
      </c>
      <c r="L574" s="32"/>
      <c r="M574" s="34" t="str">
        <f aca="false">IF(OR(H574="",L574=""),"",H574*L574)</f>
        <v/>
      </c>
      <c r="N574" s="34" t="str">
        <f aca="false">IF(OR(K574="",M574=""),"",K574-M574)</f>
        <v/>
      </c>
      <c r="O574" s="35" t="str">
        <f aca="false">IF(OR(N574="",K574=""),"",IF(K574=0,"",N574/K574))</f>
        <v/>
      </c>
      <c r="P574" s="25"/>
      <c r="Q574" s="25"/>
      <c r="R574" s="25"/>
      <c r="S574" s="36" t="str">
        <f aca="false">IF(A574="","",YEAR(A574)+IF(AND(FYStart&gt;1,MONTH(A574)&gt;=FYStart),1,0))</f>
        <v/>
      </c>
      <c r="T574" s="36" t="str">
        <f aca="false">IF(A574="","",MOD(MONTH(A574)-FYStart,12)+1)</f>
        <v/>
      </c>
      <c r="U574" s="37" t="str">
        <f aca="false">IF(A574="","",TEXT(A574,"mmm"))</f>
        <v/>
      </c>
      <c r="V574" s="37" t="str">
        <f aca="false">IF(Q574="","",IFERROR(INDEX(Settings!$I$11:$I$15,MATCH(Q574,Settings!$H$11:$H$15,0)),"No"))</f>
        <v/>
      </c>
      <c r="W574" s="37" t="str">
        <f aca="false">IF(Q574="","",IFERROR(INDEX(Settings!$J$11:$J$15,MATCH(Q574,Settings!$H$11:$H$15,0)),"No"))</f>
        <v/>
      </c>
    </row>
    <row r="575" customFormat="false" ht="15" hidden="false" customHeight="false" outlineLevel="0" collapsed="false">
      <c r="A575" s="30"/>
      <c r="B575" s="25"/>
      <c r="C575" s="25"/>
      <c r="D575" s="25"/>
      <c r="E575" s="25"/>
      <c r="F575" s="25"/>
      <c r="G575" s="25"/>
      <c r="H575" s="31"/>
      <c r="I575" s="32"/>
      <c r="J575" s="33"/>
      <c r="K575" s="34" t="str">
        <f aca="false">IF(OR(H575="",I575=""),"",H575*I575*(1-N(J575)))</f>
        <v/>
      </c>
      <c r="L575" s="32"/>
      <c r="M575" s="34" t="str">
        <f aca="false">IF(OR(H575="",L575=""),"",H575*L575)</f>
        <v/>
      </c>
      <c r="N575" s="34" t="str">
        <f aca="false">IF(OR(K575="",M575=""),"",K575-M575)</f>
        <v/>
      </c>
      <c r="O575" s="35" t="str">
        <f aca="false">IF(OR(N575="",K575=""),"",IF(K575=0,"",N575/K575))</f>
        <v/>
      </c>
      <c r="P575" s="25"/>
      <c r="Q575" s="25"/>
      <c r="R575" s="25"/>
      <c r="S575" s="36" t="str">
        <f aca="false">IF(A575="","",YEAR(A575)+IF(AND(FYStart&gt;1,MONTH(A575)&gt;=FYStart),1,0))</f>
        <v/>
      </c>
      <c r="T575" s="36" t="str">
        <f aca="false">IF(A575="","",MOD(MONTH(A575)-FYStart,12)+1)</f>
        <v/>
      </c>
      <c r="U575" s="37" t="str">
        <f aca="false">IF(A575="","",TEXT(A575,"mmm"))</f>
        <v/>
      </c>
      <c r="V575" s="37" t="str">
        <f aca="false">IF(Q575="","",IFERROR(INDEX(Settings!$I$11:$I$15,MATCH(Q575,Settings!$H$11:$H$15,0)),"No"))</f>
        <v/>
      </c>
      <c r="W575" s="37" t="str">
        <f aca="false">IF(Q575="","",IFERROR(INDEX(Settings!$J$11:$J$15,MATCH(Q575,Settings!$H$11:$H$15,0)),"No"))</f>
        <v/>
      </c>
    </row>
    <row r="576" customFormat="false" ht="15" hidden="false" customHeight="false" outlineLevel="0" collapsed="false">
      <c r="A576" s="30"/>
      <c r="B576" s="25"/>
      <c r="C576" s="25"/>
      <c r="D576" s="25"/>
      <c r="E576" s="25"/>
      <c r="F576" s="25"/>
      <c r="G576" s="25"/>
      <c r="H576" s="31"/>
      <c r="I576" s="32"/>
      <c r="J576" s="33"/>
      <c r="K576" s="34" t="str">
        <f aca="false">IF(OR(H576="",I576=""),"",H576*I576*(1-N(J576)))</f>
        <v/>
      </c>
      <c r="L576" s="32"/>
      <c r="M576" s="34" t="str">
        <f aca="false">IF(OR(H576="",L576=""),"",H576*L576)</f>
        <v/>
      </c>
      <c r="N576" s="34" t="str">
        <f aca="false">IF(OR(K576="",M576=""),"",K576-M576)</f>
        <v/>
      </c>
      <c r="O576" s="35" t="str">
        <f aca="false">IF(OR(N576="",K576=""),"",IF(K576=0,"",N576/K576))</f>
        <v/>
      </c>
      <c r="P576" s="25"/>
      <c r="Q576" s="25"/>
      <c r="R576" s="25"/>
      <c r="S576" s="36" t="str">
        <f aca="false">IF(A576="","",YEAR(A576)+IF(AND(FYStart&gt;1,MONTH(A576)&gt;=FYStart),1,0))</f>
        <v/>
      </c>
      <c r="T576" s="36" t="str">
        <f aca="false">IF(A576="","",MOD(MONTH(A576)-FYStart,12)+1)</f>
        <v/>
      </c>
      <c r="U576" s="37" t="str">
        <f aca="false">IF(A576="","",TEXT(A576,"mmm"))</f>
        <v/>
      </c>
      <c r="V576" s="37" t="str">
        <f aca="false">IF(Q576="","",IFERROR(INDEX(Settings!$I$11:$I$15,MATCH(Q576,Settings!$H$11:$H$15,0)),"No"))</f>
        <v/>
      </c>
      <c r="W576" s="37" t="str">
        <f aca="false">IF(Q576="","",IFERROR(INDEX(Settings!$J$11:$J$15,MATCH(Q576,Settings!$H$11:$H$15,0)),"No"))</f>
        <v/>
      </c>
    </row>
    <row r="577" customFormat="false" ht="15" hidden="false" customHeight="false" outlineLevel="0" collapsed="false">
      <c r="A577" s="30"/>
      <c r="B577" s="25"/>
      <c r="C577" s="25"/>
      <c r="D577" s="25"/>
      <c r="E577" s="25"/>
      <c r="F577" s="25"/>
      <c r="G577" s="25"/>
      <c r="H577" s="31"/>
      <c r="I577" s="32"/>
      <c r="J577" s="33"/>
      <c r="K577" s="34" t="str">
        <f aca="false">IF(OR(H577="",I577=""),"",H577*I577*(1-N(J577)))</f>
        <v/>
      </c>
      <c r="L577" s="32"/>
      <c r="M577" s="34" t="str">
        <f aca="false">IF(OR(H577="",L577=""),"",H577*L577)</f>
        <v/>
      </c>
      <c r="N577" s="34" t="str">
        <f aca="false">IF(OR(K577="",M577=""),"",K577-M577)</f>
        <v/>
      </c>
      <c r="O577" s="35" t="str">
        <f aca="false">IF(OR(N577="",K577=""),"",IF(K577=0,"",N577/K577))</f>
        <v/>
      </c>
      <c r="P577" s="25"/>
      <c r="Q577" s="25"/>
      <c r="R577" s="25"/>
      <c r="S577" s="36" t="str">
        <f aca="false">IF(A577="","",YEAR(A577)+IF(AND(FYStart&gt;1,MONTH(A577)&gt;=FYStart),1,0))</f>
        <v/>
      </c>
      <c r="T577" s="36" t="str">
        <f aca="false">IF(A577="","",MOD(MONTH(A577)-FYStart,12)+1)</f>
        <v/>
      </c>
      <c r="U577" s="37" t="str">
        <f aca="false">IF(A577="","",TEXT(A577,"mmm"))</f>
        <v/>
      </c>
      <c r="V577" s="37" t="str">
        <f aca="false">IF(Q577="","",IFERROR(INDEX(Settings!$I$11:$I$15,MATCH(Q577,Settings!$H$11:$H$15,0)),"No"))</f>
        <v/>
      </c>
      <c r="W577" s="37" t="str">
        <f aca="false">IF(Q577="","",IFERROR(INDEX(Settings!$J$11:$J$15,MATCH(Q577,Settings!$H$11:$H$15,0)),"No"))</f>
        <v/>
      </c>
    </row>
    <row r="578" customFormat="false" ht="15" hidden="false" customHeight="false" outlineLevel="0" collapsed="false">
      <c r="A578" s="30"/>
      <c r="B578" s="25"/>
      <c r="C578" s="25"/>
      <c r="D578" s="25"/>
      <c r="E578" s="25"/>
      <c r="F578" s="25"/>
      <c r="G578" s="25"/>
      <c r="H578" s="31"/>
      <c r="I578" s="32"/>
      <c r="J578" s="33"/>
      <c r="K578" s="34" t="str">
        <f aca="false">IF(OR(H578="",I578=""),"",H578*I578*(1-N(J578)))</f>
        <v/>
      </c>
      <c r="L578" s="32"/>
      <c r="M578" s="34" t="str">
        <f aca="false">IF(OR(H578="",L578=""),"",H578*L578)</f>
        <v/>
      </c>
      <c r="N578" s="34" t="str">
        <f aca="false">IF(OR(K578="",M578=""),"",K578-M578)</f>
        <v/>
      </c>
      <c r="O578" s="35" t="str">
        <f aca="false">IF(OR(N578="",K578=""),"",IF(K578=0,"",N578/K578))</f>
        <v/>
      </c>
      <c r="P578" s="25"/>
      <c r="Q578" s="25"/>
      <c r="R578" s="25"/>
      <c r="S578" s="36" t="str">
        <f aca="false">IF(A578="","",YEAR(A578)+IF(AND(FYStart&gt;1,MONTH(A578)&gt;=FYStart),1,0))</f>
        <v/>
      </c>
      <c r="T578" s="36" t="str">
        <f aca="false">IF(A578="","",MOD(MONTH(A578)-FYStart,12)+1)</f>
        <v/>
      </c>
      <c r="U578" s="37" t="str">
        <f aca="false">IF(A578="","",TEXT(A578,"mmm"))</f>
        <v/>
      </c>
      <c r="V578" s="37" t="str">
        <f aca="false">IF(Q578="","",IFERROR(INDEX(Settings!$I$11:$I$15,MATCH(Q578,Settings!$H$11:$H$15,0)),"No"))</f>
        <v/>
      </c>
      <c r="W578" s="37" t="str">
        <f aca="false">IF(Q578="","",IFERROR(INDEX(Settings!$J$11:$J$15,MATCH(Q578,Settings!$H$11:$H$15,0)),"No"))</f>
        <v/>
      </c>
    </row>
    <row r="579" customFormat="false" ht="15" hidden="false" customHeight="false" outlineLevel="0" collapsed="false">
      <c r="A579" s="30"/>
      <c r="B579" s="25"/>
      <c r="C579" s="25"/>
      <c r="D579" s="25"/>
      <c r="E579" s="25"/>
      <c r="F579" s="25"/>
      <c r="G579" s="25"/>
      <c r="H579" s="31"/>
      <c r="I579" s="32"/>
      <c r="J579" s="33"/>
      <c r="K579" s="34" t="str">
        <f aca="false">IF(OR(H579="",I579=""),"",H579*I579*(1-N(J579)))</f>
        <v/>
      </c>
      <c r="L579" s="32"/>
      <c r="M579" s="34" t="str">
        <f aca="false">IF(OR(H579="",L579=""),"",H579*L579)</f>
        <v/>
      </c>
      <c r="N579" s="34" t="str">
        <f aca="false">IF(OR(K579="",M579=""),"",K579-M579)</f>
        <v/>
      </c>
      <c r="O579" s="35" t="str">
        <f aca="false">IF(OR(N579="",K579=""),"",IF(K579=0,"",N579/K579))</f>
        <v/>
      </c>
      <c r="P579" s="25"/>
      <c r="Q579" s="25"/>
      <c r="R579" s="25"/>
      <c r="S579" s="36" t="str">
        <f aca="false">IF(A579="","",YEAR(A579)+IF(AND(FYStart&gt;1,MONTH(A579)&gt;=FYStart),1,0))</f>
        <v/>
      </c>
      <c r="T579" s="36" t="str">
        <f aca="false">IF(A579="","",MOD(MONTH(A579)-FYStart,12)+1)</f>
        <v/>
      </c>
      <c r="U579" s="37" t="str">
        <f aca="false">IF(A579="","",TEXT(A579,"mmm"))</f>
        <v/>
      </c>
      <c r="V579" s="37" t="str">
        <f aca="false">IF(Q579="","",IFERROR(INDEX(Settings!$I$11:$I$15,MATCH(Q579,Settings!$H$11:$H$15,0)),"No"))</f>
        <v/>
      </c>
      <c r="W579" s="37" t="str">
        <f aca="false">IF(Q579="","",IFERROR(INDEX(Settings!$J$11:$J$15,MATCH(Q579,Settings!$H$11:$H$15,0)),"No"))</f>
        <v/>
      </c>
    </row>
    <row r="580" customFormat="false" ht="15" hidden="false" customHeight="false" outlineLevel="0" collapsed="false">
      <c r="A580" s="30"/>
      <c r="B580" s="25"/>
      <c r="C580" s="25"/>
      <c r="D580" s="25"/>
      <c r="E580" s="25"/>
      <c r="F580" s="25"/>
      <c r="G580" s="25"/>
      <c r="H580" s="31"/>
      <c r="I580" s="32"/>
      <c r="J580" s="33"/>
      <c r="K580" s="34" t="str">
        <f aca="false">IF(OR(H580="",I580=""),"",H580*I580*(1-N(J580)))</f>
        <v/>
      </c>
      <c r="L580" s="32"/>
      <c r="M580" s="34" t="str">
        <f aca="false">IF(OR(H580="",L580=""),"",H580*L580)</f>
        <v/>
      </c>
      <c r="N580" s="34" t="str">
        <f aca="false">IF(OR(K580="",M580=""),"",K580-M580)</f>
        <v/>
      </c>
      <c r="O580" s="35" t="str">
        <f aca="false">IF(OR(N580="",K580=""),"",IF(K580=0,"",N580/K580))</f>
        <v/>
      </c>
      <c r="P580" s="25"/>
      <c r="Q580" s="25"/>
      <c r="R580" s="25"/>
      <c r="S580" s="36" t="str">
        <f aca="false">IF(A580="","",YEAR(A580)+IF(AND(FYStart&gt;1,MONTH(A580)&gt;=FYStart),1,0))</f>
        <v/>
      </c>
      <c r="T580" s="36" t="str">
        <f aca="false">IF(A580="","",MOD(MONTH(A580)-FYStart,12)+1)</f>
        <v/>
      </c>
      <c r="U580" s="37" t="str">
        <f aca="false">IF(A580="","",TEXT(A580,"mmm"))</f>
        <v/>
      </c>
      <c r="V580" s="37" t="str">
        <f aca="false">IF(Q580="","",IFERROR(INDEX(Settings!$I$11:$I$15,MATCH(Q580,Settings!$H$11:$H$15,0)),"No"))</f>
        <v/>
      </c>
      <c r="W580" s="37" t="str">
        <f aca="false">IF(Q580="","",IFERROR(INDEX(Settings!$J$11:$J$15,MATCH(Q580,Settings!$H$11:$H$15,0)),"No"))</f>
        <v/>
      </c>
    </row>
    <row r="581" customFormat="false" ht="15" hidden="false" customHeight="false" outlineLevel="0" collapsed="false">
      <c r="A581" s="30"/>
      <c r="B581" s="25"/>
      <c r="C581" s="25"/>
      <c r="D581" s="25"/>
      <c r="E581" s="25"/>
      <c r="F581" s="25"/>
      <c r="G581" s="25"/>
      <c r="H581" s="31"/>
      <c r="I581" s="32"/>
      <c r="J581" s="33"/>
      <c r="K581" s="34" t="str">
        <f aca="false">IF(OR(H581="",I581=""),"",H581*I581*(1-N(J581)))</f>
        <v/>
      </c>
      <c r="L581" s="32"/>
      <c r="M581" s="34" t="str">
        <f aca="false">IF(OR(H581="",L581=""),"",H581*L581)</f>
        <v/>
      </c>
      <c r="N581" s="34" t="str">
        <f aca="false">IF(OR(K581="",M581=""),"",K581-M581)</f>
        <v/>
      </c>
      <c r="O581" s="35" t="str">
        <f aca="false">IF(OR(N581="",K581=""),"",IF(K581=0,"",N581/K581))</f>
        <v/>
      </c>
      <c r="P581" s="25"/>
      <c r="Q581" s="25"/>
      <c r="R581" s="25"/>
      <c r="S581" s="36" t="str">
        <f aca="false">IF(A581="","",YEAR(A581)+IF(AND(FYStart&gt;1,MONTH(A581)&gt;=FYStart),1,0))</f>
        <v/>
      </c>
      <c r="T581" s="36" t="str">
        <f aca="false">IF(A581="","",MOD(MONTH(A581)-FYStart,12)+1)</f>
        <v/>
      </c>
      <c r="U581" s="37" t="str">
        <f aca="false">IF(A581="","",TEXT(A581,"mmm"))</f>
        <v/>
      </c>
      <c r="V581" s="37" t="str">
        <f aca="false">IF(Q581="","",IFERROR(INDEX(Settings!$I$11:$I$15,MATCH(Q581,Settings!$H$11:$H$15,0)),"No"))</f>
        <v/>
      </c>
      <c r="W581" s="37" t="str">
        <f aca="false">IF(Q581="","",IFERROR(INDEX(Settings!$J$11:$J$15,MATCH(Q581,Settings!$H$11:$H$15,0)),"No"))</f>
        <v/>
      </c>
    </row>
    <row r="582" customFormat="false" ht="15" hidden="false" customHeight="false" outlineLevel="0" collapsed="false">
      <c r="A582" s="30"/>
      <c r="B582" s="25"/>
      <c r="C582" s="25"/>
      <c r="D582" s="25"/>
      <c r="E582" s="25"/>
      <c r="F582" s="25"/>
      <c r="G582" s="25"/>
      <c r="H582" s="31"/>
      <c r="I582" s="32"/>
      <c r="J582" s="33"/>
      <c r="K582" s="34" t="str">
        <f aca="false">IF(OR(H582="",I582=""),"",H582*I582*(1-N(J582)))</f>
        <v/>
      </c>
      <c r="L582" s="32"/>
      <c r="M582" s="34" t="str">
        <f aca="false">IF(OR(H582="",L582=""),"",H582*L582)</f>
        <v/>
      </c>
      <c r="N582" s="34" t="str">
        <f aca="false">IF(OR(K582="",M582=""),"",K582-M582)</f>
        <v/>
      </c>
      <c r="O582" s="35" t="str">
        <f aca="false">IF(OR(N582="",K582=""),"",IF(K582=0,"",N582/K582))</f>
        <v/>
      </c>
      <c r="P582" s="25"/>
      <c r="Q582" s="25"/>
      <c r="R582" s="25"/>
      <c r="S582" s="36" t="str">
        <f aca="false">IF(A582="","",YEAR(A582)+IF(AND(FYStart&gt;1,MONTH(A582)&gt;=FYStart),1,0))</f>
        <v/>
      </c>
      <c r="T582" s="36" t="str">
        <f aca="false">IF(A582="","",MOD(MONTH(A582)-FYStart,12)+1)</f>
        <v/>
      </c>
      <c r="U582" s="37" t="str">
        <f aca="false">IF(A582="","",TEXT(A582,"mmm"))</f>
        <v/>
      </c>
      <c r="V582" s="37" t="str">
        <f aca="false">IF(Q582="","",IFERROR(INDEX(Settings!$I$11:$I$15,MATCH(Q582,Settings!$H$11:$H$15,0)),"No"))</f>
        <v/>
      </c>
      <c r="W582" s="37" t="str">
        <f aca="false">IF(Q582="","",IFERROR(INDEX(Settings!$J$11:$J$15,MATCH(Q582,Settings!$H$11:$H$15,0)),"No"))</f>
        <v/>
      </c>
    </row>
    <row r="583" customFormat="false" ht="15" hidden="false" customHeight="false" outlineLevel="0" collapsed="false">
      <c r="A583" s="30"/>
      <c r="B583" s="25"/>
      <c r="C583" s="25"/>
      <c r="D583" s="25"/>
      <c r="E583" s="25"/>
      <c r="F583" s="25"/>
      <c r="G583" s="25"/>
      <c r="H583" s="31"/>
      <c r="I583" s="32"/>
      <c r="J583" s="33"/>
      <c r="K583" s="34" t="str">
        <f aca="false">IF(OR(H583="",I583=""),"",H583*I583*(1-N(J583)))</f>
        <v/>
      </c>
      <c r="L583" s="32"/>
      <c r="M583" s="34" t="str">
        <f aca="false">IF(OR(H583="",L583=""),"",H583*L583)</f>
        <v/>
      </c>
      <c r="N583" s="34" t="str">
        <f aca="false">IF(OR(K583="",M583=""),"",K583-M583)</f>
        <v/>
      </c>
      <c r="O583" s="35" t="str">
        <f aca="false">IF(OR(N583="",K583=""),"",IF(K583=0,"",N583/K583))</f>
        <v/>
      </c>
      <c r="P583" s="25"/>
      <c r="Q583" s="25"/>
      <c r="R583" s="25"/>
      <c r="S583" s="36" t="str">
        <f aca="false">IF(A583="","",YEAR(A583)+IF(AND(FYStart&gt;1,MONTH(A583)&gt;=FYStart),1,0))</f>
        <v/>
      </c>
      <c r="T583" s="36" t="str">
        <f aca="false">IF(A583="","",MOD(MONTH(A583)-FYStart,12)+1)</f>
        <v/>
      </c>
      <c r="U583" s="37" t="str">
        <f aca="false">IF(A583="","",TEXT(A583,"mmm"))</f>
        <v/>
      </c>
      <c r="V583" s="37" t="str">
        <f aca="false">IF(Q583="","",IFERROR(INDEX(Settings!$I$11:$I$15,MATCH(Q583,Settings!$H$11:$H$15,0)),"No"))</f>
        <v/>
      </c>
      <c r="W583" s="37" t="str">
        <f aca="false">IF(Q583="","",IFERROR(INDEX(Settings!$J$11:$J$15,MATCH(Q583,Settings!$H$11:$H$15,0)),"No"))</f>
        <v/>
      </c>
    </row>
    <row r="584" customFormat="false" ht="15" hidden="false" customHeight="false" outlineLevel="0" collapsed="false">
      <c r="A584" s="30"/>
      <c r="B584" s="25"/>
      <c r="C584" s="25"/>
      <c r="D584" s="25"/>
      <c r="E584" s="25"/>
      <c r="F584" s="25"/>
      <c r="G584" s="25"/>
      <c r="H584" s="31"/>
      <c r="I584" s="32"/>
      <c r="J584" s="33"/>
      <c r="K584" s="34" t="str">
        <f aca="false">IF(OR(H584="",I584=""),"",H584*I584*(1-N(J584)))</f>
        <v/>
      </c>
      <c r="L584" s="32"/>
      <c r="M584" s="34" t="str">
        <f aca="false">IF(OR(H584="",L584=""),"",H584*L584)</f>
        <v/>
      </c>
      <c r="N584" s="34" t="str">
        <f aca="false">IF(OR(K584="",M584=""),"",K584-M584)</f>
        <v/>
      </c>
      <c r="O584" s="35" t="str">
        <f aca="false">IF(OR(N584="",K584=""),"",IF(K584=0,"",N584/K584))</f>
        <v/>
      </c>
      <c r="P584" s="25"/>
      <c r="Q584" s="25"/>
      <c r="R584" s="25"/>
      <c r="S584" s="36" t="str">
        <f aca="false">IF(A584="","",YEAR(A584)+IF(AND(FYStart&gt;1,MONTH(A584)&gt;=FYStart),1,0))</f>
        <v/>
      </c>
      <c r="T584" s="36" t="str">
        <f aca="false">IF(A584="","",MOD(MONTH(A584)-FYStart,12)+1)</f>
        <v/>
      </c>
      <c r="U584" s="37" t="str">
        <f aca="false">IF(A584="","",TEXT(A584,"mmm"))</f>
        <v/>
      </c>
      <c r="V584" s="37" t="str">
        <f aca="false">IF(Q584="","",IFERROR(INDEX(Settings!$I$11:$I$15,MATCH(Q584,Settings!$H$11:$H$15,0)),"No"))</f>
        <v/>
      </c>
      <c r="W584" s="37" t="str">
        <f aca="false">IF(Q584="","",IFERROR(INDEX(Settings!$J$11:$J$15,MATCH(Q584,Settings!$H$11:$H$15,0)),"No"))</f>
        <v/>
      </c>
    </row>
    <row r="585" customFormat="false" ht="15" hidden="false" customHeight="false" outlineLevel="0" collapsed="false">
      <c r="A585" s="30"/>
      <c r="B585" s="25"/>
      <c r="C585" s="25"/>
      <c r="D585" s="25"/>
      <c r="E585" s="25"/>
      <c r="F585" s="25"/>
      <c r="G585" s="25"/>
      <c r="H585" s="31"/>
      <c r="I585" s="32"/>
      <c r="J585" s="33"/>
      <c r="K585" s="34" t="str">
        <f aca="false">IF(OR(H585="",I585=""),"",H585*I585*(1-N(J585)))</f>
        <v/>
      </c>
      <c r="L585" s="32"/>
      <c r="M585" s="34" t="str">
        <f aca="false">IF(OR(H585="",L585=""),"",H585*L585)</f>
        <v/>
      </c>
      <c r="N585" s="34" t="str">
        <f aca="false">IF(OR(K585="",M585=""),"",K585-M585)</f>
        <v/>
      </c>
      <c r="O585" s="35" t="str">
        <f aca="false">IF(OR(N585="",K585=""),"",IF(K585=0,"",N585/K585))</f>
        <v/>
      </c>
      <c r="P585" s="25"/>
      <c r="Q585" s="25"/>
      <c r="R585" s="25"/>
      <c r="S585" s="36" t="str">
        <f aca="false">IF(A585="","",YEAR(A585)+IF(AND(FYStart&gt;1,MONTH(A585)&gt;=FYStart),1,0))</f>
        <v/>
      </c>
      <c r="T585" s="36" t="str">
        <f aca="false">IF(A585="","",MOD(MONTH(A585)-FYStart,12)+1)</f>
        <v/>
      </c>
      <c r="U585" s="37" t="str">
        <f aca="false">IF(A585="","",TEXT(A585,"mmm"))</f>
        <v/>
      </c>
      <c r="V585" s="37" t="str">
        <f aca="false">IF(Q585="","",IFERROR(INDEX(Settings!$I$11:$I$15,MATCH(Q585,Settings!$H$11:$H$15,0)),"No"))</f>
        <v/>
      </c>
      <c r="W585" s="37" t="str">
        <f aca="false">IF(Q585="","",IFERROR(INDEX(Settings!$J$11:$J$15,MATCH(Q585,Settings!$H$11:$H$15,0)),"No"))</f>
        <v/>
      </c>
    </row>
    <row r="586" customFormat="false" ht="15" hidden="false" customHeight="false" outlineLevel="0" collapsed="false">
      <c r="A586" s="30"/>
      <c r="B586" s="25"/>
      <c r="C586" s="25"/>
      <c r="D586" s="25"/>
      <c r="E586" s="25"/>
      <c r="F586" s="25"/>
      <c r="G586" s="25"/>
      <c r="H586" s="31"/>
      <c r="I586" s="32"/>
      <c r="J586" s="33"/>
      <c r="K586" s="34" t="str">
        <f aca="false">IF(OR(H586="",I586=""),"",H586*I586*(1-N(J586)))</f>
        <v/>
      </c>
      <c r="L586" s="32"/>
      <c r="M586" s="34" t="str">
        <f aca="false">IF(OR(H586="",L586=""),"",H586*L586)</f>
        <v/>
      </c>
      <c r="N586" s="34" t="str">
        <f aca="false">IF(OR(K586="",M586=""),"",K586-M586)</f>
        <v/>
      </c>
      <c r="O586" s="35" t="str">
        <f aca="false">IF(OR(N586="",K586=""),"",IF(K586=0,"",N586/K586))</f>
        <v/>
      </c>
      <c r="P586" s="25"/>
      <c r="Q586" s="25"/>
      <c r="R586" s="25"/>
      <c r="S586" s="36" t="str">
        <f aca="false">IF(A586="","",YEAR(A586)+IF(AND(FYStart&gt;1,MONTH(A586)&gt;=FYStart),1,0))</f>
        <v/>
      </c>
      <c r="T586" s="36" t="str">
        <f aca="false">IF(A586="","",MOD(MONTH(A586)-FYStart,12)+1)</f>
        <v/>
      </c>
      <c r="U586" s="37" t="str">
        <f aca="false">IF(A586="","",TEXT(A586,"mmm"))</f>
        <v/>
      </c>
      <c r="V586" s="37" t="str">
        <f aca="false">IF(Q586="","",IFERROR(INDEX(Settings!$I$11:$I$15,MATCH(Q586,Settings!$H$11:$H$15,0)),"No"))</f>
        <v/>
      </c>
      <c r="W586" s="37" t="str">
        <f aca="false">IF(Q586="","",IFERROR(INDEX(Settings!$J$11:$J$15,MATCH(Q586,Settings!$H$11:$H$15,0)),"No"))</f>
        <v/>
      </c>
    </row>
    <row r="587" customFormat="false" ht="15" hidden="false" customHeight="false" outlineLevel="0" collapsed="false">
      <c r="A587" s="30"/>
      <c r="B587" s="25"/>
      <c r="C587" s="25"/>
      <c r="D587" s="25"/>
      <c r="E587" s="25"/>
      <c r="F587" s="25"/>
      <c r="G587" s="25"/>
      <c r="H587" s="31"/>
      <c r="I587" s="32"/>
      <c r="J587" s="33"/>
      <c r="K587" s="34" t="str">
        <f aca="false">IF(OR(H587="",I587=""),"",H587*I587*(1-N(J587)))</f>
        <v/>
      </c>
      <c r="L587" s="32"/>
      <c r="M587" s="34" t="str">
        <f aca="false">IF(OR(H587="",L587=""),"",H587*L587)</f>
        <v/>
      </c>
      <c r="N587" s="34" t="str">
        <f aca="false">IF(OR(K587="",M587=""),"",K587-M587)</f>
        <v/>
      </c>
      <c r="O587" s="35" t="str">
        <f aca="false">IF(OR(N587="",K587=""),"",IF(K587=0,"",N587/K587))</f>
        <v/>
      </c>
      <c r="P587" s="25"/>
      <c r="Q587" s="25"/>
      <c r="R587" s="25"/>
      <c r="S587" s="36" t="str">
        <f aca="false">IF(A587="","",YEAR(A587)+IF(AND(FYStart&gt;1,MONTH(A587)&gt;=FYStart),1,0))</f>
        <v/>
      </c>
      <c r="T587" s="36" t="str">
        <f aca="false">IF(A587="","",MOD(MONTH(A587)-FYStart,12)+1)</f>
        <v/>
      </c>
      <c r="U587" s="37" t="str">
        <f aca="false">IF(A587="","",TEXT(A587,"mmm"))</f>
        <v/>
      </c>
      <c r="V587" s="37" t="str">
        <f aca="false">IF(Q587="","",IFERROR(INDEX(Settings!$I$11:$I$15,MATCH(Q587,Settings!$H$11:$H$15,0)),"No"))</f>
        <v/>
      </c>
      <c r="W587" s="37" t="str">
        <f aca="false">IF(Q587="","",IFERROR(INDEX(Settings!$J$11:$J$15,MATCH(Q587,Settings!$H$11:$H$15,0)),"No"))</f>
        <v/>
      </c>
    </row>
    <row r="588" customFormat="false" ht="15" hidden="false" customHeight="false" outlineLevel="0" collapsed="false">
      <c r="A588" s="30"/>
      <c r="B588" s="25"/>
      <c r="C588" s="25"/>
      <c r="D588" s="25"/>
      <c r="E588" s="25"/>
      <c r="F588" s="25"/>
      <c r="G588" s="25"/>
      <c r="H588" s="31"/>
      <c r="I588" s="32"/>
      <c r="J588" s="33"/>
      <c r="K588" s="34" t="str">
        <f aca="false">IF(OR(H588="",I588=""),"",H588*I588*(1-N(J588)))</f>
        <v/>
      </c>
      <c r="L588" s="32"/>
      <c r="M588" s="34" t="str">
        <f aca="false">IF(OR(H588="",L588=""),"",H588*L588)</f>
        <v/>
      </c>
      <c r="N588" s="34" t="str">
        <f aca="false">IF(OR(K588="",M588=""),"",K588-M588)</f>
        <v/>
      </c>
      <c r="O588" s="35" t="str">
        <f aca="false">IF(OR(N588="",K588=""),"",IF(K588=0,"",N588/K588))</f>
        <v/>
      </c>
      <c r="P588" s="25"/>
      <c r="Q588" s="25"/>
      <c r="R588" s="25"/>
      <c r="S588" s="36" t="str">
        <f aca="false">IF(A588="","",YEAR(A588)+IF(AND(FYStart&gt;1,MONTH(A588)&gt;=FYStart),1,0))</f>
        <v/>
      </c>
      <c r="T588" s="36" t="str">
        <f aca="false">IF(A588="","",MOD(MONTH(A588)-FYStart,12)+1)</f>
        <v/>
      </c>
      <c r="U588" s="37" t="str">
        <f aca="false">IF(A588="","",TEXT(A588,"mmm"))</f>
        <v/>
      </c>
      <c r="V588" s="37" t="str">
        <f aca="false">IF(Q588="","",IFERROR(INDEX(Settings!$I$11:$I$15,MATCH(Q588,Settings!$H$11:$H$15,0)),"No"))</f>
        <v/>
      </c>
      <c r="W588" s="37" t="str">
        <f aca="false">IF(Q588="","",IFERROR(INDEX(Settings!$J$11:$J$15,MATCH(Q588,Settings!$H$11:$H$15,0)),"No"))</f>
        <v/>
      </c>
    </row>
    <row r="589" customFormat="false" ht="15" hidden="false" customHeight="false" outlineLevel="0" collapsed="false">
      <c r="A589" s="30"/>
      <c r="B589" s="25"/>
      <c r="C589" s="25"/>
      <c r="D589" s="25"/>
      <c r="E589" s="25"/>
      <c r="F589" s="25"/>
      <c r="G589" s="25"/>
      <c r="H589" s="31"/>
      <c r="I589" s="32"/>
      <c r="J589" s="33"/>
      <c r="K589" s="34" t="str">
        <f aca="false">IF(OR(H589="",I589=""),"",H589*I589*(1-N(J589)))</f>
        <v/>
      </c>
      <c r="L589" s="32"/>
      <c r="M589" s="34" t="str">
        <f aca="false">IF(OR(H589="",L589=""),"",H589*L589)</f>
        <v/>
      </c>
      <c r="N589" s="34" t="str">
        <f aca="false">IF(OR(K589="",M589=""),"",K589-M589)</f>
        <v/>
      </c>
      <c r="O589" s="35" t="str">
        <f aca="false">IF(OR(N589="",K589=""),"",IF(K589=0,"",N589/K589))</f>
        <v/>
      </c>
      <c r="P589" s="25"/>
      <c r="Q589" s="25"/>
      <c r="R589" s="25"/>
      <c r="S589" s="36" t="str">
        <f aca="false">IF(A589="","",YEAR(A589)+IF(AND(FYStart&gt;1,MONTH(A589)&gt;=FYStart),1,0))</f>
        <v/>
      </c>
      <c r="T589" s="36" t="str">
        <f aca="false">IF(A589="","",MOD(MONTH(A589)-FYStart,12)+1)</f>
        <v/>
      </c>
      <c r="U589" s="37" t="str">
        <f aca="false">IF(A589="","",TEXT(A589,"mmm"))</f>
        <v/>
      </c>
      <c r="V589" s="37" t="str">
        <f aca="false">IF(Q589="","",IFERROR(INDEX(Settings!$I$11:$I$15,MATCH(Q589,Settings!$H$11:$H$15,0)),"No"))</f>
        <v/>
      </c>
      <c r="W589" s="37" t="str">
        <f aca="false">IF(Q589="","",IFERROR(INDEX(Settings!$J$11:$J$15,MATCH(Q589,Settings!$H$11:$H$15,0)),"No"))</f>
        <v/>
      </c>
    </row>
    <row r="590" customFormat="false" ht="15" hidden="false" customHeight="false" outlineLevel="0" collapsed="false">
      <c r="A590" s="30"/>
      <c r="B590" s="25"/>
      <c r="C590" s="25"/>
      <c r="D590" s="25"/>
      <c r="E590" s="25"/>
      <c r="F590" s="25"/>
      <c r="G590" s="25"/>
      <c r="H590" s="31"/>
      <c r="I590" s="32"/>
      <c r="J590" s="33"/>
      <c r="K590" s="34" t="str">
        <f aca="false">IF(OR(H590="",I590=""),"",H590*I590*(1-N(J590)))</f>
        <v/>
      </c>
      <c r="L590" s="32"/>
      <c r="M590" s="34" t="str">
        <f aca="false">IF(OR(H590="",L590=""),"",H590*L590)</f>
        <v/>
      </c>
      <c r="N590" s="34" t="str">
        <f aca="false">IF(OR(K590="",M590=""),"",K590-M590)</f>
        <v/>
      </c>
      <c r="O590" s="35" t="str">
        <f aca="false">IF(OR(N590="",K590=""),"",IF(K590=0,"",N590/K590))</f>
        <v/>
      </c>
      <c r="P590" s="25"/>
      <c r="Q590" s="25"/>
      <c r="R590" s="25"/>
      <c r="S590" s="36" t="str">
        <f aca="false">IF(A590="","",YEAR(A590)+IF(AND(FYStart&gt;1,MONTH(A590)&gt;=FYStart),1,0))</f>
        <v/>
      </c>
      <c r="T590" s="36" t="str">
        <f aca="false">IF(A590="","",MOD(MONTH(A590)-FYStart,12)+1)</f>
        <v/>
      </c>
      <c r="U590" s="37" t="str">
        <f aca="false">IF(A590="","",TEXT(A590,"mmm"))</f>
        <v/>
      </c>
      <c r="V590" s="37" t="str">
        <f aca="false">IF(Q590="","",IFERROR(INDEX(Settings!$I$11:$I$15,MATCH(Q590,Settings!$H$11:$H$15,0)),"No"))</f>
        <v/>
      </c>
      <c r="W590" s="37" t="str">
        <f aca="false">IF(Q590="","",IFERROR(INDEX(Settings!$J$11:$J$15,MATCH(Q590,Settings!$H$11:$H$15,0)),"No"))</f>
        <v/>
      </c>
    </row>
    <row r="591" customFormat="false" ht="15" hidden="false" customHeight="false" outlineLevel="0" collapsed="false">
      <c r="A591" s="30"/>
      <c r="B591" s="25"/>
      <c r="C591" s="25"/>
      <c r="D591" s="25"/>
      <c r="E591" s="25"/>
      <c r="F591" s="25"/>
      <c r="G591" s="25"/>
      <c r="H591" s="31"/>
      <c r="I591" s="32"/>
      <c r="J591" s="33"/>
      <c r="K591" s="34" t="str">
        <f aca="false">IF(OR(H591="",I591=""),"",H591*I591*(1-N(J591)))</f>
        <v/>
      </c>
      <c r="L591" s="32"/>
      <c r="M591" s="34" t="str">
        <f aca="false">IF(OR(H591="",L591=""),"",H591*L591)</f>
        <v/>
      </c>
      <c r="N591" s="34" t="str">
        <f aca="false">IF(OR(K591="",M591=""),"",K591-M591)</f>
        <v/>
      </c>
      <c r="O591" s="35" t="str">
        <f aca="false">IF(OR(N591="",K591=""),"",IF(K591=0,"",N591/K591))</f>
        <v/>
      </c>
      <c r="P591" s="25"/>
      <c r="Q591" s="25"/>
      <c r="R591" s="25"/>
      <c r="S591" s="36" t="str">
        <f aca="false">IF(A591="","",YEAR(A591)+IF(AND(FYStart&gt;1,MONTH(A591)&gt;=FYStart),1,0))</f>
        <v/>
      </c>
      <c r="T591" s="36" t="str">
        <f aca="false">IF(A591="","",MOD(MONTH(A591)-FYStart,12)+1)</f>
        <v/>
      </c>
      <c r="U591" s="37" t="str">
        <f aca="false">IF(A591="","",TEXT(A591,"mmm"))</f>
        <v/>
      </c>
      <c r="V591" s="37" t="str">
        <f aca="false">IF(Q591="","",IFERROR(INDEX(Settings!$I$11:$I$15,MATCH(Q591,Settings!$H$11:$H$15,0)),"No"))</f>
        <v/>
      </c>
      <c r="W591" s="37" t="str">
        <f aca="false">IF(Q591="","",IFERROR(INDEX(Settings!$J$11:$J$15,MATCH(Q591,Settings!$H$11:$H$15,0)),"No"))</f>
        <v/>
      </c>
    </row>
    <row r="592" customFormat="false" ht="15" hidden="false" customHeight="false" outlineLevel="0" collapsed="false">
      <c r="A592" s="30"/>
      <c r="B592" s="25"/>
      <c r="C592" s="25"/>
      <c r="D592" s="25"/>
      <c r="E592" s="25"/>
      <c r="F592" s="25"/>
      <c r="G592" s="25"/>
      <c r="H592" s="31"/>
      <c r="I592" s="32"/>
      <c r="J592" s="33"/>
      <c r="K592" s="34" t="str">
        <f aca="false">IF(OR(H592="",I592=""),"",H592*I592*(1-N(J592)))</f>
        <v/>
      </c>
      <c r="L592" s="32"/>
      <c r="M592" s="34" t="str">
        <f aca="false">IF(OR(H592="",L592=""),"",H592*L592)</f>
        <v/>
      </c>
      <c r="N592" s="34" t="str">
        <f aca="false">IF(OR(K592="",M592=""),"",K592-M592)</f>
        <v/>
      </c>
      <c r="O592" s="35" t="str">
        <f aca="false">IF(OR(N592="",K592=""),"",IF(K592=0,"",N592/K592))</f>
        <v/>
      </c>
      <c r="P592" s="25"/>
      <c r="Q592" s="25"/>
      <c r="R592" s="25"/>
      <c r="S592" s="36" t="str">
        <f aca="false">IF(A592="","",YEAR(A592)+IF(AND(FYStart&gt;1,MONTH(A592)&gt;=FYStart),1,0))</f>
        <v/>
      </c>
      <c r="T592" s="36" t="str">
        <f aca="false">IF(A592="","",MOD(MONTH(A592)-FYStart,12)+1)</f>
        <v/>
      </c>
      <c r="U592" s="37" t="str">
        <f aca="false">IF(A592="","",TEXT(A592,"mmm"))</f>
        <v/>
      </c>
      <c r="V592" s="37" t="str">
        <f aca="false">IF(Q592="","",IFERROR(INDEX(Settings!$I$11:$I$15,MATCH(Q592,Settings!$H$11:$H$15,0)),"No"))</f>
        <v/>
      </c>
      <c r="W592" s="37" t="str">
        <f aca="false">IF(Q592="","",IFERROR(INDEX(Settings!$J$11:$J$15,MATCH(Q592,Settings!$H$11:$H$15,0)),"No"))</f>
        <v/>
      </c>
    </row>
    <row r="593" customFormat="false" ht="15" hidden="false" customHeight="false" outlineLevel="0" collapsed="false">
      <c r="A593" s="30"/>
      <c r="B593" s="25"/>
      <c r="C593" s="25"/>
      <c r="D593" s="25"/>
      <c r="E593" s="25"/>
      <c r="F593" s="25"/>
      <c r="G593" s="25"/>
      <c r="H593" s="31"/>
      <c r="I593" s="32"/>
      <c r="J593" s="33"/>
      <c r="K593" s="34" t="str">
        <f aca="false">IF(OR(H593="",I593=""),"",H593*I593*(1-N(J593)))</f>
        <v/>
      </c>
      <c r="L593" s="32"/>
      <c r="M593" s="34" t="str">
        <f aca="false">IF(OR(H593="",L593=""),"",H593*L593)</f>
        <v/>
      </c>
      <c r="N593" s="34" t="str">
        <f aca="false">IF(OR(K593="",M593=""),"",K593-M593)</f>
        <v/>
      </c>
      <c r="O593" s="35" t="str">
        <f aca="false">IF(OR(N593="",K593=""),"",IF(K593=0,"",N593/K593))</f>
        <v/>
      </c>
      <c r="P593" s="25"/>
      <c r="Q593" s="25"/>
      <c r="R593" s="25"/>
      <c r="S593" s="36" t="str">
        <f aca="false">IF(A593="","",YEAR(A593)+IF(AND(FYStart&gt;1,MONTH(A593)&gt;=FYStart),1,0))</f>
        <v/>
      </c>
      <c r="T593" s="36" t="str">
        <f aca="false">IF(A593="","",MOD(MONTH(A593)-FYStart,12)+1)</f>
        <v/>
      </c>
      <c r="U593" s="37" t="str">
        <f aca="false">IF(A593="","",TEXT(A593,"mmm"))</f>
        <v/>
      </c>
      <c r="V593" s="37" t="str">
        <f aca="false">IF(Q593="","",IFERROR(INDEX(Settings!$I$11:$I$15,MATCH(Q593,Settings!$H$11:$H$15,0)),"No"))</f>
        <v/>
      </c>
      <c r="W593" s="37" t="str">
        <f aca="false">IF(Q593="","",IFERROR(INDEX(Settings!$J$11:$J$15,MATCH(Q593,Settings!$H$11:$H$15,0)),"No"))</f>
        <v/>
      </c>
    </row>
    <row r="594" customFormat="false" ht="15" hidden="false" customHeight="false" outlineLevel="0" collapsed="false">
      <c r="A594" s="30"/>
      <c r="B594" s="25"/>
      <c r="C594" s="25"/>
      <c r="D594" s="25"/>
      <c r="E594" s="25"/>
      <c r="F594" s="25"/>
      <c r="G594" s="25"/>
      <c r="H594" s="31"/>
      <c r="I594" s="32"/>
      <c r="J594" s="33"/>
      <c r="K594" s="34" t="str">
        <f aca="false">IF(OR(H594="",I594=""),"",H594*I594*(1-N(J594)))</f>
        <v/>
      </c>
      <c r="L594" s="32"/>
      <c r="M594" s="34" t="str">
        <f aca="false">IF(OR(H594="",L594=""),"",H594*L594)</f>
        <v/>
      </c>
      <c r="N594" s="34" t="str">
        <f aca="false">IF(OR(K594="",M594=""),"",K594-M594)</f>
        <v/>
      </c>
      <c r="O594" s="35" t="str">
        <f aca="false">IF(OR(N594="",K594=""),"",IF(K594=0,"",N594/K594))</f>
        <v/>
      </c>
      <c r="P594" s="25"/>
      <c r="Q594" s="25"/>
      <c r="R594" s="25"/>
      <c r="S594" s="36" t="str">
        <f aca="false">IF(A594="","",YEAR(A594)+IF(AND(FYStart&gt;1,MONTH(A594)&gt;=FYStart),1,0))</f>
        <v/>
      </c>
      <c r="T594" s="36" t="str">
        <f aca="false">IF(A594="","",MOD(MONTH(A594)-FYStart,12)+1)</f>
        <v/>
      </c>
      <c r="U594" s="37" t="str">
        <f aca="false">IF(A594="","",TEXT(A594,"mmm"))</f>
        <v/>
      </c>
      <c r="V594" s="37" t="str">
        <f aca="false">IF(Q594="","",IFERROR(INDEX(Settings!$I$11:$I$15,MATCH(Q594,Settings!$H$11:$H$15,0)),"No"))</f>
        <v/>
      </c>
      <c r="W594" s="37" t="str">
        <f aca="false">IF(Q594="","",IFERROR(INDEX(Settings!$J$11:$J$15,MATCH(Q594,Settings!$H$11:$H$15,0)),"No"))</f>
        <v/>
      </c>
    </row>
    <row r="595" customFormat="false" ht="15" hidden="false" customHeight="false" outlineLevel="0" collapsed="false">
      <c r="A595" s="30"/>
      <c r="B595" s="25"/>
      <c r="C595" s="25"/>
      <c r="D595" s="25"/>
      <c r="E595" s="25"/>
      <c r="F595" s="25"/>
      <c r="G595" s="25"/>
      <c r="H595" s="31"/>
      <c r="I595" s="32"/>
      <c r="J595" s="33"/>
      <c r="K595" s="34" t="str">
        <f aca="false">IF(OR(H595="",I595=""),"",H595*I595*(1-N(J595)))</f>
        <v/>
      </c>
      <c r="L595" s="32"/>
      <c r="M595" s="34" t="str">
        <f aca="false">IF(OR(H595="",L595=""),"",H595*L595)</f>
        <v/>
      </c>
      <c r="N595" s="34" t="str">
        <f aca="false">IF(OR(K595="",M595=""),"",K595-M595)</f>
        <v/>
      </c>
      <c r="O595" s="35" t="str">
        <f aca="false">IF(OR(N595="",K595=""),"",IF(K595=0,"",N595/K595))</f>
        <v/>
      </c>
      <c r="P595" s="25"/>
      <c r="Q595" s="25"/>
      <c r="R595" s="25"/>
      <c r="S595" s="36" t="str">
        <f aca="false">IF(A595="","",YEAR(A595)+IF(AND(FYStart&gt;1,MONTH(A595)&gt;=FYStart),1,0))</f>
        <v/>
      </c>
      <c r="T595" s="36" t="str">
        <f aca="false">IF(A595="","",MOD(MONTH(A595)-FYStart,12)+1)</f>
        <v/>
      </c>
      <c r="U595" s="37" t="str">
        <f aca="false">IF(A595="","",TEXT(A595,"mmm"))</f>
        <v/>
      </c>
      <c r="V595" s="37" t="str">
        <f aca="false">IF(Q595="","",IFERROR(INDEX(Settings!$I$11:$I$15,MATCH(Q595,Settings!$H$11:$H$15,0)),"No"))</f>
        <v/>
      </c>
      <c r="W595" s="37" t="str">
        <f aca="false">IF(Q595="","",IFERROR(INDEX(Settings!$J$11:$J$15,MATCH(Q595,Settings!$H$11:$H$15,0)),"No"))</f>
        <v/>
      </c>
    </row>
    <row r="596" customFormat="false" ht="15" hidden="false" customHeight="false" outlineLevel="0" collapsed="false">
      <c r="A596" s="30"/>
      <c r="B596" s="25"/>
      <c r="C596" s="25"/>
      <c r="D596" s="25"/>
      <c r="E596" s="25"/>
      <c r="F596" s="25"/>
      <c r="G596" s="25"/>
      <c r="H596" s="31"/>
      <c r="I596" s="32"/>
      <c r="J596" s="33"/>
      <c r="K596" s="34" t="str">
        <f aca="false">IF(OR(H596="",I596=""),"",H596*I596*(1-N(J596)))</f>
        <v/>
      </c>
      <c r="L596" s="32"/>
      <c r="M596" s="34" t="str">
        <f aca="false">IF(OR(H596="",L596=""),"",H596*L596)</f>
        <v/>
      </c>
      <c r="N596" s="34" t="str">
        <f aca="false">IF(OR(K596="",M596=""),"",K596-M596)</f>
        <v/>
      </c>
      <c r="O596" s="35" t="str">
        <f aca="false">IF(OR(N596="",K596=""),"",IF(K596=0,"",N596/K596))</f>
        <v/>
      </c>
      <c r="P596" s="25"/>
      <c r="Q596" s="25"/>
      <c r="R596" s="25"/>
      <c r="S596" s="36" t="str">
        <f aca="false">IF(A596="","",YEAR(A596)+IF(AND(FYStart&gt;1,MONTH(A596)&gt;=FYStart),1,0))</f>
        <v/>
      </c>
      <c r="T596" s="36" t="str">
        <f aca="false">IF(A596="","",MOD(MONTH(A596)-FYStart,12)+1)</f>
        <v/>
      </c>
      <c r="U596" s="37" t="str">
        <f aca="false">IF(A596="","",TEXT(A596,"mmm"))</f>
        <v/>
      </c>
      <c r="V596" s="37" t="str">
        <f aca="false">IF(Q596="","",IFERROR(INDEX(Settings!$I$11:$I$15,MATCH(Q596,Settings!$H$11:$H$15,0)),"No"))</f>
        <v/>
      </c>
      <c r="W596" s="37" t="str">
        <f aca="false">IF(Q596="","",IFERROR(INDEX(Settings!$J$11:$J$15,MATCH(Q596,Settings!$H$11:$H$15,0)),"No"))</f>
        <v/>
      </c>
    </row>
    <row r="597" customFormat="false" ht="15" hidden="false" customHeight="false" outlineLevel="0" collapsed="false">
      <c r="A597" s="30"/>
      <c r="B597" s="25"/>
      <c r="C597" s="25"/>
      <c r="D597" s="25"/>
      <c r="E597" s="25"/>
      <c r="F597" s="25"/>
      <c r="G597" s="25"/>
      <c r="H597" s="31"/>
      <c r="I597" s="32"/>
      <c r="J597" s="33"/>
      <c r="K597" s="34" t="str">
        <f aca="false">IF(OR(H597="",I597=""),"",H597*I597*(1-N(J597)))</f>
        <v/>
      </c>
      <c r="L597" s="32"/>
      <c r="M597" s="34" t="str">
        <f aca="false">IF(OR(H597="",L597=""),"",H597*L597)</f>
        <v/>
      </c>
      <c r="N597" s="34" t="str">
        <f aca="false">IF(OR(K597="",M597=""),"",K597-M597)</f>
        <v/>
      </c>
      <c r="O597" s="35" t="str">
        <f aca="false">IF(OR(N597="",K597=""),"",IF(K597=0,"",N597/K597))</f>
        <v/>
      </c>
      <c r="P597" s="25"/>
      <c r="Q597" s="25"/>
      <c r="R597" s="25"/>
      <c r="S597" s="36" t="str">
        <f aca="false">IF(A597="","",YEAR(A597)+IF(AND(FYStart&gt;1,MONTH(A597)&gt;=FYStart),1,0))</f>
        <v/>
      </c>
      <c r="T597" s="36" t="str">
        <f aca="false">IF(A597="","",MOD(MONTH(A597)-FYStart,12)+1)</f>
        <v/>
      </c>
      <c r="U597" s="37" t="str">
        <f aca="false">IF(A597="","",TEXT(A597,"mmm"))</f>
        <v/>
      </c>
      <c r="V597" s="37" t="str">
        <f aca="false">IF(Q597="","",IFERROR(INDEX(Settings!$I$11:$I$15,MATCH(Q597,Settings!$H$11:$H$15,0)),"No"))</f>
        <v/>
      </c>
      <c r="W597" s="37" t="str">
        <f aca="false">IF(Q597="","",IFERROR(INDEX(Settings!$J$11:$J$15,MATCH(Q597,Settings!$H$11:$H$15,0)),"No"))</f>
        <v/>
      </c>
    </row>
    <row r="598" customFormat="false" ht="15" hidden="false" customHeight="false" outlineLevel="0" collapsed="false">
      <c r="A598" s="30"/>
      <c r="B598" s="25"/>
      <c r="C598" s="25"/>
      <c r="D598" s="25"/>
      <c r="E598" s="25"/>
      <c r="F598" s="25"/>
      <c r="G598" s="25"/>
      <c r="H598" s="31"/>
      <c r="I598" s="32"/>
      <c r="J598" s="33"/>
      <c r="K598" s="34" t="str">
        <f aca="false">IF(OR(H598="",I598=""),"",H598*I598*(1-N(J598)))</f>
        <v/>
      </c>
      <c r="L598" s="32"/>
      <c r="M598" s="34" t="str">
        <f aca="false">IF(OR(H598="",L598=""),"",H598*L598)</f>
        <v/>
      </c>
      <c r="N598" s="34" t="str">
        <f aca="false">IF(OR(K598="",M598=""),"",K598-M598)</f>
        <v/>
      </c>
      <c r="O598" s="35" t="str">
        <f aca="false">IF(OR(N598="",K598=""),"",IF(K598=0,"",N598/K598))</f>
        <v/>
      </c>
      <c r="P598" s="25"/>
      <c r="Q598" s="25"/>
      <c r="R598" s="25"/>
      <c r="S598" s="36" t="str">
        <f aca="false">IF(A598="","",YEAR(A598)+IF(AND(FYStart&gt;1,MONTH(A598)&gt;=FYStart),1,0))</f>
        <v/>
      </c>
      <c r="T598" s="36" t="str">
        <f aca="false">IF(A598="","",MOD(MONTH(A598)-FYStart,12)+1)</f>
        <v/>
      </c>
      <c r="U598" s="37" t="str">
        <f aca="false">IF(A598="","",TEXT(A598,"mmm"))</f>
        <v/>
      </c>
      <c r="V598" s="37" t="str">
        <f aca="false">IF(Q598="","",IFERROR(INDEX(Settings!$I$11:$I$15,MATCH(Q598,Settings!$H$11:$H$15,0)),"No"))</f>
        <v/>
      </c>
      <c r="W598" s="37" t="str">
        <f aca="false">IF(Q598="","",IFERROR(INDEX(Settings!$J$11:$J$15,MATCH(Q598,Settings!$H$11:$H$15,0)),"No"))</f>
        <v/>
      </c>
    </row>
    <row r="599" customFormat="false" ht="15" hidden="false" customHeight="false" outlineLevel="0" collapsed="false">
      <c r="A599" s="30"/>
      <c r="B599" s="25"/>
      <c r="C599" s="25"/>
      <c r="D599" s="25"/>
      <c r="E599" s="25"/>
      <c r="F599" s="25"/>
      <c r="G599" s="25"/>
      <c r="H599" s="31"/>
      <c r="I599" s="32"/>
      <c r="J599" s="33"/>
      <c r="K599" s="34" t="str">
        <f aca="false">IF(OR(H599="",I599=""),"",H599*I599*(1-N(J599)))</f>
        <v/>
      </c>
      <c r="L599" s="32"/>
      <c r="M599" s="34" t="str">
        <f aca="false">IF(OR(H599="",L599=""),"",H599*L599)</f>
        <v/>
      </c>
      <c r="N599" s="34" t="str">
        <f aca="false">IF(OR(K599="",M599=""),"",K599-M599)</f>
        <v/>
      </c>
      <c r="O599" s="35" t="str">
        <f aca="false">IF(OR(N599="",K599=""),"",IF(K599=0,"",N599/K599))</f>
        <v/>
      </c>
      <c r="P599" s="25"/>
      <c r="Q599" s="25"/>
      <c r="R599" s="25"/>
      <c r="S599" s="36" t="str">
        <f aca="false">IF(A599="","",YEAR(A599)+IF(AND(FYStart&gt;1,MONTH(A599)&gt;=FYStart),1,0))</f>
        <v/>
      </c>
      <c r="T599" s="36" t="str">
        <f aca="false">IF(A599="","",MOD(MONTH(A599)-FYStart,12)+1)</f>
        <v/>
      </c>
      <c r="U599" s="37" t="str">
        <f aca="false">IF(A599="","",TEXT(A599,"mmm"))</f>
        <v/>
      </c>
      <c r="V599" s="37" t="str">
        <f aca="false">IF(Q599="","",IFERROR(INDEX(Settings!$I$11:$I$15,MATCH(Q599,Settings!$H$11:$H$15,0)),"No"))</f>
        <v/>
      </c>
      <c r="W599" s="37" t="str">
        <f aca="false">IF(Q599="","",IFERROR(INDEX(Settings!$J$11:$J$15,MATCH(Q599,Settings!$H$11:$H$15,0)),"No"))</f>
        <v/>
      </c>
    </row>
    <row r="600" customFormat="false" ht="15" hidden="false" customHeight="false" outlineLevel="0" collapsed="false">
      <c r="A600" s="30"/>
      <c r="B600" s="25"/>
      <c r="C600" s="25"/>
      <c r="D600" s="25"/>
      <c r="E600" s="25"/>
      <c r="F600" s="25"/>
      <c r="G600" s="25"/>
      <c r="H600" s="31"/>
      <c r="I600" s="32"/>
      <c r="J600" s="33"/>
      <c r="K600" s="34" t="str">
        <f aca="false">IF(OR(H600="",I600=""),"",H600*I600*(1-N(J600)))</f>
        <v/>
      </c>
      <c r="L600" s="32"/>
      <c r="M600" s="34" t="str">
        <f aca="false">IF(OR(H600="",L600=""),"",H600*L600)</f>
        <v/>
      </c>
      <c r="N600" s="34" t="str">
        <f aca="false">IF(OR(K600="",M600=""),"",K600-M600)</f>
        <v/>
      </c>
      <c r="O600" s="35" t="str">
        <f aca="false">IF(OR(N600="",K600=""),"",IF(K600=0,"",N600/K600))</f>
        <v/>
      </c>
      <c r="P600" s="25"/>
      <c r="Q600" s="25"/>
      <c r="R600" s="25"/>
      <c r="S600" s="36" t="str">
        <f aca="false">IF(A600="","",YEAR(A600)+IF(AND(FYStart&gt;1,MONTH(A600)&gt;=FYStart),1,0))</f>
        <v/>
      </c>
      <c r="T600" s="36" t="str">
        <f aca="false">IF(A600="","",MOD(MONTH(A600)-FYStart,12)+1)</f>
        <v/>
      </c>
      <c r="U600" s="37" t="str">
        <f aca="false">IF(A600="","",TEXT(A600,"mmm"))</f>
        <v/>
      </c>
      <c r="V600" s="37" t="str">
        <f aca="false">IF(Q600="","",IFERROR(INDEX(Settings!$I$11:$I$15,MATCH(Q600,Settings!$H$11:$H$15,0)),"No"))</f>
        <v/>
      </c>
      <c r="W600" s="37" t="str">
        <f aca="false">IF(Q600="","",IFERROR(INDEX(Settings!$J$11:$J$15,MATCH(Q600,Settings!$H$11:$H$15,0)),"No"))</f>
        <v/>
      </c>
    </row>
    <row r="601" customFormat="false" ht="15" hidden="false" customHeight="false" outlineLevel="0" collapsed="false">
      <c r="A601" s="30"/>
      <c r="B601" s="25"/>
      <c r="C601" s="25"/>
      <c r="D601" s="25"/>
      <c r="E601" s="25"/>
      <c r="F601" s="25"/>
      <c r="G601" s="25"/>
      <c r="H601" s="31"/>
      <c r="I601" s="32"/>
      <c r="J601" s="33"/>
      <c r="K601" s="34" t="str">
        <f aca="false">IF(OR(H601="",I601=""),"",H601*I601*(1-N(J601)))</f>
        <v/>
      </c>
      <c r="L601" s="32"/>
      <c r="M601" s="34" t="str">
        <f aca="false">IF(OR(H601="",L601=""),"",H601*L601)</f>
        <v/>
      </c>
      <c r="N601" s="34" t="str">
        <f aca="false">IF(OR(K601="",M601=""),"",K601-M601)</f>
        <v/>
      </c>
      <c r="O601" s="35" t="str">
        <f aca="false">IF(OR(N601="",K601=""),"",IF(K601=0,"",N601/K601))</f>
        <v/>
      </c>
      <c r="P601" s="25"/>
      <c r="Q601" s="25"/>
      <c r="R601" s="25"/>
      <c r="S601" s="36" t="str">
        <f aca="false">IF(A601="","",YEAR(A601)+IF(AND(FYStart&gt;1,MONTH(A601)&gt;=FYStart),1,0))</f>
        <v/>
      </c>
      <c r="T601" s="36" t="str">
        <f aca="false">IF(A601="","",MOD(MONTH(A601)-FYStart,12)+1)</f>
        <v/>
      </c>
      <c r="U601" s="37" t="str">
        <f aca="false">IF(A601="","",TEXT(A601,"mmm"))</f>
        <v/>
      </c>
      <c r="V601" s="37" t="str">
        <f aca="false">IF(Q601="","",IFERROR(INDEX(Settings!$I$11:$I$15,MATCH(Q601,Settings!$H$11:$H$15,0)),"No"))</f>
        <v/>
      </c>
      <c r="W601" s="37" t="str">
        <f aca="false">IF(Q601="","",IFERROR(INDEX(Settings!$J$11:$J$15,MATCH(Q601,Settings!$H$11:$H$15,0)),"No"))</f>
        <v/>
      </c>
    </row>
    <row r="602" customFormat="false" ht="15" hidden="false" customHeight="false" outlineLevel="0" collapsed="false">
      <c r="A602" s="30"/>
      <c r="B602" s="25"/>
      <c r="C602" s="25"/>
      <c r="D602" s="25"/>
      <c r="E602" s="25"/>
      <c r="F602" s="25"/>
      <c r="G602" s="25"/>
      <c r="H602" s="31"/>
      <c r="I602" s="32"/>
      <c r="J602" s="33"/>
      <c r="K602" s="34" t="str">
        <f aca="false">IF(OR(H602="",I602=""),"",H602*I602*(1-N(J602)))</f>
        <v/>
      </c>
      <c r="L602" s="32"/>
      <c r="M602" s="34" t="str">
        <f aca="false">IF(OR(H602="",L602=""),"",H602*L602)</f>
        <v/>
      </c>
      <c r="N602" s="34" t="str">
        <f aca="false">IF(OR(K602="",M602=""),"",K602-M602)</f>
        <v/>
      </c>
      <c r="O602" s="35" t="str">
        <f aca="false">IF(OR(N602="",K602=""),"",IF(K602=0,"",N602/K602))</f>
        <v/>
      </c>
      <c r="P602" s="25"/>
      <c r="Q602" s="25"/>
      <c r="R602" s="25"/>
      <c r="S602" s="36" t="str">
        <f aca="false">IF(A602="","",YEAR(A602)+IF(AND(FYStart&gt;1,MONTH(A602)&gt;=FYStart),1,0))</f>
        <v/>
      </c>
      <c r="T602" s="36" t="str">
        <f aca="false">IF(A602="","",MOD(MONTH(A602)-FYStart,12)+1)</f>
        <v/>
      </c>
      <c r="U602" s="37" t="str">
        <f aca="false">IF(A602="","",TEXT(A602,"mmm"))</f>
        <v/>
      </c>
      <c r="V602" s="37" t="str">
        <f aca="false">IF(Q602="","",IFERROR(INDEX(Settings!$I$11:$I$15,MATCH(Q602,Settings!$H$11:$H$15,0)),"No"))</f>
        <v/>
      </c>
      <c r="W602" s="37" t="str">
        <f aca="false">IF(Q602="","",IFERROR(INDEX(Settings!$J$11:$J$15,MATCH(Q602,Settings!$H$11:$H$15,0)),"No"))</f>
        <v/>
      </c>
    </row>
    <row r="603" customFormat="false" ht="15" hidden="false" customHeight="false" outlineLevel="0" collapsed="false">
      <c r="A603" s="30"/>
      <c r="B603" s="25"/>
      <c r="C603" s="25"/>
      <c r="D603" s="25"/>
      <c r="E603" s="25"/>
      <c r="F603" s="25"/>
      <c r="G603" s="25"/>
      <c r="H603" s="31"/>
      <c r="I603" s="32"/>
      <c r="J603" s="33"/>
      <c r="K603" s="34" t="str">
        <f aca="false">IF(OR(H603="",I603=""),"",H603*I603*(1-N(J603)))</f>
        <v/>
      </c>
      <c r="L603" s="32"/>
      <c r="M603" s="34" t="str">
        <f aca="false">IF(OR(H603="",L603=""),"",H603*L603)</f>
        <v/>
      </c>
      <c r="N603" s="34" t="str">
        <f aca="false">IF(OR(K603="",M603=""),"",K603-M603)</f>
        <v/>
      </c>
      <c r="O603" s="35" t="str">
        <f aca="false">IF(OR(N603="",K603=""),"",IF(K603=0,"",N603/K603))</f>
        <v/>
      </c>
      <c r="P603" s="25"/>
      <c r="Q603" s="25"/>
      <c r="R603" s="25"/>
      <c r="S603" s="36" t="str">
        <f aca="false">IF(A603="","",YEAR(A603)+IF(AND(FYStart&gt;1,MONTH(A603)&gt;=FYStart),1,0))</f>
        <v/>
      </c>
      <c r="T603" s="36" t="str">
        <f aca="false">IF(A603="","",MOD(MONTH(A603)-FYStart,12)+1)</f>
        <v/>
      </c>
      <c r="U603" s="37" t="str">
        <f aca="false">IF(A603="","",TEXT(A603,"mmm"))</f>
        <v/>
      </c>
      <c r="V603" s="37" t="str">
        <f aca="false">IF(Q603="","",IFERROR(INDEX(Settings!$I$11:$I$15,MATCH(Q603,Settings!$H$11:$H$15,0)),"No"))</f>
        <v/>
      </c>
      <c r="W603" s="37" t="str">
        <f aca="false">IF(Q603="","",IFERROR(INDEX(Settings!$J$11:$J$15,MATCH(Q603,Settings!$H$11:$H$15,0)),"No"))</f>
        <v/>
      </c>
    </row>
    <row r="604" customFormat="false" ht="15" hidden="false" customHeight="false" outlineLevel="0" collapsed="false">
      <c r="A604" s="30"/>
      <c r="B604" s="25"/>
      <c r="C604" s="25"/>
      <c r="D604" s="25"/>
      <c r="E604" s="25"/>
      <c r="F604" s="25"/>
      <c r="G604" s="25"/>
      <c r="H604" s="31"/>
      <c r="I604" s="32"/>
      <c r="J604" s="33"/>
      <c r="K604" s="34" t="str">
        <f aca="false">IF(OR(H604="",I604=""),"",H604*I604*(1-N(J604)))</f>
        <v/>
      </c>
      <c r="L604" s="32"/>
      <c r="M604" s="34" t="str">
        <f aca="false">IF(OR(H604="",L604=""),"",H604*L604)</f>
        <v/>
      </c>
      <c r="N604" s="34" t="str">
        <f aca="false">IF(OR(K604="",M604=""),"",K604-M604)</f>
        <v/>
      </c>
      <c r="O604" s="35" t="str">
        <f aca="false">IF(OR(N604="",K604=""),"",IF(K604=0,"",N604/K604))</f>
        <v/>
      </c>
      <c r="P604" s="25"/>
      <c r="Q604" s="25"/>
      <c r="R604" s="25"/>
      <c r="S604" s="36" t="str">
        <f aca="false">IF(A604="","",YEAR(A604)+IF(AND(FYStart&gt;1,MONTH(A604)&gt;=FYStart),1,0))</f>
        <v/>
      </c>
      <c r="T604" s="36" t="str">
        <f aca="false">IF(A604="","",MOD(MONTH(A604)-FYStart,12)+1)</f>
        <v/>
      </c>
      <c r="U604" s="37" t="str">
        <f aca="false">IF(A604="","",TEXT(A604,"mmm"))</f>
        <v/>
      </c>
      <c r="V604" s="37" t="str">
        <f aca="false">IF(Q604="","",IFERROR(INDEX(Settings!$I$11:$I$15,MATCH(Q604,Settings!$H$11:$H$15,0)),"No"))</f>
        <v/>
      </c>
      <c r="W604" s="37" t="str">
        <f aca="false">IF(Q604="","",IFERROR(INDEX(Settings!$J$11:$J$15,MATCH(Q604,Settings!$H$11:$H$15,0)),"No"))</f>
        <v/>
      </c>
    </row>
    <row r="605" customFormat="false" ht="15" hidden="false" customHeight="false" outlineLevel="0" collapsed="false">
      <c r="A605" s="30"/>
      <c r="B605" s="25"/>
      <c r="C605" s="25"/>
      <c r="D605" s="25"/>
      <c r="E605" s="25"/>
      <c r="F605" s="25"/>
      <c r="G605" s="25"/>
      <c r="H605" s="31"/>
      <c r="I605" s="32"/>
      <c r="J605" s="33"/>
      <c r="K605" s="34" t="str">
        <f aca="false">IF(OR(H605="",I605=""),"",H605*I605*(1-N(J605)))</f>
        <v/>
      </c>
      <c r="L605" s="32"/>
      <c r="M605" s="34" t="str">
        <f aca="false">IF(OR(H605="",L605=""),"",H605*L605)</f>
        <v/>
      </c>
      <c r="N605" s="34" t="str">
        <f aca="false">IF(OR(K605="",M605=""),"",K605-M605)</f>
        <v/>
      </c>
      <c r="O605" s="35" t="str">
        <f aca="false">IF(OR(N605="",K605=""),"",IF(K605=0,"",N605/K605))</f>
        <v/>
      </c>
      <c r="P605" s="25"/>
      <c r="Q605" s="25"/>
      <c r="R605" s="25"/>
      <c r="S605" s="36" t="str">
        <f aca="false">IF(A605="","",YEAR(A605)+IF(AND(FYStart&gt;1,MONTH(A605)&gt;=FYStart),1,0))</f>
        <v/>
      </c>
      <c r="T605" s="36" t="str">
        <f aca="false">IF(A605="","",MOD(MONTH(A605)-FYStart,12)+1)</f>
        <v/>
      </c>
      <c r="U605" s="37" t="str">
        <f aca="false">IF(A605="","",TEXT(A605,"mmm"))</f>
        <v/>
      </c>
      <c r="V605" s="37" t="str">
        <f aca="false">IF(Q605="","",IFERROR(INDEX(Settings!$I$11:$I$15,MATCH(Q605,Settings!$H$11:$H$15,0)),"No"))</f>
        <v/>
      </c>
      <c r="W605" s="37" t="str">
        <f aca="false">IF(Q605="","",IFERROR(INDEX(Settings!$J$11:$J$15,MATCH(Q605,Settings!$H$11:$H$15,0)),"No"))</f>
        <v/>
      </c>
    </row>
    <row r="606" customFormat="false" ht="15" hidden="false" customHeight="false" outlineLevel="0" collapsed="false">
      <c r="A606" s="30"/>
      <c r="B606" s="25"/>
      <c r="C606" s="25"/>
      <c r="D606" s="25"/>
      <c r="E606" s="25"/>
      <c r="F606" s="25"/>
      <c r="G606" s="25"/>
      <c r="H606" s="31"/>
      <c r="I606" s="32"/>
      <c r="J606" s="33"/>
      <c r="K606" s="34" t="str">
        <f aca="false">IF(OR(H606="",I606=""),"",H606*I606*(1-N(J606)))</f>
        <v/>
      </c>
      <c r="L606" s="32"/>
      <c r="M606" s="34" t="str">
        <f aca="false">IF(OR(H606="",L606=""),"",H606*L606)</f>
        <v/>
      </c>
      <c r="N606" s="34" t="str">
        <f aca="false">IF(OR(K606="",M606=""),"",K606-M606)</f>
        <v/>
      </c>
      <c r="O606" s="35" t="str">
        <f aca="false">IF(OR(N606="",K606=""),"",IF(K606=0,"",N606/K606))</f>
        <v/>
      </c>
      <c r="P606" s="25"/>
      <c r="Q606" s="25"/>
      <c r="R606" s="25"/>
      <c r="S606" s="36" t="str">
        <f aca="false">IF(A606="","",YEAR(A606)+IF(AND(FYStart&gt;1,MONTH(A606)&gt;=FYStart),1,0))</f>
        <v/>
      </c>
      <c r="T606" s="36" t="str">
        <f aca="false">IF(A606="","",MOD(MONTH(A606)-FYStart,12)+1)</f>
        <v/>
      </c>
      <c r="U606" s="37" t="str">
        <f aca="false">IF(A606="","",TEXT(A606,"mmm"))</f>
        <v/>
      </c>
      <c r="V606" s="37" t="str">
        <f aca="false">IF(Q606="","",IFERROR(INDEX(Settings!$I$11:$I$15,MATCH(Q606,Settings!$H$11:$H$15,0)),"No"))</f>
        <v/>
      </c>
      <c r="W606" s="37" t="str">
        <f aca="false">IF(Q606="","",IFERROR(INDEX(Settings!$J$11:$J$15,MATCH(Q606,Settings!$H$11:$H$15,0)),"No"))</f>
        <v/>
      </c>
    </row>
    <row r="607" customFormat="false" ht="15" hidden="false" customHeight="false" outlineLevel="0" collapsed="false">
      <c r="A607" s="30"/>
      <c r="B607" s="25"/>
      <c r="C607" s="25"/>
      <c r="D607" s="25"/>
      <c r="E607" s="25"/>
      <c r="F607" s="25"/>
      <c r="G607" s="25"/>
      <c r="H607" s="31"/>
      <c r="I607" s="32"/>
      <c r="J607" s="33"/>
      <c r="K607" s="34" t="str">
        <f aca="false">IF(OR(H607="",I607=""),"",H607*I607*(1-N(J607)))</f>
        <v/>
      </c>
      <c r="L607" s="32"/>
      <c r="M607" s="34" t="str">
        <f aca="false">IF(OR(H607="",L607=""),"",H607*L607)</f>
        <v/>
      </c>
      <c r="N607" s="34" t="str">
        <f aca="false">IF(OR(K607="",M607=""),"",K607-M607)</f>
        <v/>
      </c>
      <c r="O607" s="35" t="str">
        <f aca="false">IF(OR(N607="",K607=""),"",IF(K607=0,"",N607/K607))</f>
        <v/>
      </c>
      <c r="P607" s="25"/>
      <c r="Q607" s="25"/>
      <c r="R607" s="25"/>
      <c r="S607" s="36" t="str">
        <f aca="false">IF(A607="","",YEAR(A607)+IF(AND(FYStart&gt;1,MONTH(A607)&gt;=FYStart),1,0))</f>
        <v/>
      </c>
      <c r="T607" s="36" t="str">
        <f aca="false">IF(A607="","",MOD(MONTH(A607)-FYStart,12)+1)</f>
        <v/>
      </c>
      <c r="U607" s="37" t="str">
        <f aca="false">IF(A607="","",TEXT(A607,"mmm"))</f>
        <v/>
      </c>
      <c r="V607" s="37" t="str">
        <f aca="false">IF(Q607="","",IFERROR(INDEX(Settings!$I$11:$I$15,MATCH(Q607,Settings!$H$11:$H$15,0)),"No"))</f>
        <v/>
      </c>
      <c r="W607" s="37" t="str">
        <f aca="false">IF(Q607="","",IFERROR(INDEX(Settings!$J$11:$J$15,MATCH(Q607,Settings!$H$11:$H$15,0)),"No"))</f>
        <v/>
      </c>
    </row>
    <row r="608" customFormat="false" ht="15" hidden="false" customHeight="false" outlineLevel="0" collapsed="false">
      <c r="A608" s="30"/>
      <c r="B608" s="25"/>
      <c r="C608" s="25"/>
      <c r="D608" s="25"/>
      <c r="E608" s="25"/>
      <c r="F608" s="25"/>
      <c r="G608" s="25"/>
      <c r="H608" s="31"/>
      <c r="I608" s="32"/>
      <c r="J608" s="33"/>
      <c r="K608" s="34" t="str">
        <f aca="false">IF(OR(H608="",I608=""),"",H608*I608*(1-N(J608)))</f>
        <v/>
      </c>
      <c r="L608" s="32"/>
      <c r="M608" s="34" t="str">
        <f aca="false">IF(OR(H608="",L608=""),"",H608*L608)</f>
        <v/>
      </c>
      <c r="N608" s="34" t="str">
        <f aca="false">IF(OR(K608="",M608=""),"",K608-M608)</f>
        <v/>
      </c>
      <c r="O608" s="35" t="str">
        <f aca="false">IF(OR(N608="",K608=""),"",IF(K608=0,"",N608/K608))</f>
        <v/>
      </c>
      <c r="P608" s="25"/>
      <c r="Q608" s="25"/>
      <c r="R608" s="25"/>
      <c r="S608" s="36" t="str">
        <f aca="false">IF(A608="","",YEAR(A608)+IF(AND(FYStart&gt;1,MONTH(A608)&gt;=FYStart),1,0))</f>
        <v/>
      </c>
      <c r="T608" s="36" t="str">
        <f aca="false">IF(A608="","",MOD(MONTH(A608)-FYStart,12)+1)</f>
        <v/>
      </c>
      <c r="U608" s="37" t="str">
        <f aca="false">IF(A608="","",TEXT(A608,"mmm"))</f>
        <v/>
      </c>
      <c r="V608" s="37" t="str">
        <f aca="false">IF(Q608="","",IFERROR(INDEX(Settings!$I$11:$I$15,MATCH(Q608,Settings!$H$11:$H$15,0)),"No"))</f>
        <v/>
      </c>
      <c r="W608" s="37" t="str">
        <f aca="false">IF(Q608="","",IFERROR(INDEX(Settings!$J$11:$J$15,MATCH(Q608,Settings!$H$11:$H$15,0)),"No"))</f>
        <v/>
      </c>
    </row>
    <row r="609" customFormat="false" ht="15" hidden="false" customHeight="false" outlineLevel="0" collapsed="false">
      <c r="A609" s="30"/>
      <c r="B609" s="25"/>
      <c r="C609" s="25"/>
      <c r="D609" s="25"/>
      <c r="E609" s="25"/>
      <c r="F609" s="25"/>
      <c r="G609" s="25"/>
      <c r="H609" s="31"/>
      <c r="I609" s="32"/>
      <c r="J609" s="33"/>
      <c r="K609" s="34" t="str">
        <f aca="false">IF(OR(H609="",I609=""),"",H609*I609*(1-N(J609)))</f>
        <v/>
      </c>
      <c r="L609" s="32"/>
      <c r="M609" s="34" t="str">
        <f aca="false">IF(OR(H609="",L609=""),"",H609*L609)</f>
        <v/>
      </c>
      <c r="N609" s="34" t="str">
        <f aca="false">IF(OR(K609="",M609=""),"",K609-M609)</f>
        <v/>
      </c>
      <c r="O609" s="35" t="str">
        <f aca="false">IF(OR(N609="",K609=""),"",IF(K609=0,"",N609/K609))</f>
        <v/>
      </c>
      <c r="P609" s="25"/>
      <c r="Q609" s="25"/>
      <c r="R609" s="25"/>
      <c r="S609" s="36" t="str">
        <f aca="false">IF(A609="","",YEAR(A609)+IF(AND(FYStart&gt;1,MONTH(A609)&gt;=FYStart),1,0))</f>
        <v/>
      </c>
      <c r="T609" s="36" t="str">
        <f aca="false">IF(A609="","",MOD(MONTH(A609)-FYStart,12)+1)</f>
        <v/>
      </c>
      <c r="U609" s="37" t="str">
        <f aca="false">IF(A609="","",TEXT(A609,"mmm"))</f>
        <v/>
      </c>
      <c r="V609" s="37" t="str">
        <f aca="false">IF(Q609="","",IFERROR(INDEX(Settings!$I$11:$I$15,MATCH(Q609,Settings!$H$11:$H$15,0)),"No"))</f>
        <v/>
      </c>
      <c r="W609" s="37" t="str">
        <f aca="false">IF(Q609="","",IFERROR(INDEX(Settings!$J$11:$J$15,MATCH(Q609,Settings!$H$11:$H$15,0)),"No"))</f>
        <v/>
      </c>
    </row>
    <row r="610" customFormat="false" ht="15" hidden="false" customHeight="false" outlineLevel="0" collapsed="false">
      <c r="A610" s="30"/>
      <c r="B610" s="25"/>
      <c r="C610" s="25"/>
      <c r="D610" s="25"/>
      <c r="E610" s="25"/>
      <c r="F610" s="25"/>
      <c r="G610" s="25"/>
      <c r="H610" s="31"/>
      <c r="I610" s="32"/>
      <c r="J610" s="33"/>
      <c r="K610" s="34" t="str">
        <f aca="false">IF(OR(H610="",I610=""),"",H610*I610*(1-N(J610)))</f>
        <v/>
      </c>
      <c r="L610" s="32"/>
      <c r="M610" s="34" t="str">
        <f aca="false">IF(OR(H610="",L610=""),"",H610*L610)</f>
        <v/>
      </c>
      <c r="N610" s="34" t="str">
        <f aca="false">IF(OR(K610="",M610=""),"",K610-M610)</f>
        <v/>
      </c>
      <c r="O610" s="35" t="str">
        <f aca="false">IF(OR(N610="",K610=""),"",IF(K610=0,"",N610/K610))</f>
        <v/>
      </c>
      <c r="P610" s="25"/>
      <c r="Q610" s="25"/>
      <c r="R610" s="25"/>
      <c r="S610" s="36" t="str">
        <f aca="false">IF(A610="","",YEAR(A610)+IF(AND(FYStart&gt;1,MONTH(A610)&gt;=FYStart),1,0))</f>
        <v/>
      </c>
      <c r="T610" s="36" t="str">
        <f aca="false">IF(A610="","",MOD(MONTH(A610)-FYStart,12)+1)</f>
        <v/>
      </c>
      <c r="U610" s="37" t="str">
        <f aca="false">IF(A610="","",TEXT(A610,"mmm"))</f>
        <v/>
      </c>
      <c r="V610" s="37" t="str">
        <f aca="false">IF(Q610="","",IFERROR(INDEX(Settings!$I$11:$I$15,MATCH(Q610,Settings!$H$11:$H$15,0)),"No"))</f>
        <v/>
      </c>
      <c r="W610" s="37" t="str">
        <f aca="false">IF(Q610="","",IFERROR(INDEX(Settings!$J$11:$J$15,MATCH(Q610,Settings!$H$11:$H$15,0)),"No"))</f>
        <v/>
      </c>
    </row>
    <row r="611" customFormat="false" ht="15" hidden="false" customHeight="false" outlineLevel="0" collapsed="false">
      <c r="A611" s="30"/>
      <c r="B611" s="25"/>
      <c r="C611" s="25"/>
      <c r="D611" s="25"/>
      <c r="E611" s="25"/>
      <c r="F611" s="25"/>
      <c r="G611" s="25"/>
      <c r="H611" s="31"/>
      <c r="I611" s="32"/>
      <c r="J611" s="33"/>
      <c r="K611" s="34" t="str">
        <f aca="false">IF(OR(H611="",I611=""),"",H611*I611*(1-N(J611)))</f>
        <v/>
      </c>
      <c r="L611" s="32"/>
      <c r="M611" s="34" t="str">
        <f aca="false">IF(OR(H611="",L611=""),"",H611*L611)</f>
        <v/>
      </c>
      <c r="N611" s="34" t="str">
        <f aca="false">IF(OR(K611="",M611=""),"",K611-M611)</f>
        <v/>
      </c>
      <c r="O611" s="35" t="str">
        <f aca="false">IF(OR(N611="",K611=""),"",IF(K611=0,"",N611/K611))</f>
        <v/>
      </c>
      <c r="P611" s="25"/>
      <c r="Q611" s="25"/>
      <c r="R611" s="25"/>
      <c r="S611" s="36" t="str">
        <f aca="false">IF(A611="","",YEAR(A611)+IF(AND(FYStart&gt;1,MONTH(A611)&gt;=FYStart),1,0))</f>
        <v/>
      </c>
      <c r="T611" s="36" t="str">
        <f aca="false">IF(A611="","",MOD(MONTH(A611)-FYStart,12)+1)</f>
        <v/>
      </c>
      <c r="U611" s="37" t="str">
        <f aca="false">IF(A611="","",TEXT(A611,"mmm"))</f>
        <v/>
      </c>
      <c r="V611" s="37" t="str">
        <f aca="false">IF(Q611="","",IFERROR(INDEX(Settings!$I$11:$I$15,MATCH(Q611,Settings!$H$11:$H$15,0)),"No"))</f>
        <v/>
      </c>
      <c r="W611" s="37" t="str">
        <f aca="false">IF(Q611="","",IFERROR(INDEX(Settings!$J$11:$J$15,MATCH(Q611,Settings!$H$11:$H$15,0)),"No"))</f>
        <v/>
      </c>
    </row>
    <row r="612" customFormat="false" ht="15" hidden="false" customHeight="false" outlineLevel="0" collapsed="false">
      <c r="A612" s="30"/>
      <c r="B612" s="25"/>
      <c r="C612" s="25"/>
      <c r="D612" s="25"/>
      <c r="E612" s="25"/>
      <c r="F612" s="25"/>
      <c r="G612" s="25"/>
      <c r="H612" s="31"/>
      <c r="I612" s="32"/>
      <c r="J612" s="33"/>
      <c r="K612" s="34" t="str">
        <f aca="false">IF(OR(H612="",I612=""),"",H612*I612*(1-N(J612)))</f>
        <v/>
      </c>
      <c r="L612" s="32"/>
      <c r="M612" s="34" t="str">
        <f aca="false">IF(OR(H612="",L612=""),"",H612*L612)</f>
        <v/>
      </c>
      <c r="N612" s="34" t="str">
        <f aca="false">IF(OR(K612="",M612=""),"",K612-M612)</f>
        <v/>
      </c>
      <c r="O612" s="35" t="str">
        <f aca="false">IF(OR(N612="",K612=""),"",IF(K612=0,"",N612/K612))</f>
        <v/>
      </c>
      <c r="P612" s="25"/>
      <c r="Q612" s="25"/>
      <c r="R612" s="25"/>
      <c r="S612" s="36" t="str">
        <f aca="false">IF(A612="","",YEAR(A612)+IF(AND(FYStart&gt;1,MONTH(A612)&gt;=FYStart),1,0))</f>
        <v/>
      </c>
      <c r="T612" s="36" t="str">
        <f aca="false">IF(A612="","",MOD(MONTH(A612)-FYStart,12)+1)</f>
        <v/>
      </c>
      <c r="U612" s="37" t="str">
        <f aca="false">IF(A612="","",TEXT(A612,"mmm"))</f>
        <v/>
      </c>
      <c r="V612" s="37" t="str">
        <f aca="false">IF(Q612="","",IFERROR(INDEX(Settings!$I$11:$I$15,MATCH(Q612,Settings!$H$11:$H$15,0)),"No"))</f>
        <v/>
      </c>
      <c r="W612" s="37" t="str">
        <f aca="false">IF(Q612="","",IFERROR(INDEX(Settings!$J$11:$J$15,MATCH(Q612,Settings!$H$11:$H$15,0)),"No"))</f>
        <v/>
      </c>
    </row>
    <row r="613" customFormat="false" ht="15" hidden="false" customHeight="false" outlineLevel="0" collapsed="false">
      <c r="A613" s="30"/>
      <c r="B613" s="25"/>
      <c r="C613" s="25"/>
      <c r="D613" s="25"/>
      <c r="E613" s="25"/>
      <c r="F613" s="25"/>
      <c r="G613" s="25"/>
      <c r="H613" s="31"/>
      <c r="I613" s="32"/>
      <c r="J613" s="33"/>
      <c r="K613" s="34" t="str">
        <f aca="false">IF(OR(H613="",I613=""),"",H613*I613*(1-N(J613)))</f>
        <v/>
      </c>
      <c r="L613" s="32"/>
      <c r="M613" s="34" t="str">
        <f aca="false">IF(OR(H613="",L613=""),"",H613*L613)</f>
        <v/>
      </c>
      <c r="N613" s="34" t="str">
        <f aca="false">IF(OR(K613="",M613=""),"",K613-M613)</f>
        <v/>
      </c>
      <c r="O613" s="35" t="str">
        <f aca="false">IF(OR(N613="",K613=""),"",IF(K613=0,"",N613/K613))</f>
        <v/>
      </c>
      <c r="P613" s="25"/>
      <c r="Q613" s="25"/>
      <c r="R613" s="25"/>
      <c r="S613" s="36" t="str">
        <f aca="false">IF(A613="","",YEAR(A613)+IF(AND(FYStart&gt;1,MONTH(A613)&gt;=FYStart),1,0))</f>
        <v/>
      </c>
      <c r="T613" s="36" t="str">
        <f aca="false">IF(A613="","",MOD(MONTH(A613)-FYStart,12)+1)</f>
        <v/>
      </c>
      <c r="U613" s="37" t="str">
        <f aca="false">IF(A613="","",TEXT(A613,"mmm"))</f>
        <v/>
      </c>
      <c r="V613" s="37" t="str">
        <f aca="false">IF(Q613="","",IFERROR(INDEX(Settings!$I$11:$I$15,MATCH(Q613,Settings!$H$11:$H$15,0)),"No"))</f>
        <v/>
      </c>
      <c r="W613" s="37" t="str">
        <f aca="false">IF(Q613="","",IFERROR(INDEX(Settings!$J$11:$J$15,MATCH(Q613,Settings!$H$11:$H$15,0)),"No"))</f>
        <v/>
      </c>
    </row>
    <row r="614" customFormat="false" ht="15" hidden="false" customHeight="false" outlineLevel="0" collapsed="false">
      <c r="A614" s="30"/>
      <c r="B614" s="25"/>
      <c r="C614" s="25"/>
      <c r="D614" s="25"/>
      <c r="E614" s="25"/>
      <c r="F614" s="25"/>
      <c r="G614" s="25"/>
      <c r="H614" s="31"/>
      <c r="I614" s="32"/>
      <c r="J614" s="33"/>
      <c r="K614" s="34" t="str">
        <f aca="false">IF(OR(H614="",I614=""),"",H614*I614*(1-N(J614)))</f>
        <v/>
      </c>
      <c r="L614" s="32"/>
      <c r="M614" s="34" t="str">
        <f aca="false">IF(OR(H614="",L614=""),"",H614*L614)</f>
        <v/>
      </c>
      <c r="N614" s="34" t="str">
        <f aca="false">IF(OR(K614="",M614=""),"",K614-M614)</f>
        <v/>
      </c>
      <c r="O614" s="35" t="str">
        <f aca="false">IF(OR(N614="",K614=""),"",IF(K614=0,"",N614/K614))</f>
        <v/>
      </c>
      <c r="P614" s="25"/>
      <c r="Q614" s="25"/>
      <c r="R614" s="25"/>
      <c r="S614" s="36" t="str">
        <f aca="false">IF(A614="","",YEAR(A614)+IF(AND(FYStart&gt;1,MONTH(A614)&gt;=FYStart),1,0))</f>
        <v/>
      </c>
      <c r="T614" s="36" t="str">
        <f aca="false">IF(A614="","",MOD(MONTH(A614)-FYStart,12)+1)</f>
        <v/>
      </c>
      <c r="U614" s="37" t="str">
        <f aca="false">IF(A614="","",TEXT(A614,"mmm"))</f>
        <v/>
      </c>
      <c r="V614" s="37" t="str">
        <f aca="false">IF(Q614="","",IFERROR(INDEX(Settings!$I$11:$I$15,MATCH(Q614,Settings!$H$11:$H$15,0)),"No"))</f>
        <v/>
      </c>
      <c r="W614" s="37" t="str">
        <f aca="false">IF(Q614="","",IFERROR(INDEX(Settings!$J$11:$J$15,MATCH(Q614,Settings!$H$11:$H$15,0)),"No"))</f>
        <v/>
      </c>
    </row>
    <row r="615" customFormat="false" ht="15" hidden="false" customHeight="false" outlineLevel="0" collapsed="false">
      <c r="A615" s="30"/>
      <c r="B615" s="25"/>
      <c r="C615" s="25"/>
      <c r="D615" s="25"/>
      <c r="E615" s="25"/>
      <c r="F615" s="25"/>
      <c r="G615" s="25"/>
      <c r="H615" s="31"/>
      <c r="I615" s="32"/>
      <c r="J615" s="33"/>
      <c r="K615" s="34" t="str">
        <f aca="false">IF(OR(H615="",I615=""),"",H615*I615*(1-N(J615)))</f>
        <v/>
      </c>
      <c r="L615" s="32"/>
      <c r="M615" s="34" t="str">
        <f aca="false">IF(OR(H615="",L615=""),"",H615*L615)</f>
        <v/>
      </c>
      <c r="N615" s="34" t="str">
        <f aca="false">IF(OR(K615="",M615=""),"",K615-M615)</f>
        <v/>
      </c>
      <c r="O615" s="35" t="str">
        <f aca="false">IF(OR(N615="",K615=""),"",IF(K615=0,"",N615/K615))</f>
        <v/>
      </c>
      <c r="P615" s="25"/>
      <c r="Q615" s="25"/>
      <c r="R615" s="25"/>
      <c r="S615" s="36" t="str">
        <f aca="false">IF(A615="","",YEAR(A615)+IF(AND(FYStart&gt;1,MONTH(A615)&gt;=FYStart),1,0))</f>
        <v/>
      </c>
      <c r="T615" s="36" t="str">
        <f aca="false">IF(A615="","",MOD(MONTH(A615)-FYStart,12)+1)</f>
        <v/>
      </c>
      <c r="U615" s="37" t="str">
        <f aca="false">IF(A615="","",TEXT(A615,"mmm"))</f>
        <v/>
      </c>
      <c r="V615" s="37" t="str">
        <f aca="false">IF(Q615="","",IFERROR(INDEX(Settings!$I$11:$I$15,MATCH(Q615,Settings!$H$11:$H$15,0)),"No"))</f>
        <v/>
      </c>
      <c r="W615" s="37" t="str">
        <f aca="false">IF(Q615="","",IFERROR(INDEX(Settings!$J$11:$J$15,MATCH(Q615,Settings!$H$11:$H$15,0)),"No"))</f>
        <v/>
      </c>
    </row>
    <row r="616" customFormat="false" ht="15" hidden="false" customHeight="false" outlineLevel="0" collapsed="false">
      <c r="A616" s="30"/>
      <c r="B616" s="25"/>
      <c r="C616" s="25"/>
      <c r="D616" s="25"/>
      <c r="E616" s="25"/>
      <c r="F616" s="25"/>
      <c r="G616" s="25"/>
      <c r="H616" s="31"/>
      <c r="I616" s="32"/>
      <c r="J616" s="33"/>
      <c r="K616" s="34" t="str">
        <f aca="false">IF(OR(H616="",I616=""),"",H616*I616*(1-N(J616)))</f>
        <v/>
      </c>
      <c r="L616" s="32"/>
      <c r="M616" s="34" t="str">
        <f aca="false">IF(OR(H616="",L616=""),"",H616*L616)</f>
        <v/>
      </c>
      <c r="N616" s="34" t="str">
        <f aca="false">IF(OR(K616="",M616=""),"",K616-M616)</f>
        <v/>
      </c>
      <c r="O616" s="35" t="str">
        <f aca="false">IF(OR(N616="",K616=""),"",IF(K616=0,"",N616/K616))</f>
        <v/>
      </c>
      <c r="P616" s="25"/>
      <c r="Q616" s="25"/>
      <c r="R616" s="25"/>
      <c r="S616" s="36" t="str">
        <f aca="false">IF(A616="","",YEAR(A616)+IF(AND(FYStart&gt;1,MONTH(A616)&gt;=FYStart),1,0))</f>
        <v/>
      </c>
      <c r="T616" s="36" t="str">
        <f aca="false">IF(A616="","",MOD(MONTH(A616)-FYStart,12)+1)</f>
        <v/>
      </c>
      <c r="U616" s="37" t="str">
        <f aca="false">IF(A616="","",TEXT(A616,"mmm"))</f>
        <v/>
      </c>
      <c r="V616" s="37" t="str">
        <f aca="false">IF(Q616="","",IFERROR(INDEX(Settings!$I$11:$I$15,MATCH(Q616,Settings!$H$11:$H$15,0)),"No"))</f>
        <v/>
      </c>
      <c r="W616" s="37" t="str">
        <f aca="false">IF(Q616="","",IFERROR(INDEX(Settings!$J$11:$J$15,MATCH(Q616,Settings!$H$11:$H$15,0)),"No"))</f>
        <v/>
      </c>
    </row>
    <row r="617" customFormat="false" ht="15" hidden="false" customHeight="false" outlineLevel="0" collapsed="false">
      <c r="A617" s="30"/>
      <c r="B617" s="25"/>
      <c r="C617" s="25"/>
      <c r="D617" s="25"/>
      <c r="E617" s="25"/>
      <c r="F617" s="25"/>
      <c r="G617" s="25"/>
      <c r="H617" s="31"/>
      <c r="I617" s="32"/>
      <c r="J617" s="33"/>
      <c r="K617" s="34" t="str">
        <f aca="false">IF(OR(H617="",I617=""),"",H617*I617*(1-N(J617)))</f>
        <v/>
      </c>
      <c r="L617" s="32"/>
      <c r="M617" s="34" t="str">
        <f aca="false">IF(OR(H617="",L617=""),"",H617*L617)</f>
        <v/>
      </c>
      <c r="N617" s="34" t="str">
        <f aca="false">IF(OR(K617="",M617=""),"",K617-M617)</f>
        <v/>
      </c>
      <c r="O617" s="35" t="str">
        <f aca="false">IF(OR(N617="",K617=""),"",IF(K617=0,"",N617/K617))</f>
        <v/>
      </c>
      <c r="P617" s="25"/>
      <c r="Q617" s="25"/>
      <c r="R617" s="25"/>
      <c r="S617" s="36" t="str">
        <f aca="false">IF(A617="","",YEAR(A617)+IF(AND(FYStart&gt;1,MONTH(A617)&gt;=FYStart),1,0))</f>
        <v/>
      </c>
      <c r="T617" s="36" t="str">
        <f aca="false">IF(A617="","",MOD(MONTH(A617)-FYStart,12)+1)</f>
        <v/>
      </c>
      <c r="U617" s="37" t="str">
        <f aca="false">IF(A617="","",TEXT(A617,"mmm"))</f>
        <v/>
      </c>
      <c r="V617" s="37" t="str">
        <f aca="false">IF(Q617="","",IFERROR(INDEX(Settings!$I$11:$I$15,MATCH(Q617,Settings!$H$11:$H$15,0)),"No"))</f>
        <v/>
      </c>
      <c r="W617" s="37" t="str">
        <f aca="false">IF(Q617="","",IFERROR(INDEX(Settings!$J$11:$J$15,MATCH(Q617,Settings!$H$11:$H$15,0)),"No"))</f>
        <v/>
      </c>
    </row>
    <row r="618" customFormat="false" ht="15" hidden="false" customHeight="false" outlineLevel="0" collapsed="false">
      <c r="A618" s="30"/>
      <c r="B618" s="25"/>
      <c r="C618" s="25"/>
      <c r="D618" s="25"/>
      <c r="E618" s="25"/>
      <c r="F618" s="25"/>
      <c r="G618" s="25"/>
      <c r="H618" s="31"/>
      <c r="I618" s="32"/>
      <c r="J618" s="33"/>
      <c r="K618" s="34" t="str">
        <f aca="false">IF(OR(H618="",I618=""),"",H618*I618*(1-N(J618)))</f>
        <v/>
      </c>
      <c r="L618" s="32"/>
      <c r="M618" s="34" t="str">
        <f aca="false">IF(OR(H618="",L618=""),"",H618*L618)</f>
        <v/>
      </c>
      <c r="N618" s="34" t="str">
        <f aca="false">IF(OR(K618="",M618=""),"",K618-M618)</f>
        <v/>
      </c>
      <c r="O618" s="35" t="str">
        <f aca="false">IF(OR(N618="",K618=""),"",IF(K618=0,"",N618/K618))</f>
        <v/>
      </c>
      <c r="P618" s="25"/>
      <c r="Q618" s="25"/>
      <c r="R618" s="25"/>
      <c r="S618" s="36" t="str">
        <f aca="false">IF(A618="","",YEAR(A618)+IF(AND(FYStart&gt;1,MONTH(A618)&gt;=FYStart),1,0))</f>
        <v/>
      </c>
      <c r="T618" s="36" t="str">
        <f aca="false">IF(A618="","",MOD(MONTH(A618)-FYStart,12)+1)</f>
        <v/>
      </c>
      <c r="U618" s="37" t="str">
        <f aca="false">IF(A618="","",TEXT(A618,"mmm"))</f>
        <v/>
      </c>
      <c r="V618" s="37" t="str">
        <f aca="false">IF(Q618="","",IFERROR(INDEX(Settings!$I$11:$I$15,MATCH(Q618,Settings!$H$11:$H$15,0)),"No"))</f>
        <v/>
      </c>
      <c r="W618" s="37" t="str">
        <f aca="false">IF(Q618="","",IFERROR(INDEX(Settings!$J$11:$J$15,MATCH(Q618,Settings!$H$11:$H$15,0)),"No"))</f>
        <v/>
      </c>
    </row>
    <row r="619" customFormat="false" ht="15" hidden="false" customHeight="false" outlineLevel="0" collapsed="false">
      <c r="A619" s="30"/>
      <c r="B619" s="25"/>
      <c r="C619" s="25"/>
      <c r="D619" s="25"/>
      <c r="E619" s="25"/>
      <c r="F619" s="25"/>
      <c r="G619" s="25"/>
      <c r="H619" s="31"/>
      <c r="I619" s="32"/>
      <c r="J619" s="33"/>
      <c r="K619" s="34" t="str">
        <f aca="false">IF(OR(H619="",I619=""),"",H619*I619*(1-N(J619)))</f>
        <v/>
      </c>
      <c r="L619" s="32"/>
      <c r="M619" s="34" t="str">
        <f aca="false">IF(OR(H619="",L619=""),"",H619*L619)</f>
        <v/>
      </c>
      <c r="N619" s="34" t="str">
        <f aca="false">IF(OR(K619="",M619=""),"",K619-M619)</f>
        <v/>
      </c>
      <c r="O619" s="35" t="str">
        <f aca="false">IF(OR(N619="",K619=""),"",IF(K619=0,"",N619/K619))</f>
        <v/>
      </c>
      <c r="P619" s="25"/>
      <c r="Q619" s="25"/>
      <c r="R619" s="25"/>
      <c r="S619" s="36" t="str">
        <f aca="false">IF(A619="","",YEAR(A619)+IF(AND(FYStart&gt;1,MONTH(A619)&gt;=FYStart),1,0))</f>
        <v/>
      </c>
      <c r="T619" s="36" t="str">
        <f aca="false">IF(A619="","",MOD(MONTH(A619)-FYStart,12)+1)</f>
        <v/>
      </c>
      <c r="U619" s="37" t="str">
        <f aca="false">IF(A619="","",TEXT(A619,"mmm"))</f>
        <v/>
      </c>
      <c r="V619" s="37" t="str">
        <f aca="false">IF(Q619="","",IFERROR(INDEX(Settings!$I$11:$I$15,MATCH(Q619,Settings!$H$11:$H$15,0)),"No"))</f>
        <v/>
      </c>
      <c r="W619" s="37" t="str">
        <f aca="false">IF(Q619="","",IFERROR(INDEX(Settings!$J$11:$J$15,MATCH(Q619,Settings!$H$11:$H$15,0)),"No"))</f>
        <v/>
      </c>
    </row>
    <row r="620" customFormat="false" ht="15" hidden="false" customHeight="false" outlineLevel="0" collapsed="false">
      <c r="A620" s="30"/>
      <c r="B620" s="25"/>
      <c r="C620" s="25"/>
      <c r="D620" s="25"/>
      <c r="E620" s="25"/>
      <c r="F620" s="25"/>
      <c r="G620" s="25"/>
      <c r="H620" s="31"/>
      <c r="I620" s="32"/>
      <c r="J620" s="33"/>
      <c r="K620" s="34" t="str">
        <f aca="false">IF(OR(H620="",I620=""),"",H620*I620*(1-N(J620)))</f>
        <v/>
      </c>
      <c r="L620" s="32"/>
      <c r="M620" s="34" t="str">
        <f aca="false">IF(OR(H620="",L620=""),"",H620*L620)</f>
        <v/>
      </c>
      <c r="N620" s="34" t="str">
        <f aca="false">IF(OR(K620="",M620=""),"",K620-M620)</f>
        <v/>
      </c>
      <c r="O620" s="35" t="str">
        <f aca="false">IF(OR(N620="",K620=""),"",IF(K620=0,"",N620/K620))</f>
        <v/>
      </c>
      <c r="P620" s="25"/>
      <c r="Q620" s="25"/>
      <c r="R620" s="25"/>
      <c r="S620" s="36" t="str">
        <f aca="false">IF(A620="","",YEAR(A620)+IF(AND(FYStart&gt;1,MONTH(A620)&gt;=FYStart),1,0))</f>
        <v/>
      </c>
      <c r="T620" s="36" t="str">
        <f aca="false">IF(A620="","",MOD(MONTH(A620)-FYStart,12)+1)</f>
        <v/>
      </c>
      <c r="U620" s="37" t="str">
        <f aca="false">IF(A620="","",TEXT(A620,"mmm"))</f>
        <v/>
      </c>
      <c r="V620" s="37" t="str">
        <f aca="false">IF(Q620="","",IFERROR(INDEX(Settings!$I$11:$I$15,MATCH(Q620,Settings!$H$11:$H$15,0)),"No"))</f>
        <v/>
      </c>
      <c r="W620" s="37" t="str">
        <f aca="false">IF(Q620="","",IFERROR(INDEX(Settings!$J$11:$J$15,MATCH(Q620,Settings!$H$11:$H$15,0)),"No"))</f>
        <v/>
      </c>
    </row>
    <row r="621" customFormat="false" ht="15" hidden="false" customHeight="false" outlineLevel="0" collapsed="false">
      <c r="A621" s="30"/>
      <c r="B621" s="25"/>
      <c r="C621" s="25"/>
      <c r="D621" s="25"/>
      <c r="E621" s="25"/>
      <c r="F621" s="25"/>
      <c r="G621" s="25"/>
      <c r="H621" s="31"/>
      <c r="I621" s="32"/>
      <c r="J621" s="33"/>
      <c r="K621" s="34" t="str">
        <f aca="false">IF(OR(H621="",I621=""),"",H621*I621*(1-N(J621)))</f>
        <v/>
      </c>
      <c r="L621" s="32"/>
      <c r="M621" s="34" t="str">
        <f aca="false">IF(OR(H621="",L621=""),"",H621*L621)</f>
        <v/>
      </c>
      <c r="N621" s="34" t="str">
        <f aca="false">IF(OR(K621="",M621=""),"",K621-M621)</f>
        <v/>
      </c>
      <c r="O621" s="35" t="str">
        <f aca="false">IF(OR(N621="",K621=""),"",IF(K621=0,"",N621/K621))</f>
        <v/>
      </c>
      <c r="P621" s="25"/>
      <c r="Q621" s="25"/>
      <c r="R621" s="25"/>
      <c r="S621" s="36" t="str">
        <f aca="false">IF(A621="","",YEAR(A621)+IF(AND(FYStart&gt;1,MONTH(A621)&gt;=FYStart),1,0))</f>
        <v/>
      </c>
      <c r="T621" s="36" t="str">
        <f aca="false">IF(A621="","",MOD(MONTH(A621)-FYStart,12)+1)</f>
        <v/>
      </c>
      <c r="U621" s="37" t="str">
        <f aca="false">IF(A621="","",TEXT(A621,"mmm"))</f>
        <v/>
      </c>
      <c r="V621" s="37" t="str">
        <f aca="false">IF(Q621="","",IFERROR(INDEX(Settings!$I$11:$I$15,MATCH(Q621,Settings!$H$11:$H$15,0)),"No"))</f>
        <v/>
      </c>
      <c r="W621" s="37" t="str">
        <f aca="false">IF(Q621="","",IFERROR(INDEX(Settings!$J$11:$J$15,MATCH(Q621,Settings!$H$11:$H$15,0)),"No"))</f>
        <v/>
      </c>
    </row>
    <row r="622" customFormat="false" ht="15" hidden="false" customHeight="false" outlineLevel="0" collapsed="false">
      <c r="A622" s="30"/>
      <c r="B622" s="25"/>
      <c r="C622" s="25"/>
      <c r="D622" s="25"/>
      <c r="E622" s="25"/>
      <c r="F622" s="25"/>
      <c r="G622" s="25"/>
      <c r="H622" s="31"/>
      <c r="I622" s="32"/>
      <c r="J622" s="33"/>
      <c r="K622" s="34" t="str">
        <f aca="false">IF(OR(H622="",I622=""),"",H622*I622*(1-N(J622)))</f>
        <v/>
      </c>
      <c r="L622" s="32"/>
      <c r="M622" s="34" t="str">
        <f aca="false">IF(OR(H622="",L622=""),"",H622*L622)</f>
        <v/>
      </c>
      <c r="N622" s="34" t="str">
        <f aca="false">IF(OR(K622="",M622=""),"",K622-M622)</f>
        <v/>
      </c>
      <c r="O622" s="35" t="str">
        <f aca="false">IF(OR(N622="",K622=""),"",IF(K622=0,"",N622/K622))</f>
        <v/>
      </c>
      <c r="P622" s="25"/>
      <c r="Q622" s="25"/>
      <c r="R622" s="25"/>
      <c r="S622" s="36" t="str">
        <f aca="false">IF(A622="","",YEAR(A622)+IF(AND(FYStart&gt;1,MONTH(A622)&gt;=FYStart),1,0))</f>
        <v/>
      </c>
      <c r="T622" s="36" t="str">
        <f aca="false">IF(A622="","",MOD(MONTH(A622)-FYStart,12)+1)</f>
        <v/>
      </c>
      <c r="U622" s="37" t="str">
        <f aca="false">IF(A622="","",TEXT(A622,"mmm"))</f>
        <v/>
      </c>
      <c r="V622" s="37" t="str">
        <f aca="false">IF(Q622="","",IFERROR(INDEX(Settings!$I$11:$I$15,MATCH(Q622,Settings!$H$11:$H$15,0)),"No"))</f>
        <v/>
      </c>
      <c r="W622" s="37" t="str">
        <f aca="false">IF(Q622="","",IFERROR(INDEX(Settings!$J$11:$J$15,MATCH(Q622,Settings!$H$11:$H$15,0)),"No"))</f>
        <v/>
      </c>
    </row>
    <row r="623" customFormat="false" ht="15" hidden="false" customHeight="false" outlineLevel="0" collapsed="false">
      <c r="A623" s="30"/>
      <c r="B623" s="25"/>
      <c r="C623" s="25"/>
      <c r="D623" s="25"/>
      <c r="E623" s="25"/>
      <c r="F623" s="25"/>
      <c r="G623" s="25"/>
      <c r="H623" s="31"/>
      <c r="I623" s="32"/>
      <c r="J623" s="33"/>
      <c r="K623" s="34" t="str">
        <f aca="false">IF(OR(H623="",I623=""),"",H623*I623*(1-N(J623)))</f>
        <v/>
      </c>
      <c r="L623" s="32"/>
      <c r="M623" s="34" t="str">
        <f aca="false">IF(OR(H623="",L623=""),"",H623*L623)</f>
        <v/>
      </c>
      <c r="N623" s="34" t="str">
        <f aca="false">IF(OR(K623="",M623=""),"",K623-M623)</f>
        <v/>
      </c>
      <c r="O623" s="35" t="str">
        <f aca="false">IF(OR(N623="",K623=""),"",IF(K623=0,"",N623/K623))</f>
        <v/>
      </c>
      <c r="P623" s="25"/>
      <c r="Q623" s="25"/>
      <c r="R623" s="25"/>
      <c r="S623" s="36" t="str">
        <f aca="false">IF(A623="","",YEAR(A623)+IF(AND(FYStart&gt;1,MONTH(A623)&gt;=FYStart),1,0))</f>
        <v/>
      </c>
      <c r="T623" s="36" t="str">
        <f aca="false">IF(A623="","",MOD(MONTH(A623)-FYStart,12)+1)</f>
        <v/>
      </c>
      <c r="U623" s="37" t="str">
        <f aca="false">IF(A623="","",TEXT(A623,"mmm"))</f>
        <v/>
      </c>
      <c r="V623" s="37" t="str">
        <f aca="false">IF(Q623="","",IFERROR(INDEX(Settings!$I$11:$I$15,MATCH(Q623,Settings!$H$11:$H$15,0)),"No"))</f>
        <v/>
      </c>
      <c r="W623" s="37" t="str">
        <f aca="false">IF(Q623="","",IFERROR(INDEX(Settings!$J$11:$J$15,MATCH(Q623,Settings!$H$11:$H$15,0)),"No"))</f>
        <v/>
      </c>
    </row>
    <row r="624" customFormat="false" ht="15" hidden="false" customHeight="false" outlineLevel="0" collapsed="false">
      <c r="A624" s="30"/>
      <c r="B624" s="25"/>
      <c r="C624" s="25"/>
      <c r="D624" s="25"/>
      <c r="E624" s="25"/>
      <c r="F624" s="25"/>
      <c r="G624" s="25"/>
      <c r="H624" s="31"/>
      <c r="I624" s="32"/>
      <c r="J624" s="33"/>
      <c r="K624" s="34" t="str">
        <f aca="false">IF(OR(H624="",I624=""),"",H624*I624*(1-N(J624)))</f>
        <v/>
      </c>
      <c r="L624" s="32"/>
      <c r="M624" s="34" t="str">
        <f aca="false">IF(OR(H624="",L624=""),"",H624*L624)</f>
        <v/>
      </c>
      <c r="N624" s="34" t="str">
        <f aca="false">IF(OR(K624="",M624=""),"",K624-M624)</f>
        <v/>
      </c>
      <c r="O624" s="35" t="str">
        <f aca="false">IF(OR(N624="",K624=""),"",IF(K624=0,"",N624/K624))</f>
        <v/>
      </c>
      <c r="P624" s="25"/>
      <c r="Q624" s="25"/>
      <c r="R624" s="25"/>
      <c r="S624" s="36" t="str">
        <f aca="false">IF(A624="","",YEAR(A624)+IF(AND(FYStart&gt;1,MONTH(A624)&gt;=FYStart),1,0))</f>
        <v/>
      </c>
      <c r="T624" s="36" t="str">
        <f aca="false">IF(A624="","",MOD(MONTH(A624)-FYStart,12)+1)</f>
        <v/>
      </c>
      <c r="U624" s="37" t="str">
        <f aca="false">IF(A624="","",TEXT(A624,"mmm"))</f>
        <v/>
      </c>
      <c r="V624" s="37" t="str">
        <f aca="false">IF(Q624="","",IFERROR(INDEX(Settings!$I$11:$I$15,MATCH(Q624,Settings!$H$11:$H$15,0)),"No"))</f>
        <v/>
      </c>
      <c r="W624" s="37" t="str">
        <f aca="false">IF(Q624="","",IFERROR(INDEX(Settings!$J$11:$J$15,MATCH(Q624,Settings!$H$11:$H$15,0)),"No"))</f>
        <v/>
      </c>
    </row>
    <row r="625" customFormat="false" ht="15" hidden="false" customHeight="false" outlineLevel="0" collapsed="false">
      <c r="A625" s="30"/>
      <c r="B625" s="25"/>
      <c r="C625" s="25"/>
      <c r="D625" s="25"/>
      <c r="E625" s="25"/>
      <c r="F625" s="25"/>
      <c r="G625" s="25"/>
      <c r="H625" s="31"/>
      <c r="I625" s="32"/>
      <c r="J625" s="33"/>
      <c r="K625" s="34" t="str">
        <f aca="false">IF(OR(H625="",I625=""),"",H625*I625*(1-N(J625)))</f>
        <v/>
      </c>
      <c r="L625" s="32"/>
      <c r="M625" s="34" t="str">
        <f aca="false">IF(OR(H625="",L625=""),"",H625*L625)</f>
        <v/>
      </c>
      <c r="N625" s="34" t="str">
        <f aca="false">IF(OR(K625="",M625=""),"",K625-M625)</f>
        <v/>
      </c>
      <c r="O625" s="35" t="str">
        <f aca="false">IF(OR(N625="",K625=""),"",IF(K625=0,"",N625/K625))</f>
        <v/>
      </c>
      <c r="P625" s="25"/>
      <c r="Q625" s="25"/>
      <c r="R625" s="25"/>
      <c r="S625" s="36" t="str">
        <f aca="false">IF(A625="","",YEAR(A625)+IF(AND(FYStart&gt;1,MONTH(A625)&gt;=FYStart),1,0))</f>
        <v/>
      </c>
      <c r="T625" s="36" t="str">
        <f aca="false">IF(A625="","",MOD(MONTH(A625)-FYStart,12)+1)</f>
        <v/>
      </c>
      <c r="U625" s="37" t="str">
        <f aca="false">IF(A625="","",TEXT(A625,"mmm"))</f>
        <v/>
      </c>
      <c r="V625" s="37" t="str">
        <f aca="false">IF(Q625="","",IFERROR(INDEX(Settings!$I$11:$I$15,MATCH(Q625,Settings!$H$11:$H$15,0)),"No"))</f>
        <v/>
      </c>
      <c r="W625" s="37" t="str">
        <f aca="false">IF(Q625="","",IFERROR(INDEX(Settings!$J$11:$J$15,MATCH(Q625,Settings!$H$11:$H$15,0)),"No"))</f>
        <v/>
      </c>
    </row>
    <row r="626" customFormat="false" ht="15" hidden="false" customHeight="false" outlineLevel="0" collapsed="false">
      <c r="A626" s="30"/>
      <c r="B626" s="25"/>
      <c r="C626" s="25"/>
      <c r="D626" s="25"/>
      <c r="E626" s="25"/>
      <c r="F626" s="25"/>
      <c r="G626" s="25"/>
      <c r="H626" s="31"/>
      <c r="I626" s="32"/>
      <c r="J626" s="33"/>
      <c r="K626" s="34" t="str">
        <f aca="false">IF(OR(H626="",I626=""),"",H626*I626*(1-N(J626)))</f>
        <v/>
      </c>
      <c r="L626" s="32"/>
      <c r="M626" s="34" t="str">
        <f aca="false">IF(OR(H626="",L626=""),"",H626*L626)</f>
        <v/>
      </c>
      <c r="N626" s="34" t="str">
        <f aca="false">IF(OR(K626="",M626=""),"",K626-M626)</f>
        <v/>
      </c>
      <c r="O626" s="35" t="str">
        <f aca="false">IF(OR(N626="",K626=""),"",IF(K626=0,"",N626/K626))</f>
        <v/>
      </c>
      <c r="P626" s="25"/>
      <c r="Q626" s="25"/>
      <c r="R626" s="25"/>
      <c r="S626" s="36" t="str">
        <f aca="false">IF(A626="","",YEAR(A626)+IF(AND(FYStart&gt;1,MONTH(A626)&gt;=FYStart),1,0))</f>
        <v/>
      </c>
      <c r="T626" s="36" t="str">
        <f aca="false">IF(A626="","",MOD(MONTH(A626)-FYStart,12)+1)</f>
        <v/>
      </c>
      <c r="U626" s="37" t="str">
        <f aca="false">IF(A626="","",TEXT(A626,"mmm"))</f>
        <v/>
      </c>
      <c r="V626" s="37" t="str">
        <f aca="false">IF(Q626="","",IFERROR(INDEX(Settings!$I$11:$I$15,MATCH(Q626,Settings!$H$11:$H$15,0)),"No"))</f>
        <v/>
      </c>
      <c r="W626" s="37" t="str">
        <f aca="false">IF(Q626="","",IFERROR(INDEX(Settings!$J$11:$J$15,MATCH(Q626,Settings!$H$11:$H$15,0)),"No"))</f>
        <v/>
      </c>
    </row>
    <row r="627" customFormat="false" ht="15" hidden="false" customHeight="false" outlineLevel="0" collapsed="false">
      <c r="A627" s="30"/>
      <c r="B627" s="25"/>
      <c r="C627" s="25"/>
      <c r="D627" s="25"/>
      <c r="E627" s="25"/>
      <c r="F627" s="25"/>
      <c r="G627" s="25"/>
      <c r="H627" s="31"/>
      <c r="I627" s="32"/>
      <c r="J627" s="33"/>
      <c r="K627" s="34" t="str">
        <f aca="false">IF(OR(H627="",I627=""),"",H627*I627*(1-N(J627)))</f>
        <v/>
      </c>
      <c r="L627" s="32"/>
      <c r="M627" s="34" t="str">
        <f aca="false">IF(OR(H627="",L627=""),"",H627*L627)</f>
        <v/>
      </c>
      <c r="N627" s="34" t="str">
        <f aca="false">IF(OR(K627="",M627=""),"",K627-M627)</f>
        <v/>
      </c>
      <c r="O627" s="35" t="str">
        <f aca="false">IF(OR(N627="",K627=""),"",IF(K627=0,"",N627/K627))</f>
        <v/>
      </c>
      <c r="P627" s="25"/>
      <c r="Q627" s="25"/>
      <c r="R627" s="25"/>
      <c r="S627" s="36" t="str">
        <f aca="false">IF(A627="","",YEAR(A627)+IF(AND(FYStart&gt;1,MONTH(A627)&gt;=FYStart),1,0))</f>
        <v/>
      </c>
      <c r="T627" s="36" t="str">
        <f aca="false">IF(A627="","",MOD(MONTH(A627)-FYStart,12)+1)</f>
        <v/>
      </c>
      <c r="U627" s="37" t="str">
        <f aca="false">IF(A627="","",TEXT(A627,"mmm"))</f>
        <v/>
      </c>
      <c r="V627" s="37" t="str">
        <f aca="false">IF(Q627="","",IFERROR(INDEX(Settings!$I$11:$I$15,MATCH(Q627,Settings!$H$11:$H$15,0)),"No"))</f>
        <v/>
      </c>
      <c r="W627" s="37" t="str">
        <f aca="false">IF(Q627="","",IFERROR(INDEX(Settings!$J$11:$J$15,MATCH(Q627,Settings!$H$11:$H$15,0)),"No"))</f>
        <v/>
      </c>
    </row>
    <row r="628" customFormat="false" ht="15" hidden="false" customHeight="false" outlineLevel="0" collapsed="false">
      <c r="A628" s="30"/>
      <c r="B628" s="25"/>
      <c r="C628" s="25"/>
      <c r="D628" s="25"/>
      <c r="E628" s="25"/>
      <c r="F628" s="25"/>
      <c r="G628" s="25"/>
      <c r="H628" s="31"/>
      <c r="I628" s="32"/>
      <c r="J628" s="33"/>
      <c r="K628" s="34" t="str">
        <f aca="false">IF(OR(H628="",I628=""),"",H628*I628*(1-N(J628)))</f>
        <v/>
      </c>
      <c r="L628" s="32"/>
      <c r="M628" s="34" t="str">
        <f aca="false">IF(OR(H628="",L628=""),"",H628*L628)</f>
        <v/>
      </c>
      <c r="N628" s="34" t="str">
        <f aca="false">IF(OR(K628="",M628=""),"",K628-M628)</f>
        <v/>
      </c>
      <c r="O628" s="35" t="str">
        <f aca="false">IF(OR(N628="",K628=""),"",IF(K628=0,"",N628/K628))</f>
        <v/>
      </c>
      <c r="P628" s="25"/>
      <c r="Q628" s="25"/>
      <c r="R628" s="25"/>
      <c r="S628" s="36" t="str">
        <f aca="false">IF(A628="","",YEAR(A628)+IF(AND(FYStart&gt;1,MONTH(A628)&gt;=FYStart),1,0))</f>
        <v/>
      </c>
      <c r="T628" s="36" t="str">
        <f aca="false">IF(A628="","",MOD(MONTH(A628)-FYStart,12)+1)</f>
        <v/>
      </c>
      <c r="U628" s="37" t="str">
        <f aca="false">IF(A628="","",TEXT(A628,"mmm"))</f>
        <v/>
      </c>
      <c r="V628" s="37" t="str">
        <f aca="false">IF(Q628="","",IFERROR(INDEX(Settings!$I$11:$I$15,MATCH(Q628,Settings!$H$11:$H$15,0)),"No"))</f>
        <v/>
      </c>
      <c r="W628" s="37" t="str">
        <f aca="false">IF(Q628="","",IFERROR(INDEX(Settings!$J$11:$J$15,MATCH(Q628,Settings!$H$11:$H$15,0)),"No"))</f>
        <v/>
      </c>
    </row>
    <row r="629" customFormat="false" ht="15" hidden="false" customHeight="false" outlineLevel="0" collapsed="false">
      <c r="A629" s="30"/>
      <c r="B629" s="25"/>
      <c r="C629" s="25"/>
      <c r="D629" s="25"/>
      <c r="E629" s="25"/>
      <c r="F629" s="25"/>
      <c r="G629" s="25"/>
      <c r="H629" s="31"/>
      <c r="I629" s="32"/>
      <c r="J629" s="33"/>
      <c r="K629" s="34" t="str">
        <f aca="false">IF(OR(H629="",I629=""),"",H629*I629*(1-N(J629)))</f>
        <v/>
      </c>
      <c r="L629" s="32"/>
      <c r="M629" s="34" t="str">
        <f aca="false">IF(OR(H629="",L629=""),"",H629*L629)</f>
        <v/>
      </c>
      <c r="N629" s="34" t="str">
        <f aca="false">IF(OR(K629="",M629=""),"",K629-M629)</f>
        <v/>
      </c>
      <c r="O629" s="35" t="str">
        <f aca="false">IF(OR(N629="",K629=""),"",IF(K629=0,"",N629/K629))</f>
        <v/>
      </c>
      <c r="P629" s="25"/>
      <c r="Q629" s="25"/>
      <c r="R629" s="25"/>
      <c r="S629" s="36" t="str">
        <f aca="false">IF(A629="","",YEAR(A629)+IF(AND(FYStart&gt;1,MONTH(A629)&gt;=FYStart),1,0))</f>
        <v/>
      </c>
      <c r="T629" s="36" t="str">
        <f aca="false">IF(A629="","",MOD(MONTH(A629)-FYStart,12)+1)</f>
        <v/>
      </c>
      <c r="U629" s="37" t="str">
        <f aca="false">IF(A629="","",TEXT(A629,"mmm"))</f>
        <v/>
      </c>
      <c r="V629" s="37" t="str">
        <f aca="false">IF(Q629="","",IFERROR(INDEX(Settings!$I$11:$I$15,MATCH(Q629,Settings!$H$11:$H$15,0)),"No"))</f>
        <v/>
      </c>
      <c r="W629" s="37" t="str">
        <f aca="false">IF(Q629="","",IFERROR(INDEX(Settings!$J$11:$J$15,MATCH(Q629,Settings!$H$11:$H$15,0)),"No"))</f>
        <v/>
      </c>
    </row>
    <row r="630" customFormat="false" ht="15" hidden="false" customHeight="false" outlineLevel="0" collapsed="false">
      <c r="A630" s="30"/>
      <c r="B630" s="25"/>
      <c r="C630" s="25"/>
      <c r="D630" s="25"/>
      <c r="E630" s="25"/>
      <c r="F630" s="25"/>
      <c r="G630" s="25"/>
      <c r="H630" s="31"/>
      <c r="I630" s="32"/>
      <c r="J630" s="33"/>
      <c r="K630" s="34" t="str">
        <f aca="false">IF(OR(H630="",I630=""),"",H630*I630*(1-N(J630)))</f>
        <v/>
      </c>
      <c r="L630" s="32"/>
      <c r="M630" s="34" t="str">
        <f aca="false">IF(OR(H630="",L630=""),"",H630*L630)</f>
        <v/>
      </c>
      <c r="N630" s="34" t="str">
        <f aca="false">IF(OR(K630="",M630=""),"",K630-M630)</f>
        <v/>
      </c>
      <c r="O630" s="35" t="str">
        <f aca="false">IF(OR(N630="",K630=""),"",IF(K630=0,"",N630/K630))</f>
        <v/>
      </c>
      <c r="P630" s="25"/>
      <c r="Q630" s="25"/>
      <c r="R630" s="25"/>
      <c r="S630" s="36" t="str">
        <f aca="false">IF(A630="","",YEAR(A630)+IF(AND(FYStart&gt;1,MONTH(A630)&gt;=FYStart),1,0))</f>
        <v/>
      </c>
      <c r="T630" s="36" t="str">
        <f aca="false">IF(A630="","",MOD(MONTH(A630)-FYStart,12)+1)</f>
        <v/>
      </c>
      <c r="U630" s="37" t="str">
        <f aca="false">IF(A630="","",TEXT(A630,"mmm"))</f>
        <v/>
      </c>
      <c r="V630" s="37" t="str">
        <f aca="false">IF(Q630="","",IFERROR(INDEX(Settings!$I$11:$I$15,MATCH(Q630,Settings!$H$11:$H$15,0)),"No"))</f>
        <v/>
      </c>
      <c r="W630" s="37" t="str">
        <f aca="false">IF(Q630="","",IFERROR(INDEX(Settings!$J$11:$J$15,MATCH(Q630,Settings!$H$11:$H$15,0)),"No"))</f>
        <v/>
      </c>
    </row>
    <row r="631" customFormat="false" ht="15" hidden="false" customHeight="false" outlineLevel="0" collapsed="false">
      <c r="A631" s="30"/>
      <c r="B631" s="25"/>
      <c r="C631" s="25"/>
      <c r="D631" s="25"/>
      <c r="E631" s="25"/>
      <c r="F631" s="25"/>
      <c r="G631" s="25"/>
      <c r="H631" s="31"/>
      <c r="I631" s="32"/>
      <c r="J631" s="33"/>
      <c r="K631" s="34" t="str">
        <f aca="false">IF(OR(H631="",I631=""),"",H631*I631*(1-N(J631)))</f>
        <v/>
      </c>
      <c r="L631" s="32"/>
      <c r="M631" s="34" t="str">
        <f aca="false">IF(OR(H631="",L631=""),"",H631*L631)</f>
        <v/>
      </c>
      <c r="N631" s="34" t="str">
        <f aca="false">IF(OR(K631="",M631=""),"",K631-M631)</f>
        <v/>
      </c>
      <c r="O631" s="35" t="str">
        <f aca="false">IF(OR(N631="",K631=""),"",IF(K631=0,"",N631/K631))</f>
        <v/>
      </c>
      <c r="P631" s="25"/>
      <c r="Q631" s="25"/>
      <c r="R631" s="25"/>
      <c r="S631" s="36" t="str">
        <f aca="false">IF(A631="","",YEAR(A631)+IF(AND(FYStart&gt;1,MONTH(A631)&gt;=FYStart),1,0))</f>
        <v/>
      </c>
      <c r="T631" s="36" t="str">
        <f aca="false">IF(A631="","",MOD(MONTH(A631)-FYStart,12)+1)</f>
        <v/>
      </c>
      <c r="U631" s="37" t="str">
        <f aca="false">IF(A631="","",TEXT(A631,"mmm"))</f>
        <v/>
      </c>
      <c r="V631" s="37" t="str">
        <f aca="false">IF(Q631="","",IFERROR(INDEX(Settings!$I$11:$I$15,MATCH(Q631,Settings!$H$11:$H$15,0)),"No"))</f>
        <v/>
      </c>
      <c r="W631" s="37" t="str">
        <f aca="false">IF(Q631="","",IFERROR(INDEX(Settings!$J$11:$J$15,MATCH(Q631,Settings!$H$11:$H$15,0)),"No"))</f>
        <v/>
      </c>
    </row>
    <row r="632" customFormat="false" ht="15" hidden="false" customHeight="false" outlineLevel="0" collapsed="false">
      <c r="A632" s="30"/>
      <c r="B632" s="25"/>
      <c r="C632" s="25"/>
      <c r="D632" s="25"/>
      <c r="E632" s="25"/>
      <c r="F632" s="25"/>
      <c r="G632" s="25"/>
      <c r="H632" s="31"/>
      <c r="I632" s="32"/>
      <c r="J632" s="33"/>
      <c r="K632" s="34" t="str">
        <f aca="false">IF(OR(H632="",I632=""),"",H632*I632*(1-N(J632)))</f>
        <v/>
      </c>
      <c r="L632" s="32"/>
      <c r="M632" s="34" t="str">
        <f aca="false">IF(OR(H632="",L632=""),"",H632*L632)</f>
        <v/>
      </c>
      <c r="N632" s="34" t="str">
        <f aca="false">IF(OR(K632="",M632=""),"",K632-M632)</f>
        <v/>
      </c>
      <c r="O632" s="35" t="str">
        <f aca="false">IF(OR(N632="",K632=""),"",IF(K632=0,"",N632/K632))</f>
        <v/>
      </c>
      <c r="P632" s="25"/>
      <c r="Q632" s="25"/>
      <c r="R632" s="25"/>
      <c r="S632" s="36" t="str">
        <f aca="false">IF(A632="","",YEAR(A632)+IF(AND(FYStart&gt;1,MONTH(A632)&gt;=FYStart),1,0))</f>
        <v/>
      </c>
      <c r="T632" s="36" t="str">
        <f aca="false">IF(A632="","",MOD(MONTH(A632)-FYStart,12)+1)</f>
        <v/>
      </c>
      <c r="U632" s="37" t="str">
        <f aca="false">IF(A632="","",TEXT(A632,"mmm"))</f>
        <v/>
      </c>
      <c r="V632" s="37" t="str">
        <f aca="false">IF(Q632="","",IFERROR(INDEX(Settings!$I$11:$I$15,MATCH(Q632,Settings!$H$11:$H$15,0)),"No"))</f>
        <v/>
      </c>
      <c r="W632" s="37" t="str">
        <f aca="false">IF(Q632="","",IFERROR(INDEX(Settings!$J$11:$J$15,MATCH(Q632,Settings!$H$11:$H$15,0)),"No"))</f>
        <v/>
      </c>
    </row>
    <row r="633" customFormat="false" ht="15" hidden="false" customHeight="false" outlineLevel="0" collapsed="false">
      <c r="A633" s="30"/>
      <c r="B633" s="25"/>
      <c r="C633" s="25"/>
      <c r="D633" s="25"/>
      <c r="E633" s="25"/>
      <c r="F633" s="25"/>
      <c r="G633" s="25"/>
      <c r="H633" s="31"/>
      <c r="I633" s="32"/>
      <c r="J633" s="33"/>
      <c r="K633" s="34" t="str">
        <f aca="false">IF(OR(H633="",I633=""),"",H633*I633*(1-N(J633)))</f>
        <v/>
      </c>
      <c r="L633" s="32"/>
      <c r="M633" s="34" t="str">
        <f aca="false">IF(OR(H633="",L633=""),"",H633*L633)</f>
        <v/>
      </c>
      <c r="N633" s="34" t="str">
        <f aca="false">IF(OR(K633="",M633=""),"",K633-M633)</f>
        <v/>
      </c>
      <c r="O633" s="35" t="str">
        <f aca="false">IF(OR(N633="",K633=""),"",IF(K633=0,"",N633/K633))</f>
        <v/>
      </c>
      <c r="P633" s="25"/>
      <c r="Q633" s="25"/>
      <c r="R633" s="25"/>
      <c r="S633" s="36" t="str">
        <f aca="false">IF(A633="","",YEAR(A633)+IF(AND(FYStart&gt;1,MONTH(A633)&gt;=FYStart),1,0))</f>
        <v/>
      </c>
      <c r="T633" s="36" t="str">
        <f aca="false">IF(A633="","",MOD(MONTH(A633)-FYStart,12)+1)</f>
        <v/>
      </c>
      <c r="U633" s="37" t="str">
        <f aca="false">IF(A633="","",TEXT(A633,"mmm"))</f>
        <v/>
      </c>
      <c r="V633" s="37" t="str">
        <f aca="false">IF(Q633="","",IFERROR(INDEX(Settings!$I$11:$I$15,MATCH(Q633,Settings!$H$11:$H$15,0)),"No"))</f>
        <v/>
      </c>
      <c r="W633" s="37" t="str">
        <f aca="false">IF(Q633="","",IFERROR(INDEX(Settings!$J$11:$J$15,MATCH(Q633,Settings!$H$11:$H$15,0)),"No"))</f>
        <v/>
      </c>
    </row>
    <row r="634" customFormat="false" ht="15" hidden="false" customHeight="false" outlineLevel="0" collapsed="false">
      <c r="A634" s="30"/>
      <c r="B634" s="25"/>
      <c r="C634" s="25"/>
      <c r="D634" s="25"/>
      <c r="E634" s="25"/>
      <c r="F634" s="25"/>
      <c r="G634" s="25"/>
      <c r="H634" s="31"/>
      <c r="I634" s="32"/>
      <c r="J634" s="33"/>
      <c r="K634" s="34" t="str">
        <f aca="false">IF(OR(H634="",I634=""),"",H634*I634*(1-N(J634)))</f>
        <v/>
      </c>
      <c r="L634" s="32"/>
      <c r="M634" s="34" t="str">
        <f aca="false">IF(OR(H634="",L634=""),"",H634*L634)</f>
        <v/>
      </c>
      <c r="N634" s="34" t="str">
        <f aca="false">IF(OR(K634="",M634=""),"",K634-M634)</f>
        <v/>
      </c>
      <c r="O634" s="35" t="str">
        <f aca="false">IF(OR(N634="",K634=""),"",IF(K634=0,"",N634/K634))</f>
        <v/>
      </c>
      <c r="P634" s="25"/>
      <c r="Q634" s="25"/>
      <c r="R634" s="25"/>
      <c r="S634" s="36" t="str">
        <f aca="false">IF(A634="","",YEAR(A634)+IF(AND(FYStart&gt;1,MONTH(A634)&gt;=FYStart),1,0))</f>
        <v/>
      </c>
      <c r="T634" s="36" t="str">
        <f aca="false">IF(A634="","",MOD(MONTH(A634)-FYStart,12)+1)</f>
        <v/>
      </c>
      <c r="U634" s="37" t="str">
        <f aca="false">IF(A634="","",TEXT(A634,"mmm"))</f>
        <v/>
      </c>
      <c r="V634" s="37" t="str">
        <f aca="false">IF(Q634="","",IFERROR(INDEX(Settings!$I$11:$I$15,MATCH(Q634,Settings!$H$11:$H$15,0)),"No"))</f>
        <v/>
      </c>
      <c r="W634" s="37" t="str">
        <f aca="false">IF(Q634="","",IFERROR(INDEX(Settings!$J$11:$J$15,MATCH(Q634,Settings!$H$11:$H$15,0)),"No"))</f>
        <v/>
      </c>
    </row>
    <row r="635" customFormat="false" ht="15" hidden="false" customHeight="false" outlineLevel="0" collapsed="false">
      <c r="A635" s="30"/>
      <c r="B635" s="25"/>
      <c r="C635" s="25"/>
      <c r="D635" s="25"/>
      <c r="E635" s="25"/>
      <c r="F635" s="25"/>
      <c r="G635" s="25"/>
      <c r="H635" s="31"/>
      <c r="I635" s="32"/>
      <c r="J635" s="33"/>
      <c r="K635" s="34" t="str">
        <f aca="false">IF(OR(H635="",I635=""),"",H635*I635*(1-N(J635)))</f>
        <v/>
      </c>
      <c r="L635" s="32"/>
      <c r="M635" s="34" t="str">
        <f aca="false">IF(OR(H635="",L635=""),"",H635*L635)</f>
        <v/>
      </c>
      <c r="N635" s="34" t="str">
        <f aca="false">IF(OR(K635="",M635=""),"",K635-M635)</f>
        <v/>
      </c>
      <c r="O635" s="35" t="str">
        <f aca="false">IF(OR(N635="",K635=""),"",IF(K635=0,"",N635/K635))</f>
        <v/>
      </c>
      <c r="P635" s="25"/>
      <c r="Q635" s="25"/>
      <c r="R635" s="25"/>
      <c r="S635" s="36" t="str">
        <f aca="false">IF(A635="","",YEAR(A635)+IF(AND(FYStart&gt;1,MONTH(A635)&gt;=FYStart),1,0))</f>
        <v/>
      </c>
      <c r="T635" s="36" t="str">
        <f aca="false">IF(A635="","",MOD(MONTH(A635)-FYStart,12)+1)</f>
        <v/>
      </c>
      <c r="U635" s="37" t="str">
        <f aca="false">IF(A635="","",TEXT(A635,"mmm"))</f>
        <v/>
      </c>
      <c r="V635" s="37" t="str">
        <f aca="false">IF(Q635="","",IFERROR(INDEX(Settings!$I$11:$I$15,MATCH(Q635,Settings!$H$11:$H$15,0)),"No"))</f>
        <v/>
      </c>
      <c r="W635" s="37" t="str">
        <f aca="false">IF(Q635="","",IFERROR(INDEX(Settings!$J$11:$J$15,MATCH(Q635,Settings!$H$11:$H$15,0)),"No"))</f>
        <v/>
      </c>
    </row>
    <row r="636" customFormat="false" ht="15" hidden="false" customHeight="false" outlineLevel="0" collapsed="false">
      <c r="A636" s="30"/>
      <c r="B636" s="25"/>
      <c r="C636" s="25"/>
      <c r="D636" s="25"/>
      <c r="E636" s="25"/>
      <c r="F636" s="25"/>
      <c r="G636" s="25"/>
      <c r="H636" s="31"/>
      <c r="I636" s="32"/>
      <c r="J636" s="33"/>
      <c r="K636" s="34" t="str">
        <f aca="false">IF(OR(H636="",I636=""),"",H636*I636*(1-N(J636)))</f>
        <v/>
      </c>
      <c r="L636" s="32"/>
      <c r="M636" s="34" t="str">
        <f aca="false">IF(OR(H636="",L636=""),"",H636*L636)</f>
        <v/>
      </c>
      <c r="N636" s="34" t="str">
        <f aca="false">IF(OR(K636="",M636=""),"",K636-M636)</f>
        <v/>
      </c>
      <c r="O636" s="35" t="str">
        <f aca="false">IF(OR(N636="",K636=""),"",IF(K636=0,"",N636/K636))</f>
        <v/>
      </c>
      <c r="P636" s="25"/>
      <c r="Q636" s="25"/>
      <c r="R636" s="25"/>
      <c r="S636" s="36" t="str">
        <f aca="false">IF(A636="","",YEAR(A636)+IF(AND(FYStart&gt;1,MONTH(A636)&gt;=FYStart),1,0))</f>
        <v/>
      </c>
      <c r="T636" s="36" t="str">
        <f aca="false">IF(A636="","",MOD(MONTH(A636)-FYStart,12)+1)</f>
        <v/>
      </c>
      <c r="U636" s="37" t="str">
        <f aca="false">IF(A636="","",TEXT(A636,"mmm"))</f>
        <v/>
      </c>
      <c r="V636" s="37" t="str">
        <f aca="false">IF(Q636="","",IFERROR(INDEX(Settings!$I$11:$I$15,MATCH(Q636,Settings!$H$11:$H$15,0)),"No"))</f>
        <v/>
      </c>
      <c r="W636" s="37" t="str">
        <f aca="false">IF(Q636="","",IFERROR(INDEX(Settings!$J$11:$J$15,MATCH(Q636,Settings!$H$11:$H$15,0)),"No"))</f>
        <v/>
      </c>
    </row>
    <row r="637" customFormat="false" ht="15" hidden="false" customHeight="false" outlineLevel="0" collapsed="false">
      <c r="A637" s="30"/>
      <c r="B637" s="25"/>
      <c r="C637" s="25"/>
      <c r="D637" s="25"/>
      <c r="E637" s="25"/>
      <c r="F637" s="25"/>
      <c r="G637" s="25"/>
      <c r="H637" s="31"/>
      <c r="I637" s="32"/>
      <c r="J637" s="33"/>
      <c r="K637" s="34" t="str">
        <f aca="false">IF(OR(H637="",I637=""),"",H637*I637*(1-N(J637)))</f>
        <v/>
      </c>
      <c r="L637" s="32"/>
      <c r="M637" s="34" t="str">
        <f aca="false">IF(OR(H637="",L637=""),"",H637*L637)</f>
        <v/>
      </c>
      <c r="N637" s="34" t="str">
        <f aca="false">IF(OR(K637="",M637=""),"",K637-M637)</f>
        <v/>
      </c>
      <c r="O637" s="35" t="str">
        <f aca="false">IF(OR(N637="",K637=""),"",IF(K637=0,"",N637/K637))</f>
        <v/>
      </c>
      <c r="P637" s="25"/>
      <c r="Q637" s="25"/>
      <c r="R637" s="25"/>
      <c r="S637" s="36" t="str">
        <f aca="false">IF(A637="","",YEAR(A637)+IF(AND(FYStart&gt;1,MONTH(A637)&gt;=FYStart),1,0))</f>
        <v/>
      </c>
      <c r="T637" s="36" t="str">
        <f aca="false">IF(A637="","",MOD(MONTH(A637)-FYStart,12)+1)</f>
        <v/>
      </c>
      <c r="U637" s="37" t="str">
        <f aca="false">IF(A637="","",TEXT(A637,"mmm"))</f>
        <v/>
      </c>
      <c r="V637" s="37" t="str">
        <f aca="false">IF(Q637="","",IFERROR(INDEX(Settings!$I$11:$I$15,MATCH(Q637,Settings!$H$11:$H$15,0)),"No"))</f>
        <v/>
      </c>
      <c r="W637" s="37" t="str">
        <f aca="false">IF(Q637="","",IFERROR(INDEX(Settings!$J$11:$J$15,MATCH(Q637,Settings!$H$11:$H$15,0)),"No"))</f>
        <v/>
      </c>
    </row>
    <row r="638" customFormat="false" ht="15" hidden="false" customHeight="false" outlineLevel="0" collapsed="false">
      <c r="A638" s="30"/>
      <c r="B638" s="25"/>
      <c r="C638" s="25"/>
      <c r="D638" s="25"/>
      <c r="E638" s="25"/>
      <c r="F638" s="25"/>
      <c r="G638" s="25"/>
      <c r="H638" s="31"/>
      <c r="I638" s="32"/>
      <c r="J638" s="33"/>
      <c r="K638" s="34" t="str">
        <f aca="false">IF(OR(H638="",I638=""),"",H638*I638*(1-N(J638)))</f>
        <v/>
      </c>
      <c r="L638" s="32"/>
      <c r="M638" s="34" t="str">
        <f aca="false">IF(OR(H638="",L638=""),"",H638*L638)</f>
        <v/>
      </c>
      <c r="N638" s="34" t="str">
        <f aca="false">IF(OR(K638="",M638=""),"",K638-M638)</f>
        <v/>
      </c>
      <c r="O638" s="35" t="str">
        <f aca="false">IF(OR(N638="",K638=""),"",IF(K638=0,"",N638/K638))</f>
        <v/>
      </c>
      <c r="P638" s="25"/>
      <c r="Q638" s="25"/>
      <c r="R638" s="25"/>
      <c r="S638" s="36" t="str">
        <f aca="false">IF(A638="","",YEAR(A638)+IF(AND(FYStart&gt;1,MONTH(A638)&gt;=FYStart),1,0))</f>
        <v/>
      </c>
      <c r="T638" s="36" t="str">
        <f aca="false">IF(A638="","",MOD(MONTH(A638)-FYStart,12)+1)</f>
        <v/>
      </c>
      <c r="U638" s="37" t="str">
        <f aca="false">IF(A638="","",TEXT(A638,"mmm"))</f>
        <v/>
      </c>
      <c r="V638" s="37" t="str">
        <f aca="false">IF(Q638="","",IFERROR(INDEX(Settings!$I$11:$I$15,MATCH(Q638,Settings!$H$11:$H$15,0)),"No"))</f>
        <v/>
      </c>
      <c r="W638" s="37" t="str">
        <f aca="false">IF(Q638="","",IFERROR(INDEX(Settings!$J$11:$J$15,MATCH(Q638,Settings!$H$11:$H$15,0)),"No"))</f>
        <v/>
      </c>
    </row>
    <row r="639" customFormat="false" ht="15" hidden="false" customHeight="false" outlineLevel="0" collapsed="false">
      <c r="A639" s="30"/>
      <c r="B639" s="25"/>
      <c r="C639" s="25"/>
      <c r="D639" s="25"/>
      <c r="E639" s="25"/>
      <c r="F639" s="25"/>
      <c r="G639" s="25"/>
      <c r="H639" s="31"/>
      <c r="I639" s="32"/>
      <c r="J639" s="33"/>
      <c r="K639" s="34" t="str">
        <f aca="false">IF(OR(H639="",I639=""),"",H639*I639*(1-N(J639)))</f>
        <v/>
      </c>
      <c r="L639" s="32"/>
      <c r="M639" s="34" t="str">
        <f aca="false">IF(OR(H639="",L639=""),"",H639*L639)</f>
        <v/>
      </c>
      <c r="N639" s="34" t="str">
        <f aca="false">IF(OR(K639="",M639=""),"",K639-M639)</f>
        <v/>
      </c>
      <c r="O639" s="35" t="str">
        <f aca="false">IF(OR(N639="",K639=""),"",IF(K639=0,"",N639/K639))</f>
        <v/>
      </c>
      <c r="P639" s="25"/>
      <c r="Q639" s="25"/>
      <c r="R639" s="25"/>
      <c r="S639" s="36" t="str">
        <f aca="false">IF(A639="","",YEAR(A639)+IF(AND(FYStart&gt;1,MONTH(A639)&gt;=FYStart),1,0))</f>
        <v/>
      </c>
      <c r="T639" s="36" t="str">
        <f aca="false">IF(A639="","",MOD(MONTH(A639)-FYStart,12)+1)</f>
        <v/>
      </c>
      <c r="U639" s="37" t="str">
        <f aca="false">IF(A639="","",TEXT(A639,"mmm"))</f>
        <v/>
      </c>
      <c r="V639" s="37" t="str">
        <f aca="false">IF(Q639="","",IFERROR(INDEX(Settings!$I$11:$I$15,MATCH(Q639,Settings!$H$11:$H$15,0)),"No"))</f>
        <v/>
      </c>
      <c r="W639" s="37" t="str">
        <f aca="false">IF(Q639="","",IFERROR(INDEX(Settings!$J$11:$J$15,MATCH(Q639,Settings!$H$11:$H$15,0)),"No"))</f>
        <v/>
      </c>
    </row>
    <row r="640" customFormat="false" ht="15" hidden="false" customHeight="false" outlineLevel="0" collapsed="false">
      <c r="A640" s="30"/>
      <c r="B640" s="25"/>
      <c r="C640" s="25"/>
      <c r="D640" s="25"/>
      <c r="E640" s="25"/>
      <c r="F640" s="25"/>
      <c r="G640" s="25"/>
      <c r="H640" s="31"/>
      <c r="I640" s="32"/>
      <c r="J640" s="33"/>
      <c r="K640" s="34" t="str">
        <f aca="false">IF(OR(H640="",I640=""),"",H640*I640*(1-N(J640)))</f>
        <v/>
      </c>
      <c r="L640" s="32"/>
      <c r="M640" s="34" t="str">
        <f aca="false">IF(OR(H640="",L640=""),"",H640*L640)</f>
        <v/>
      </c>
      <c r="N640" s="34" t="str">
        <f aca="false">IF(OR(K640="",M640=""),"",K640-M640)</f>
        <v/>
      </c>
      <c r="O640" s="35" t="str">
        <f aca="false">IF(OR(N640="",K640=""),"",IF(K640=0,"",N640/K640))</f>
        <v/>
      </c>
      <c r="P640" s="25"/>
      <c r="Q640" s="25"/>
      <c r="R640" s="25"/>
      <c r="S640" s="36" t="str">
        <f aca="false">IF(A640="","",YEAR(A640)+IF(AND(FYStart&gt;1,MONTH(A640)&gt;=FYStart),1,0))</f>
        <v/>
      </c>
      <c r="T640" s="36" t="str">
        <f aca="false">IF(A640="","",MOD(MONTH(A640)-FYStart,12)+1)</f>
        <v/>
      </c>
      <c r="U640" s="37" t="str">
        <f aca="false">IF(A640="","",TEXT(A640,"mmm"))</f>
        <v/>
      </c>
      <c r="V640" s="37" t="str">
        <f aca="false">IF(Q640="","",IFERROR(INDEX(Settings!$I$11:$I$15,MATCH(Q640,Settings!$H$11:$H$15,0)),"No"))</f>
        <v/>
      </c>
      <c r="W640" s="37" t="str">
        <f aca="false">IF(Q640="","",IFERROR(INDEX(Settings!$J$11:$J$15,MATCH(Q640,Settings!$H$11:$H$15,0)),"No"))</f>
        <v/>
      </c>
    </row>
    <row r="641" customFormat="false" ht="15" hidden="false" customHeight="false" outlineLevel="0" collapsed="false">
      <c r="A641" s="30"/>
      <c r="B641" s="25"/>
      <c r="C641" s="25"/>
      <c r="D641" s="25"/>
      <c r="E641" s="25"/>
      <c r="F641" s="25"/>
      <c r="G641" s="25"/>
      <c r="H641" s="31"/>
      <c r="I641" s="32"/>
      <c r="J641" s="33"/>
      <c r="K641" s="34" t="str">
        <f aca="false">IF(OR(H641="",I641=""),"",H641*I641*(1-N(J641)))</f>
        <v/>
      </c>
      <c r="L641" s="32"/>
      <c r="M641" s="34" t="str">
        <f aca="false">IF(OR(H641="",L641=""),"",H641*L641)</f>
        <v/>
      </c>
      <c r="N641" s="34" t="str">
        <f aca="false">IF(OR(K641="",M641=""),"",K641-M641)</f>
        <v/>
      </c>
      <c r="O641" s="35" t="str">
        <f aca="false">IF(OR(N641="",K641=""),"",IF(K641=0,"",N641/K641))</f>
        <v/>
      </c>
      <c r="P641" s="25"/>
      <c r="Q641" s="25"/>
      <c r="R641" s="25"/>
      <c r="S641" s="36" t="str">
        <f aca="false">IF(A641="","",YEAR(A641)+IF(AND(FYStart&gt;1,MONTH(A641)&gt;=FYStart),1,0))</f>
        <v/>
      </c>
      <c r="T641" s="36" t="str">
        <f aca="false">IF(A641="","",MOD(MONTH(A641)-FYStart,12)+1)</f>
        <v/>
      </c>
      <c r="U641" s="37" t="str">
        <f aca="false">IF(A641="","",TEXT(A641,"mmm"))</f>
        <v/>
      </c>
      <c r="V641" s="37" t="str">
        <f aca="false">IF(Q641="","",IFERROR(INDEX(Settings!$I$11:$I$15,MATCH(Q641,Settings!$H$11:$H$15,0)),"No"))</f>
        <v/>
      </c>
      <c r="W641" s="37" t="str">
        <f aca="false">IF(Q641="","",IFERROR(INDEX(Settings!$J$11:$J$15,MATCH(Q641,Settings!$H$11:$H$15,0)),"No"))</f>
        <v/>
      </c>
    </row>
    <row r="642" customFormat="false" ht="15" hidden="false" customHeight="false" outlineLevel="0" collapsed="false">
      <c r="A642" s="30"/>
      <c r="B642" s="25"/>
      <c r="C642" s="25"/>
      <c r="D642" s="25"/>
      <c r="E642" s="25"/>
      <c r="F642" s="25"/>
      <c r="G642" s="25"/>
      <c r="H642" s="31"/>
      <c r="I642" s="32"/>
      <c r="J642" s="33"/>
      <c r="K642" s="34" t="str">
        <f aca="false">IF(OR(H642="",I642=""),"",H642*I642*(1-N(J642)))</f>
        <v/>
      </c>
      <c r="L642" s="32"/>
      <c r="M642" s="34" t="str">
        <f aca="false">IF(OR(H642="",L642=""),"",H642*L642)</f>
        <v/>
      </c>
      <c r="N642" s="34" t="str">
        <f aca="false">IF(OR(K642="",M642=""),"",K642-M642)</f>
        <v/>
      </c>
      <c r="O642" s="35" t="str">
        <f aca="false">IF(OR(N642="",K642=""),"",IF(K642=0,"",N642/K642))</f>
        <v/>
      </c>
      <c r="P642" s="25"/>
      <c r="Q642" s="25"/>
      <c r="R642" s="25"/>
      <c r="S642" s="36" t="str">
        <f aca="false">IF(A642="","",YEAR(A642)+IF(AND(FYStart&gt;1,MONTH(A642)&gt;=FYStart),1,0))</f>
        <v/>
      </c>
      <c r="T642" s="36" t="str">
        <f aca="false">IF(A642="","",MOD(MONTH(A642)-FYStart,12)+1)</f>
        <v/>
      </c>
      <c r="U642" s="37" t="str">
        <f aca="false">IF(A642="","",TEXT(A642,"mmm"))</f>
        <v/>
      </c>
      <c r="V642" s="37" t="str">
        <f aca="false">IF(Q642="","",IFERROR(INDEX(Settings!$I$11:$I$15,MATCH(Q642,Settings!$H$11:$H$15,0)),"No"))</f>
        <v/>
      </c>
      <c r="W642" s="37" t="str">
        <f aca="false">IF(Q642="","",IFERROR(INDEX(Settings!$J$11:$J$15,MATCH(Q642,Settings!$H$11:$H$15,0)),"No"))</f>
        <v/>
      </c>
    </row>
    <row r="643" customFormat="false" ht="15" hidden="false" customHeight="false" outlineLevel="0" collapsed="false">
      <c r="A643" s="30"/>
      <c r="B643" s="25"/>
      <c r="C643" s="25"/>
      <c r="D643" s="25"/>
      <c r="E643" s="25"/>
      <c r="F643" s="25"/>
      <c r="G643" s="25"/>
      <c r="H643" s="31"/>
      <c r="I643" s="32"/>
      <c r="J643" s="33"/>
      <c r="K643" s="34" t="str">
        <f aca="false">IF(OR(H643="",I643=""),"",H643*I643*(1-N(J643)))</f>
        <v/>
      </c>
      <c r="L643" s="32"/>
      <c r="M643" s="34" t="str">
        <f aca="false">IF(OR(H643="",L643=""),"",H643*L643)</f>
        <v/>
      </c>
      <c r="N643" s="34" t="str">
        <f aca="false">IF(OR(K643="",M643=""),"",K643-M643)</f>
        <v/>
      </c>
      <c r="O643" s="35" t="str">
        <f aca="false">IF(OR(N643="",K643=""),"",IF(K643=0,"",N643/K643))</f>
        <v/>
      </c>
      <c r="P643" s="25"/>
      <c r="Q643" s="25"/>
      <c r="R643" s="25"/>
      <c r="S643" s="36" t="str">
        <f aca="false">IF(A643="","",YEAR(A643)+IF(AND(FYStart&gt;1,MONTH(A643)&gt;=FYStart),1,0))</f>
        <v/>
      </c>
      <c r="T643" s="36" t="str">
        <f aca="false">IF(A643="","",MOD(MONTH(A643)-FYStart,12)+1)</f>
        <v/>
      </c>
      <c r="U643" s="37" t="str">
        <f aca="false">IF(A643="","",TEXT(A643,"mmm"))</f>
        <v/>
      </c>
      <c r="V643" s="37" t="str">
        <f aca="false">IF(Q643="","",IFERROR(INDEX(Settings!$I$11:$I$15,MATCH(Q643,Settings!$H$11:$H$15,0)),"No"))</f>
        <v/>
      </c>
      <c r="W643" s="37" t="str">
        <f aca="false">IF(Q643="","",IFERROR(INDEX(Settings!$J$11:$J$15,MATCH(Q643,Settings!$H$11:$H$15,0)),"No"))</f>
        <v/>
      </c>
    </row>
    <row r="644" customFormat="false" ht="15" hidden="false" customHeight="false" outlineLevel="0" collapsed="false">
      <c r="A644" s="30"/>
      <c r="B644" s="25"/>
      <c r="C644" s="25"/>
      <c r="D644" s="25"/>
      <c r="E644" s="25"/>
      <c r="F644" s="25"/>
      <c r="G644" s="25"/>
      <c r="H644" s="31"/>
      <c r="I644" s="32"/>
      <c r="J644" s="33"/>
      <c r="K644" s="34" t="str">
        <f aca="false">IF(OR(H644="",I644=""),"",H644*I644*(1-N(J644)))</f>
        <v/>
      </c>
      <c r="L644" s="32"/>
      <c r="M644" s="34" t="str">
        <f aca="false">IF(OR(H644="",L644=""),"",H644*L644)</f>
        <v/>
      </c>
      <c r="N644" s="34" t="str">
        <f aca="false">IF(OR(K644="",M644=""),"",K644-M644)</f>
        <v/>
      </c>
      <c r="O644" s="35" t="str">
        <f aca="false">IF(OR(N644="",K644=""),"",IF(K644=0,"",N644/K644))</f>
        <v/>
      </c>
      <c r="P644" s="25"/>
      <c r="Q644" s="25"/>
      <c r="R644" s="25"/>
      <c r="S644" s="36" t="str">
        <f aca="false">IF(A644="","",YEAR(A644)+IF(AND(FYStart&gt;1,MONTH(A644)&gt;=FYStart),1,0))</f>
        <v/>
      </c>
      <c r="T644" s="36" t="str">
        <f aca="false">IF(A644="","",MOD(MONTH(A644)-FYStart,12)+1)</f>
        <v/>
      </c>
      <c r="U644" s="37" t="str">
        <f aca="false">IF(A644="","",TEXT(A644,"mmm"))</f>
        <v/>
      </c>
      <c r="V644" s="37" t="str">
        <f aca="false">IF(Q644="","",IFERROR(INDEX(Settings!$I$11:$I$15,MATCH(Q644,Settings!$H$11:$H$15,0)),"No"))</f>
        <v/>
      </c>
      <c r="W644" s="37" t="str">
        <f aca="false">IF(Q644="","",IFERROR(INDEX(Settings!$J$11:$J$15,MATCH(Q644,Settings!$H$11:$H$15,0)),"No"))</f>
        <v/>
      </c>
    </row>
    <row r="645" customFormat="false" ht="15" hidden="false" customHeight="false" outlineLevel="0" collapsed="false">
      <c r="A645" s="30"/>
      <c r="B645" s="25"/>
      <c r="C645" s="25"/>
      <c r="D645" s="25"/>
      <c r="E645" s="25"/>
      <c r="F645" s="25"/>
      <c r="G645" s="25"/>
      <c r="H645" s="31"/>
      <c r="I645" s="32"/>
      <c r="J645" s="33"/>
      <c r="K645" s="34" t="str">
        <f aca="false">IF(OR(H645="",I645=""),"",H645*I645*(1-N(J645)))</f>
        <v/>
      </c>
      <c r="L645" s="32"/>
      <c r="M645" s="34" t="str">
        <f aca="false">IF(OR(H645="",L645=""),"",H645*L645)</f>
        <v/>
      </c>
      <c r="N645" s="34" t="str">
        <f aca="false">IF(OR(K645="",M645=""),"",K645-M645)</f>
        <v/>
      </c>
      <c r="O645" s="35" t="str">
        <f aca="false">IF(OR(N645="",K645=""),"",IF(K645=0,"",N645/K645))</f>
        <v/>
      </c>
      <c r="P645" s="25"/>
      <c r="Q645" s="25"/>
      <c r="R645" s="25"/>
      <c r="S645" s="36" t="str">
        <f aca="false">IF(A645="","",YEAR(A645)+IF(AND(FYStart&gt;1,MONTH(A645)&gt;=FYStart),1,0))</f>
        <v/>
      </c>
      <c r="T645" s="36" t="str">
        <f aca="false">IF(A645="","",MOD(MONTH(A645)-FYStart,12)+1)</f>
        <v/>
      </c>
      <c r="U645" s="37" t="str">
        <f aca="false">IF(A645="","",TEXT(A645,"mmm"))</f>
        <v/>
      </c>
      <c r="V645" s="37" t="str">
        <f aca="false">IF(Q645="","",IFERROR(INDEX(Settings!$I$11:$I$15,MATCH(Q645,Settings!$H$11:$H$15,0)),"No"))</f>
        <v/>
      </c>
      <c r="W645" s="37" t="str">
        <f aca="false">IF(Q645="","",IFERROR(INDEX(Settings!$J$11:$J$15,MATCH(Q645,Settings!$H$11:$H$15,0)),"No"))</f>
        <v/>
      </c>
    </row>
    <row r="646" customFormat="false" ht="15" hidden="false" customHeight="false" outlineLevel="0" collapsed="false">
      <c r="A646" s="30"/>
      <c r="B646" s="25"/>
      <c r="C646" s="25"/>
      <c r="D646" s="25"/>
      <c r="E646" s="25"/>
      <c r="F646" s="25"/>
      <c r="G646" s="25"/>
      <c r="H646" s="31"/>
      <c r="I646" s="32"/>
      <c r="J646" s="33"/>
      <c r="K646" s="34" t="str">
        <f aca="false">IF(OR(H646="",I646=""),"",H646*I646*(1-N(J646)))</f>
        <v/>
      </c>
      <c r="L646" s="32"/>
      <c r="M646" s="34" t="str">
        <f aca="false">IF(OR(H646="",L646=""),"",H646*L646)</f>
        <v/>
      </c>
      <c r="N646" s="34" t="str">
        <f aca="false">IF(OR(K646="",M646=""),"",K646-M646)</f>
        <v/>
      </c>
      <c r="O646" s="35" t="str">
        <f aca="false">IF(OR(N646="",K646=""),"",IF(K646=0,"",N646/K646))</f>
        <v/>
      </c>
      <c r="P646" s="25"/>
      <c r="Q646" s="25"/>
      <c r="R646" s="25"/>
      <c r="S646" s="36" t="str">
        <f aca="false">IF(A646="","",YEAR(A646)+IF(AND(FYStart&gt;1,MONTH(A646)&gt;=FYStart),1,0))</f>
        <v/>
      </c>
      <c r="T646" s="36" t="str">
        <f aca="false">IF(A646="","",MOD(MONTH(A646)-FYStart,12)+1)</f>
        <v/>
      </c>
      <c r="U646" s="37" t="str">
        <f aca="false">IF(A646="","",TEXT(A646,"mmm"))</f>
        <v/>
      </c>
      <c r="V646" s="37" t="str">
        <f aca="false">IF(Q646="","",IFERROR(INDEX(Settings!$I$11:$I$15,MATCH(Q646,Settings!$H$11:$H$15,0)),"No"))</f>
        <v/>
      </c>
      <c r="W646" s="37" t="str">
        <f aca="false">IF(Q646="","",IFERROR(INDEX(Settings!$J$11:$J$15,MATCH(Q646,Settings!$H$11:$H$15,0)),"No"))</f>
        <v/>
      </c>
    </row>
    <row r="647" customFormat="false" ht="15" hidden="false" customHeight="false" outlineLevel="0" collapsed="false">
      <c r="A647" s="30"/>
      <c r="B647" s="25"/>
      <c r="C647" s="25"/>
      <c r="D647" s="25"/>
      <c r="E647" s="25"/>
      <c r="F647" s="25"/>
      <c r="G647" s="25"/>
      <c r="H647" s="31"/>
      <c r="I647" s="32"/>
      <c r="J647" s="33"/>
      <c r="K647" s="34" t="str">
        <f aca="false">IF(OR(H647="",I647=""),"",H647*I647*(1-N(J647)))</f>
        <v/>
      </c>
      <c r="L647" s="32"/>
      <c r="M647" s="34" t="str">
        <f aca="false">IF(OR(H647="",L647=""),"",H647*L647)</f>
        <v/>
      </c>
      <c r="N647" s="34" t="str">
        <f aca="false">IF(OR(K647="",M647=""),"",K647-M647)</f>
        <v/>
      </c>
      <c r="O647" s="35" t="str">
        <f aca="false">IF(OR(N647="",K647=""),"",IF(K647=0,"",N647/K647))</f>
        <v/>
      </c>
      <c r="P647" s="25"/>
      <c r="Q647" s="25"/>
      <c r="R647" s="25"/>
      <c r="S647" s="36" t="str">
        <f aca="false">IF(A647="","",YEAR(A647)+IF(AND(FYStart&gt;1,MONTH(A647)&gt;=FYStart),1,0))</f>
        <v/>
      </c>
      <c r="T647" s="36" t="str">
        <f aca="false">IF(A647="","",MOD(MONTH(A647)-FYStart,12)+1)</f>
        <v/>
      </c>
      <c r="U647" s="37" t="str">
        <f aca="false">IF(A647="","",TEXT(A647,"mmm"))</f>
        <v/>
      </c>
      <c r="V647" s="37" t="str">
        <f aca="false">IF(Q647="","",IFERROR(INDEX(Settings!$I$11:$I$15,MATCH(Q647,Settings!$H$11:$H$15,0)),"No"))</f>
        <v/>
      </c>
      <c r="W647" s="37" t="str">
        <f aca="false">IF(Q647="","",IFERROR(INDEX(Settings!$J$11:$J$15,MATCH(Q647,Settings!$H$11:$H$15,0)),"No"))</f>
        <v/>
      </c>
    </row>
    <row r="648" customFormat="false" ht="15" hidden="false" customHeight="false" outlineLevel="0" collapsed="false">
      <c r="A648" s="30"/>
      <c r="B648" s="25"/>
      <c r="C648" s="25"/>
      <c r="D648" s="25"/>
      <c r="E648" s="25"/>
      <c r="F648" s="25"/>
      <c r="G648" s="25"/>
      <c r="H648" s="31"/>
      <c r="I648" s="32"/>
      <c r="J648" s="33"/>
      <c r="K648" s="34" t="str">
        <f aca="false">IF(OR(H648="",I648=""),"",H648*I648*(1-N(J648)))</f>
        <v/>
      </c>
      <c r="L648" s="32"/>
      <c r="M648" s="34" t="str">
        <f aca="false">IF(OR(H648="",L648=""),"",H648*L648)</f>
        <v/>
      </c>
      <c r="N648" s="34" t="str">
        <f aca="false">IF(OR(K648="",M648=""),"",K648-M648)</f>
        <v/>
      </c>
      <c r="O648" s="35" t="str">
        <f aca="false">IF(OR(N648="",K648=""),"",IF(K648=0,"",N648/K648))</f>
        <v/>
      </c>
      <c r="P648" s="25"/>
      <c r="Q648" s="25"/>
      <c r="R648" s="25"/>
      <c r="S648" s="36" t="str">
        <f aca="false">IF(A648="","",YEAR(A648)+IF(AND(FYStart&gt;1,MONTH(A648)&gt;=FYStart),1,0))</f>
        <v/>
      </c>
      <c r="T648" s="36" t="str">
        <f aca="false">IF(A648="","",MOD(MONTH(A648)-FYStart,12)+1)</f>
        <v/>
      </c>
      <c r="U648" s="37" t="str">
        <f aca="false">IF(A648="","",TEXT(A648,"mmm"))</f>
        <v/>
      </c>
      <c r="V648" s="37" t="str">
        <f aca="false">IF(Q648="","",IFERROR(INDEX(Settings!$I$11:$I$15,MATCH(Q648,Settings!$H$11:$H$15,0)),"No"))</f>
        <v/>
      </c>
      <c r="W648" s="37" t="str">
        <f aca="false">IF(Q648="","",IFERROR(INDEX(Settings!$J$11:$J$15,MATCH(Q648,Settings!$H$11:$H$15,0)),"No"))</f>
        <v/>
      </c>
    </row>
    <row r="649" customFormat="false" ht="15" hidden="false" customHeight="false" outlineLevel="0" collapsed="false">
      <c r="A649" s="30"/>
      <c r="B649" s="25"/>
      <c r="C649" s="25"/>
      <c r="D649" s="25"/>
      <c r="E649" s="25"/>
      <c r="F649" s="25"/>
      <c r="G649" s="25"/>
      <c r="H649" s="31"/>
      <c r="I649" s="32"/>
      <c r="J649" s="33"/>
      <c r="K649" s="34" t="str">
        <f aca="false">IF(OR(H649="",I649=""),"",H649*I649*(1-N(J649)))</f>
        <v/>
      </c>
      <c r="L649" s="32"/>
      <c r="M649" s="34" t="str">
        <f aca="false">IF(OR(H649="",L649=""),"",H649*L649)</f>
        <v/>
      </c>
      <c r="N649" s="34" t="str">
        <f aca="false">IF(OR(K649="",M649=""),"",K649-M649)</f>
        <v/>
      </c>
      <c r="O649" s="35" t="str">
        <f aca="false">IF(OR(N649="",K649=""),"",IF(K649=0,"",N649/K649))</f>
        <v/>
      </c>
      <c r="P649" s="25"/>
      <c r="Q649" s="25"/>
      <c r="R649" s="25"/>
      <c r="S649" s="36" t="str">
        <f aca="false">IF(A649="","",YEAR(A649)+IF(AND(FYStart&gt;1,MONTH(A649)&gt;=FYStart),1,0))</f>
        <v/>
      </c>
      <c r="T649" s="36" t="str">
        <f aca="false">IF(A649="","",MOD(MONTH(A649)-FYStart,12)+1)</f>
        <v/>
      </c>
      <c r="U649" s="37" t="str">
        <f aca="false">IF(A649="","",TEXT(A649,"mmm"))</f>
        <v/>
      </c>
      <c r="V649" s="37" t="str">
        <f aca="false">IF(Q649="","",IFERROR(INDEX(Settings!$I$11:$I$15,MATCH(Q649,Settings!$H$11:$H$15,0)),"No"))</f>
        <v/>
      </c>
      <c r="W649" s="37" t="str">
        <f aca="false">IF(Q649="","",IFERROR(INDEX(Settings!$J$11:$J$15,MATCH(Q649,Settings!$H$11:$H$15,0)),"No"))</f>
        <v/>
      </c>
    </row>
    <row r="650" customFormat="false" ht="15" hidden="false" customHeight="false" outlineLevel="0" collapsed="false">
      <c r="A650" s="30"/>
      <c r="B650" s="25"/>
      <c r="C650" s="25"/>
      <c r="D650" s="25"/>
      <c r="E650" s="25"/>
      <c r="F650" s="25"/>
      <c r="G650" s="25"/>
      <c r="H650" s="31"/>
      <c r="I650" s="32"/>
      <c r="J650" s="33"/>
      <c r="K650" s="34" t="str">
        <f aca="false">IF(OR(H650="",I650=""),"",H650*I650*(1-N(J650)))</f>
        <v/>
      </c>
      <c r="L650" s="32"/>
      <c r="M650" s="34" t="str">
        <f aca="false">IF(OR(H650="",L650=""),"",H650*L650)</f>
        <v/>
      </c>
      <c r="N650" s="34" t="str">
        <f aca="false">IF(OR(K650="",M650=""),"",K650-M650)</f>
        <v/>
      </c>
      <c r="O650" s="35" t="str">
        <f aca="false">IF(OR(N650="",K650=""),"",IF(K650=0,"",N650/K650))</f>
        <v/>
      </c>
      <c r="P650" s="25"/>
      <c r="Q650" s="25"/>
      <c r="R650" s="25"/>
      <c r="S650" s="36" t="str">
        <f aca="false">IF(A650="","",YEAR(A650)+IF(AND(FYStart&gt;1,MONTH(A650)&gt;=FYStart),1,0))</f>
        <v/>
      </c>
      <c r="T650" s="36" t="str">
        <f aca="false">IF(A650="","",MOD(MONTH(A650)-FYStart,12)+1)</f>
        <v/>
      </c>
      <c r="U650" s="37" t="str">
        <f aca="false">IF(A650="","",TEXT(A650,"mmm"))</f>
        <v/>
      </c>
      <c r="V650" s="37" t="str">
        <f aca="false">IF(Q650="","",IFERROR(INDEX(Settings!$I$11:$I$15,MATCH(Q650,Settings!$H$11:$H$15,0)),"No"))</f>
        <v/>
      </c>
      <c r="W650" s="37" t="str">
        <f aca="false">IF(Q650="","",IFERROR(INDEX(Settings!$J$11:$J$15,MATCH(Q650,Settings!$H$11:$H$15,0)),"No"))</f>
        <v/>
      </c>
    </row>
    <row r="651" customFormat="false" ht="15" hidden="false" customHeight="false" outlineLevel="0" collapsed="false">
      <c r="A651" s="30"/>
      <c r="B651" s="25"/>
      <c r="C651" s="25"/>
      <c r="D651" s="25"/>
      <c r="E651" s="25"/>
      <c r="F651" s="25"/>
      <c r="G651" s="25"/>
      <c r="H651" s="31"/>
      <c r="I651" s="32"/>
      <c r="J651" s="33"/>
      <c r="K651" s="34" t="str">
        <f aca="false">IF(OR(H651="",I651=""),"",H651*I651*(1-N(J651)))</f>
        <v/>
      </c>
      <c r="L651" s="32"/>
      <c r="M651" s="34" t="str">
        <f aca="false">IF(OR(H651="",L651=""),"",H651*L651)</f>
        <v/>
      </c>
      <c r="N651" s="34" t="str">
        <f aca="false">IF(OR(K651="",M651=""),"",K651-M651)</f>
        <v/>
      </c>
      <c r="O651" s="35" t="str">
        <f aca="false">IF(OR(N651="",K651=""),"",IF(K651=0,"",N651/K651))</f>
        <v/>
      </c>
      <c r="P651" s="25"/>
      <c r="Q651" s="25"/>
      <c r="R651" s="25"/>
      <c r="S651" s="36" t="str">
        <f aca="false">IF(A651="","",YEAR(A651)+IF(AND(FYStart&gt;1,MONTH(A651)&gt;=FYStart),1,0))</f>
        <v/>
      </c>
      <c r="T651" s="36" t="str">
        <f aca="false">IF(A651="","",MOD(MONTH(A651)-FYStart,12)+1)</f>
        <v/>
      </c>
      <c r="U651" s="37" t="str">
        <f aca="false">IF(A651="","",TEXT(A651,"mmm"))</f>
        <v/>
      </c>
      <c r="V651" s="37" t="str">
        <f aca="false">IF(Q651="","",IFERROR(INDEX(Settings!$I$11:$I$15,MATCH(Q651,Settings!$H$11:$H$15,0)),"No"))</f>
        <v/>
      </c>
      <c r="W651" s="37" t="str">
        <f aca="false">IF(Q651="","",IFERROR(INDEX(Settings!$J$11:$J$15,MATCH(Q651,Settings!$H$11:$H$15,0)),"No"))</f>
        <v/>
      </c>
    </row>
    <row r="652" customFormat="false" ht="15" hidden="false" customHeight="false" outlineLevel="0" collapsed="false">
      <c r="A652" s="30"/>
      <c r="B652" s="25"/>
      <c r="C652" s="25"/>
      <c r="D652" s="25"/>
      <c r="E652" s="25"/>
      <c r="F652" s="25"/>
      <c r="G652" s="25"/>
      <c r="H652" s="31"/>
      <c r="I652" s="32"/>
      <c r="J652" s="33"/>
      <c r="K652" s="34" t="str">
        <f aca="false">IF(OR(H652="",I652=""),"",H652*I652*(1-N(J652)))</f>
        <v/>
      </c>
      <c r="L652" s="32"/>
      <c r="M652" s="34" t="str">
        <f aca="false">IF(OR(H652="",L652=""),"",H652*L652)</f>
        <v/>
      </c>
      <c r="N652" s="34" t="str">
        <f aca="false">IF(OR(K652="",M652=""),"",K652-M652)</f>
        <v/>
      </c>
      <c r="O652" s="35" t="str">
        <f aca="false">IF(OR(N652="",K652=""),"",IF(K652=0,"",N652/K652))</f>
        <v/>
      </c>
      <c r="P652" s="25"/>
      <c r="Q652" s="25"/>
      <c r="R652" s="25"/>
      <c r="S652" s="36" t="str">
        <f aca="false">IF(A652="","",YEAR(A652)+IF(AND(FYStart&gt;1,MONTH(A652)&gt;=FYStart),1,0))</f>
        <v/>
      </c>
      <c r="T652" s="36" t="str">
        <f aca="false">IF(A652="","",MOD(MONTH(A652)-FYStart,12)+1)</f>
        <v/>
      </c>
      <c r="U652" s="37" t="str">
        <f aca="false">IF(A652="","",TEXT(A652,"mmm"))</f>
        <v/>
      </c>
      <c r="V652" s="37" t="str">
        <f aca="false">IF(Q652="","",IFERROR(INDEX(Settings!$I$11:$I$15,MATCH(Q652,Settings!$H$11:$H$15,0)),"No"))</f>
        <v/>
      </c>
      <c r="W652" s="37" t="str">
        <f aca="false">IF(Q652="","",IFERROR(INDEX(Settings!$J$11:$J$15,MATCH(Q652,Settings!$H$11:$H$15,0)),"No"))</f>
        <v/>
      </c>
    </row>
    <row r="653" customFormat="false" ht="15" hidden="false" customHeight="false" outlineLevel="0" collapsed="false">
      <c r="A653" s="30"/>
      <c r="B653" s="25"/>
      <c r="C653" s="25"/>
      <c r="D653" s="25"/>
      <c r="E653" s="25"/>
      <c r="F653" s="25"/>
      <c r="G653" s="25"/>
      <c r="H653" s="31"/>
      <c r="I653" s="32"/>
      <c r="J653" s="33"/>
      <c r="K653" s="34" t="str">
        <f aca="false">IF(OR(H653="",I653=""),"",H653*I653*(1-N(J653)))</f>
        <v/>
      </c>
      <c r="L653" s="32"/>
      <c r="M653" s="34" t="str">
        <f aca="false">IF(OR(H653="",L653=""),"",H653*L653)</f>
        <v/>
      </c>
      <c r="N653" s="34" t="str">
        <f aca="false">IF(OR(K653="",M653=""),"",K653-M653)</f>
        <v/>
      </c>
      <c r="O653" s="35" t="str">
        <f aca="false">IF(OR(N653="",K653=""),"",IF(K653=0,"",N653/K653))</f>
        <v/>
      </c>
      <c r="P653" s="25"/>
      <c r="Q653" s="25"/>
      <c r="R653" s="25"/>
      <c r="S653" s="36" t="str">
        <f aca="false">IF(A653="","",YEAR(A653)+IF(AND(FYStart&gt;1,MONTH(A653)&gt;=FYStart),1,0))</f>
        <v/>
      </c>
      <c r="T653" s="36" t="str">
        <f aca="false">IF(A653="","",MOD(MONTH(A653)-FYStart,12)+1)</f>
        <v/>
      </c>
      <c r="U653" s="37" t="str">
        <f aca="false">IF(A653="","",TEXT(A653,"mmm"))</f>
        <v/>
      </c>
      <c r="V653" s="37" t="str">
        <f aca="false">IF(Q653="","",IFERROR(INDEX(Settings!$I$11:$I$15,MATCH(Q653,Settings!$H$11:$H$15,0)),"No"))</f>
        <v/>
      </c>
      <c r="W653" s="37" t="str">
        <f aca="false">IF(Q653="","",IFERROR(INDEX(Settings!$J$11:$J$15,MATCH(Q653,Settings!$H$11:$H$15,0)),"No"))</f>
        <v/>
      </c>
    </row>
    <row r="654" customFormat="false" ht="15" hidden="false" customHeight="false" outlineLevel="0" collapsed="false">
      <c r="A654" s="30"/>
      <c r="B654" s="25"/>
      <c r="C654" s="25"/>
      <c r="D654" s="25"/>
      <c r="E654" s="25"/>
      <c r="F654" s="25"/>
      <c r="G654" s="25"/>
      <c r="H654" s="31"/>
      <c r="I654" s="32"/>
      <c r="J654" s="33"/>
      <c r="K654" s="34" t="str">
        <f aca="false">IF(OR(H654="",I654=""),"",H654*I654*(1-N(J654)))</f>
        <v/>
      </c>
      <c r="L654" s="32"/>
      <c r="M654" s="34" t="str">
        <f aca="false">IF(OR(H654="",L654=""),"",H654*L654)</f>
        <v/>
      </c>
      <c r="N654" s="34" t="str">
        <f aca="false">IF(OR(K654="",M654=""),"",K654-M654)</f>
        <v/>
      </c>
      <c r="O654" s="35" t="str">
        <f aca="false">IF(OR(N654="",K654=""),"",IF(K654=0,"",N654/K654))</f>
        <v/>
      </c>
      <c r="P654" s="25"/>
      <c r="Q654" s="25"/>
      <c r="R654" s="25"/>
      <c r="S654" s="36" t="str">
        <f aca="false">IF(A654="","",YEAR(A654)+IF(AND(FYStart&gt;1,MONTH(A654)&gt;=FYStart),1,0))</f>
        <v/>
      </c>
      <c r="T654" s="36" t="str">
        <f aca="false">IF(A654="","",MOD(MONTH(A654)-FYStart,12)+1)</f>
        <v/>
      </c>
      <c r="U654" s="37" t="str">
        <f aca="false">IF(A654="","",TEXT(A654,"mmm"))</f>
        <v/>
      </c>
      <c r="V654" s="37" t="str">
        <f aca="false">IF(Q654="","",IFERROR(INDEX(Settings!$I$11:$I$15,MATCH(Q654,Settings!$H$11:$H$15,0)),"No"))</f>
        <v/>
      </c>
      <c r="W654" s="37" t="str">
        <f aca="false">IF(Q654="","",IFERROR(INDEX(Settings!$J$11:$J$15,MATCH(Q654,Settings!$H$11:$H$15,0)),"No"))</f>
        <v/>
      </c>
    </row>
    <row r="655" customFormat="false" ht="15" hidden="false" customHeight="false" outlineLevel="0" collapsed="false">
      <c r="A655" s="30"/>
      <c r="B655" s="25"/>
      <c r="C655" s="25"/>
      <c r="D655" s="25"/>
      <c r="E655" s="25"/>
      <c r="F655" s="25"/>
      <c r="G655" s="25"/>
      <c r="H655" s="31"/>
      <c r="I655" s="32"/>
      <c r="J655" s="33"/>
      <c r="K655" s="34" t="str">
        <f aca="false">IF(OR(H655="",I655=""),"",H655*I655*(1-N(J655)))</f>
        <v/>
      </c>
      <c r="L655" s="32"/>
      <c r="M655" s="34" t="str">
        <f aca="false">IF(OR(H655="",L655=""),"",H655*L655)</f>
        <v/>
      </c>
      <c r="N655" s="34" t="str">
        <f aca="false">IF(OR(K655="",M655=""),"",K655-M655)</f>
        <v/>
      </c>
      <c r="O655" s="35" t="str">
        <f aca="false">IF(OR(N655="",K655=""),"",IF(K655=0,"",N655/K655))</f>
        <v/>
      </c>
      <c r="P655" s="25"/>
      <c r="Q655" s="25"/>
      <c r="R655" s="25"/>
      <c r="S655" s="36" t="str">
        <f aca="false">IF(A655="","",YEAR(A655)+IF(AND(FYStart&gt;1,MONTH(A655)&gt;=FYStart),1,0))</f>
        <v/>
      </c>
      <c r="T655" s="36" t="str">
        <f aca="false">IF(A655="","",MOD(MONTH(A655)-FYStart,12)+1)</f>
        <v/>
      </c>
      <c r="U655" s="37" t="str">
        <f aca="false">IF(A655="","",TEXT(A655,"mmm"))</f>
        <v/>
      </c>
      <c r="V655" s="37" t="str">
        <f aca="false">IF(Q655="","",IFERROR(INDEX(Settings!$I$11:$I$15,MATCH(Q655,Settings!$H$11:$H$15,0)),"No"))</f>
        <v/>
      </c>
      <c r="W655" s="37" t="str">
        <f aca="false">IF(Q655="","",IFERROR(INDEX(Settings!$J$11:$J$15,MATCH(Q655,Settings!$H$11:$H$15,0)),"No"))</f>
        <v/>
      </c>
    </row>
    <row r="656" customFormat="false" ht="15" hidden="false" customHeight="false" outlineLevel="0" collapsed="false">
      <c r="A656" s="30"/>
      <c r="B656" s="25"/>
      <c r="C656" s="25"/>
      <c r="D656" s="25"/>
      <c r="E656" s="25"/>
      <c r="F656" s="25"/>
      <c r="G656" s="25"/>
      <c r="H656" s="31"/>
      <c r="I656" s="32"/>
      <c r="J656" s="33"/>
      <c r="K656" s="34" t="str">
        <f aca="false">IF(OR(H656="",I656=""),"",H656*I656*(1-N(J656)))</f>
        <v/>
      </c>
      <c r="L656" s="32"/>
      <c r="M656" s="34" t="str">
        <f aca="false">IF(OR(H656="",L656=""),"",H656*L656)</f>
        <v/>
      </c>
      <c r="N656" s="34" t="str">
        <f aca="false">IF(OR(K656="",M656=""),"",K656-M656)</f>
        <v/>
      </c>
      <c r="O656" s="35" t="str">
        <f aca="false">IF(OR(N656="",K656=""),"",IF(K656=0,"",N656/K656))</f>
        <v/>
      </c>
      <c r="P656" s="25"/>
      <c r="Q656" s="25"/>
      <c r="R656" s="25"/>
      <c r="S656" s="36" t="str">
        <f aca="false">IF(A656="","",YEAR(A656)+IF(AND(FYStart&gt;1,MONTH(A656)&gt;=FYStart),1,0))</f>
        <v/>
      </c>
      <c r="T656" s="36" t="str">
        <f aca="false">IF(A656="","",MOD(MONTH(A656)-FYStart,12)+1)</f>
        <v/>
      </c>
      <c r="U656" s="37" t="str">
        <f aca="false">IF(A656="","",TEXT(A656,"mmm"))</f>
        <v/>
      </c>
      <c r="V656" s="37" t="str">
        <f aca="false">IF(Q656="","",IFERROR(INDEX(Settings!$I$11:$I$15,MATCH(Q656,Settings!$H$11:$H$15,0)),"No"))</f>
        <v/>
      </c>
      <c r="W656" s="37" t="str">
        <f aca="false">IF(Q656="","",IFERROR(INDEX(Settings!$J$11:$J$15,MATCH(Q656,Settings!$H$11:$H$15,0)),"No"))</f>
        <v/>
      </c>
    </row>
    <row r="657" customFormat="false" ht="15" hidden="false" customHeight="false" outlineLevel="0" collapsed="false">
      <c r="A657" s="30"/>
      <c r="B657" s="25"/>
      <c r="C657" s="25"/>
      <c r="D657" s="25"/>
      <c r="E657" s="25"/>
      <c r="F657" s="25"/>
      <c r="G657" s="25"/>
      <c r="H657" s="31"/>
      <c r="I657" s="32"/>
      <c r="J657" s="33"/>
      <c r="K657" s="34" t="str">
        <f aca="false">IF(OR(H657="",I657=""),"",H657*I657*(1-N(J657)))</f>
        <v/>
      </c>
      <c r="L657" s="32"/>
      <c r="M657" s="34" t="str">
        <f aca="false">IF(OR(H657="",L657=""),"",H657*L657)</f>
        <v/>
      </c>
      <c r="N657" s="34" t="str">
        <f aca="false">IF(OR(K657="",M657=""),"",K657-M657)</f>
        <v/>
      </c>
      <c r="O657" s="35" t="str">
        <f aca="false">IF(OR(N657="",K657=""),"",IF(K657=0,"",N657/K657))</f>
        <v/>
      </c>
      <c r="P657" s="25"/>
      <c r="Q657" s="25"/>
      <c r="R657" s="25"/>
      <c r="S657" s="36" t="str">
        <f aca="false">IF(A657="","",YEAR(A657)+IF(AND(FYStart&gt;1,MONTH(A657)&gt;=FYStart),1,0))</f>
        <v/>
      </c>
      <c r="T657" s="36" t="str">
        <f aca="false">IF(A657="","",MOD(MONTH(A657)-FYStart,12)+1)</f>
        <v/>
      </c>
      <c r="U657" s="37" t="str">
        <f aca="false">IF(A657="","",TEXT(A657,"mmm"))</f>
        <v/>
      </c>
      <c r="V657" s="37" t="str">
        <f aca="false">IF(Q657="","",IFERROR(INDEX(Settings!$I$11:$I$15,MATCH(Q657,Settings!$H$11:$H$15,0)),"No"))</f>
        <v/>
      </c>
      <c r="W657" s="37" t="str">
        <f aca="false">IF(Q657="","",IFERROR(INDEX(Settings!$J$11:$J$15,MATCH(Q657,Settings!$H$11:$H$15,0)),"No"))</f>
        <v/>
      </c>
    </row>
    <row r="658" customFormat="false" ht="15" hidden="false" customHeight="false" outlineLevel="0" collapsed="false">
      <c r="A658" s="30"/>
      <c r="B658" s="25"/>
      <c r="C658" s="25"/>
      <c r="D658" s="25"/>
      <c r="E658" s="25"/>
      <c r="F658" s="25"/>
      <c r="G658" s="25"/>
      <c r="H658" s="31"/>
      <c r="I658" s="32"/>
      <c r="J658" s="33"/>
      <c r="K658" s="34" t="str">
        <f aca="false">IF(OR(H658="",I658=""),"",H658*I658*(1-N(J658)))</f>
        <v/>
      </c>
      <c r="L658" s="32"/>
      <c r="M658" s="34" t="str">
        <f aca="false">IF(OR(H658="",L658=""),"",H658*L658)</f>
        <v/>
      </c>
      <c r="N658" s="34" t="str">
        <f aca="false">IF(OR(K658="",M658=""),"",K658-M658)</f>
        <v/>
      </c>
      <c r="O658" s="35" t="str">
        <f aca="false">IF(OR(N658="",K658=""),"",IF(K658=0,"",N658/K658))</f>
        <v/>
      </c>
      <c r="P658" s="25"/>
      <c r="Q658" s="25"/>
      <c r="R658" s="25"/>
      <c r="S658" s="36" t="str">
        <f aca="false">IF(A658="","",YEAR(A658)+IF(AND(FYStart&gt;1,MONTH(A658)&gt;=FYStart),1,0))</f>
        <v/>
      </c>
      <c r="T658" s="36" t="str">
        <f aca="false">IF(A658="","",MOD(MONTH(A658)-FYStart,12)+1)</f>
        <v/>
      </c>
      <c r="U658" s="37" t="str">
        <f aca="false">IF(A658="","",TEXT(A658,"mmm"))</f>
        <v/>
      </c>
      <c r="V658" s="37" t="str">
        <f aca="false">IF(Q658="","",IFERROR(INDEX(Settings!$I$11:$I$15,MATCH(Q658,Settings!$H$11:$H$15,0)),"No"))</f>
        <v/>
      </c>
      <c r="W658" s="37" t="str">
        <f aca="false">IF(Q658="","",IFERROR(INDEX(Settings!$J$11:$J$15,MATCH(Q658,Settings!$H$11:$H$15,0)),"No"))</f>
        <v/>
      </c>
    </row>
    <row r="659" customFormat="false" ht="15" hidden="false" customHeight="false" outlineLevel="0" collapsed="false">
      <c r="A659" s="30"/>
      <c r="B659" s="25"/>
      <c r="C659" s="25"/>
      <c r="D659" s="25"/>
      <c r="E659" s="25"/>
      <c r="F659" s="25"/>
      <c r="G659" s="25"/>
      <c r="H659" s="31"/>
      <c r="I659" s="32"/>
      <c r="J659" s="33"/>
      <c r="K659" s="34" t="str">
        <f aca="false">IF(OR(H659="",I659=""),"",H659*I659*(1-N(J659)))</f>
        <v/>
      </c>
      <c r="L659" s="32"/>
      <c r="M659" s="34" t="str">
        <f aca="false">IF(OR(H659="",L659=""),"",H659*L659)</f>
        <v/>
      </c>
      <c r="N659" s="34" t="str">
        <f aca="false">IF(OR(K659="",M659=""),"",K659-M659)</f>
        <v/>
      </c>
      <c r="O659" s="35" t="str">
        <f aca="false">IF(OR(N659="",K659=""),"",IF(K659=0,"",N659/K659))</f>
        <v/>
      </c>
      <c r="P659" s="25"/>
      <c r="Q659" s="25"/>
      <c r="R659" s="25"/>
      <c r="S659" s="36" t="str">
        <f aca="false">IF(A659="","",YEAR(A659)+IF(AND(FYStart&gt;1,MONTH(A659)&gt;=FYStart),1,0))</f>
        <v/>
      </c>
      <c r="T659" s="36" t="str">
        <f aca="false">IF(A659="","",MOD(MONTH(A659)-FYStart,12)+1)</f>
        <v/>
      </c>
      <c r="U659" s="37" t="str">
        <f aca="false">IF(A659="","",TEXT(A659,"mmm"))</f>
        <v/>
      </c>
      <c r="V659" s="37" t="str">
        <f aca="false">IF(Q659="","",IFERROR(INDEX(Settings!$I$11:$I$15,MATCH(Q659,Settings!$H$11:$H$15,0)),"No"))</f>
        <v/>
      </c>
      <c r="W659" s="37" t="str">
        <f aca="false">IF(Q659="","",IFERROR(INDEX(Settings!$J$11:$J$15,MATCH(Q659,Settings!$H$11:$H$15,0)),"No"))</f>
        <v/>
      </c>
    </row>
    <row r="660" customFormat="false" ht="15" hidden="false" customHeight="false" outlineLevel="0" collapsed="false">
      <c r="A660" s="30"/>
      <c r="B660" s="25"/>
      <c r="C660" s="25"/>
      <c r="D660" s="25"/>
      <c r="E660" s="25"/>
      <c r="F660" s="25"/>
      <c r="G660" s="25"/>
      <c r="H660" s="31"/>
      <c r="I660" s="32"/>
      <c r="J660" s="33"/>
      <c r="K660" s="34" t="str">
        <f aca="false">IF(OR(H660="",I660=""),"",H660*I660*(1-N(J660)))</f>
        <v/>
      </c>
      <c r="L660" s="32"/>
      <c r="M660" s="34" t="str">
        <f aca="false">IF(OR(H660="",L660=""),"",H660*L660)</f>
        <v/>
      </c>
      <c r="N660" s="34" t="str">
        <f aca="false">IF(OR(K660="",M660=""),"",K660-M660)</f>
        <v/>
      </c>
      <c r="O660" s="35" t="str">
        <f aca="false">IF(OR(N660="",K660=""),"",IF(K660=0,"",N660/K660))</f>
        <v/>
      </c>
      <c r="P660" s="25"/>
      <c r="Q660" s="25"/>
      <c r="R660" s="25"/>
      <c r="S660" s="36" t="str">
        <f aca="false">IF(A660="","",YEAR(A660)+IF(AND(FYStart&gt;1,MONTH(A660)&gt;=FYStart),1,0))</f>
        <v/>
      </c>
      <c r="T660" s="36" t="str">
        <f aca="false">IF(A660="","",MOD(MONTH(A660)-FYStart,12)+1)</f>
        <v/>
      </c>
      <c r="U660" s="37" t="str">
        <f aca="false">IF(A660="","",TEXT(A660,"mmm"))</f>
        <v/>
      </c>
      <c r="V660" s="37" t="str">
        <f aca="false">IF(Q660="","",IFERROR(INDEX(Settings!$I$11:$I$15,MATCH(Q660,Settings!$H$11:$H$15,0)),"No"))</f>
        <v/>
      </c>
      <c r="W660" s="37" t="str">
        <f aca="false">IF(Q660="","",IFERROR(INDEX(Settings!$J$11:$J$15,MATCH(Q660,Settings!$H$11:$H$15,0)),"No"))</f>
        <v/>
      </c>
    </row>
    <row r="661" customFormat="false" ht="15" hidden="false" customHeight="false" outlineLevel="0" collapsed="false">
      <c r="A661" s="30"/>
      <c r="B661" s="25"/>
      <c r="C661" s="25"/>
      <c r="D661" s="25"/>
      <c r="E661" s="25"/>
      <c r="F661" s="25"/>
      <c r="G661" s="25"/>
      <c r="H661" s="31"/>
      <c r="I661" s="32"/>
      <c r="J661" s="33"/>
      <c r="K661" s="34" t="str">
        <f aca="false">IF(OR(H661="",I661=""),"",H661*I661*(1-N(J661)))</f>
        <v/>
      </c>
      <c r="L661" s="32"/>
      <c r="M661" s="34" t="str">
        <f aca="false">IF(OR(H661="",L661=""),"",H661*L661)</f>
        <v/>
      </c>
      <c r="N661" s="34" t="str">
        <f aca="false">IF(OR(K661="",M661=""),"",K661-M661)</f>
        <v/>
      </c>
      <c r="O661" s="35" t="str">
        <f aca="false">IF(OR(N661="",K661=""),"",IF(K661=0,"",N661/K661))</f>
        <v/>
      </c>
      <c r="P661" s="25"/>
      <c r="Q661" s="25"/>
      <c r="R661" s="25"/>
      <c r="S661" s="36" t="str">
        <f aca="false">IF(A661="","",YEAR(A661)+IF(AND(FYStart&gt;1,MONTH(A661)&gt;=FYStart),1,0))</f>
        <v/>
      </c>
      <c r="T661" s="36" t="str">
        <f aca="false">IF(A661="","",MOD(MONTH(A661)-FYStart,12)+1)</f>
        <v/>
      </c>
      <c r="U661" s="37" t="str">
        <f aca="false">IF(A661="","",TEXT(A661,"mmm"))</f>
        <v/>
      </c>
      <c r="V661" s="37" t="str">
        <f aca="false">IF(Q661="","",IFERROR(INDEX(Settings!$I$11:$I$15,MATCH(Q661,Settings!$H$11:$H$15,0)),"No"))</f>
        <v/>
      </c>
      <c r="W661" s="37" t="str">
        <f aca="false">IF(Q661="","",IFERROR(INDEX(Settings!$J$11:$J$15,MATCH(Q661,Settings!$H$11:$H$15,0)),"No"))</f>
        <v/>
      </c>
    </row>
    <row r="662" customFormat="false" ht="15" hidden="false" customHeight="false" outlineLevel="0" collapsed="false">
      <c r="A662" s="30"/>
      <c r="B662" s="25"/>
      <c r="C662" s="25"/>
      <c r="D662" s="25"/>
      <c r="E662" s="25"/>
      <c r="F662" s="25"/>
      <c r="G662" s="25"/>
      <c r="H662" s="31"/>
      <c r="I662" s="32"/>
      <c r="J662" s="33"/>
      <c r="K662" s="34" t="str">
        <f aca="false">IF(OR(H662="",I662=""),"",H662*I662*(1-N(J662)))</f>
        <v/>
      </c>
      <c r="L662" s="32"/>
      <c r="M662" s="34" t="str">
        <f aca="false">IF(OR(H662="",L662=""),"",H662*L662)</f>
        <v/>
      </c>
      <c r="N662" s="34" t="str">
        <f aca="false">IF(OR(K662="",M662=""),"",K662-M662)</f>
        <v/>
      </c>
      <c r="O662" s="35" t="str">
        <f aca="false">IF(OR(N662="",K662=""),"",IF(K662=0,"",N662/K662))</f>
        <v/>
      </c>
      <c r="P662" s="25"/>
      <c r="Q662" s="25"/>
      <c r="R662" s="25"/>
      <c r="S662" s="36" t="str">
        <f aca="false">IF(A662="","",YEAR(A662)+IF(AND(FYStart&gt;1,MONTH(A662)&gt;=FYStart),1,0))</f>
        <v/>
      </c>
      <c r="T662" s="36" t="str">
        <f aca="false">IF(A662="","",MOD(MONTH(A662)-FYStart,12)+1)</f>
        <v/>
      </c>
      <c r="U662" s="37" t="str">
        <f aca="false">IF(A662="","",TEXT(A662,"mmm"))</f>
        <v/>
      </c>
      <c r="V662" s="37" t="str">
        <f aca="false">IF(Q662="","",IFERROR(INDEX(Settings!$I$11:$I$15,MATCH(Q662,Settings!$H$11:$H$15,0)),"No"))</f>
        <v/>
      </c>
      <c r="W662" s="37" t="str">
        <f aca="false">IF(Q662="","",IFERROR(INDEX(Settings!$J$11:$J$15,MATCH(Q662,Settings!$H$11:$H$15,0)),"No"))</f>
        <v/>
      </c>
    </row>
    <row r="663" customFormat="false" ht="15" hidden="false" customHeight="false" outlineLevel="0" collapsed="false">
      <c r="A663" s="30"/>
      <c r="B663" s="25"/>
      <c r="C663" s="25"/>
      <c r="D663" s="25"/>
      <c r="E663" s="25"/>
      <c r="F663" s="25"/>
      <c r="G663" s="25"/>
      <c r="H663" s="31"/>
      <c r="I663" s="32"/>
      <c r="J663" s="33"/>
      <c r="K663" s="34" t="str">
        <f aca="false">IF(OR(H663="",I663=""),"",H663*I663*(1-N(J663)))</f>
        <v/>
      </c>
      <c r="L663" s="32"/>
      <c r="M663" s="34" t="str">
        <f aca="false">IF(OR(H663="",L663=""),"",H663*L663)</f>
        <v/>
      </c>
      <c r="N663" s="34" t="str">
        <f aca="false">IF(OR(K663="",M663=""),"",K663-M663)</f>
        <v/>
      </c>
      <c r="O663" s="35" t="str">
        <f aca="false">IF(OR(N663="",K663=""),"",IF(K663=0,"",N663/K663))</f>
        <v/>
      </c>
      <c r="P663" s="25"/>
      <c r="Q663" s="25"/>
      <c r="R663" s="25"/>
      <c r="S663" s="36" t="str">
        <f aca="false">IF(A663="","",YEAR(A663)+IF(AND(FYStart&gt;1,MONTH(A663)&gt;=FYStart),1,0))</f>
        <v/>
      </c>
      <c r="T663" s="36" t="str">
        <f aca="false">IF(A663="","",MOD(MONTH(A663)-FYStart,12)+1)</f>
        <v/>
      </c>
      <c r="U663" s="37" t="str">
        <f aca="false">IF(A663="","",TEXT(A663,"mmm"))</f>
        <v/>
      </c>
      <c r="V663" s="37" t="str">
        <f aca="false">IF(Q663="","",IFERROR(INDEX(Settings!$I$11:$I$15,MATCH(Q663,Settings!$H$11:$H$15,0)),"No"))</f>
        <v/>
      </c>
      <c r="W663" s="37" t="str">
        <f aca="false">IF(Q663="","",IFERROR(INDEX(Settings!$J$11:$J$15,MATCH(Q663,Settings!$H$11:$H$15,0)),"No"))</f>
        <v/>
      </c>
    </row>
    <row r="664" customFormat="false" ht="15" hidden="false" customHeight="false" outlineLevel="0" collapsed="false">
      <c r="A664" s="30"/>
      <c r="B664" s="25"/>
      <c r="C664" s="25"/>
      <c r="D664" s="25"/>
      <c r="E664" s="25"/>
      <c r="F664" s="25"/>
      <c r="G664" s="25"/>
      <c r="H664" s="31"/>
      <c r="I664" s="32"/>
      <c r="J664" s="33"/>
      <c r="K664" s="34" t="str">
        <f aca="false">IF(OR(H664="",I664=""),"",H664*I664*(1-N(J664)))</f>
        <v/>
      </c>
      <c r="L664" s="32"/>
      <c r="M664" s="34" t="str">
        <f aca="false">IF(OR(H664="",L664=""),"",H664*L664)</f>
        <v/>
      </c>
      <c r="N664" s="34" t="str">
        <f aca="false">IF(OR(K664="",M664=""),"",K664-M664)</f>
        <v/>
      </c>
      <c r="O664" s="35" t="str">
        <f aca="false">IF(OR(N664="",K664=""),"",IF(K664=0,"",N664/K664))</f>
        <v/>
      </c>
      <c r="P664" s="25"/>
      <c r="Q664" s="25"/>
      <c r="R664" s="25"/>
      <c r="S664" s="36" t="str">
        <f aca="false">IF(A664="","",YEAR(A664)+IF(AND(FYStart&gt;1,MONTH(A664)&gt;=FYStart),1,0))</f>
        <v/>
      </c>
      <c r="T664" s="36" t="str">
        <f aca="false">IF(A664="","",MOD(MONTH(A664)-FYStart,12)+1)</f>
        <v/>
      </c>
      <c r="U664" s="37" t="str">
        <f aca="false">IF(A664="","",TEXT(A664,"mmm"))</f>
        <v/>
      </c>
      <c r="V664" s="37" t="str">
        <f aca="false">IF(Q664="","",IFERROR(INDEX(Settings!$I$11:$I$15,MATCH(Q664,Settings!$H$11:$H$15,0)),"No"))</f>
        <v/>
      </c>
      <c r="W664" s="37" t="str">
        <f aca="false">IF(Q664="","",IFERROR(INDEX(Settings!$J$11:$J$15,MATCH(Q664,Settings!$H$11:$H$15,0)),"No"))</f>
        <v/>
      </c>
    </row>
    <row r="665" customFormat="false" ht="15" hidden="false" customHeight="false" outlineLevel="0" collapsed="false">
      <c r="A665" s="30"/>
      <c r="B665" s="25"/>
      <c r="C665" s="25"/>
      <c r="D665" s="25"/>
      <c r="E665" s="25"/>
      <c r="F665" s="25"/>
      <c r="G665" s="25"/>
      <c r="H665" s="31"/>
      <c r="I665" s="32"/>
      <c r="J665" s="33"/>
      <c r="K665" s="34" t="str">
        <f aca="false">IF(OR(H665="",I665=""),"",H665*I665*(1-N(J665)))</f>
        <v/>
      </c>
      <c r="L665" s="32"/>
      <c r="M665" s="34" t="str">
        <f aca="false">IF(OR(H665="",L665=""),"",H665*L665)</f>
        <v/>
      </c>
      <c r="N665" s="34" t="str">
        <f aca="false">IF(OR(K665="",M665=""),"",K665-M665)</f>
        <v/>
      </c>
      <c r="O665" s="35" t="str">
        <f aca="false">IF(OR(N665="",K665=""),"",IF(K665=0,"",N665/K665))</f>
        <v/>
      </c>
      <c r="P665" s="25"/>
      <c r="Q665" s="25"/>
      <c r="R665" s="25"/>
      <c r="S665" s="36" t="str">
        <f aca="false">IF(A665="","",YEAR(A665)+IF(AND(FYStart&gt;1,MONTH(A665)&gt;=FYStart),1,0))</f>
        <v/>
      </c>
      <c r="T665" s="36" t="str">
        <f aca="false">IF(A665="","",MOD(MONTH(A665)-FYStart,12)+1)</f>
        <v/>
      </c>
      <c r="U665" s="37" t="str">
        <f aca="false">IF(A665="","",TEXT(A665,"mmm"))</f>
        <v/>
      </c>
      <c r="V665" s="37" t="str">
        <f aca="false">IF(Q665="","",IFERROR(INDEX(Settings!$I$11:$I$15,MATCH(Q665,Settings!$H$11:$H$15,0)),"No"))</f>
        <v/>
      </c>
      <c r="W665" s="37" t="str">
        <f aca="false">IF(Q665="","",IFERROR(INDEX(Settings!$J$11:$J$15,MATCH(Q665,Settings!$H$11:$H$15,0)),"No"))</f>
        <v/>
      </c>
    </row>
    <row r="666" customFormat="false" ht="15" hidden="false" customHeight="false" outlineLevel="0" collapsed="false">
      <c r="A666" s="30"/>
      <c r="B666" s="25"/>
      <c r="C666" s="25"/>
      <c r="D666" s="25"/>
      <c r="E666" s="25"/>
      <c r="F666" s="25"/>
      <c r="G666" s="25"/>
      <c r="H666" s="31"/>
      <c r="I666" s="32"/>
      <c r="J666" s="33"/>
      <c r="K666" s="34" t="str">
        <f aca="false">IF(OR(H666="",I666=""),"",H666*I666*(1-N(J666)))</f>
        <v/>
      </c>
      <c r="L666" s="32"/>
      <c r="M666" s="34" t="str">
        <f aca="false">IF(OR(H666="",L666=""),"",H666*L666)</f>
        <v/>
      </c>
      <c r="N666" s="34" t="str">
        <f aca="false">IF(OR(K666="",M666=""),"",K666-M666)</f>
        <v/>
      </c>
      <c r="O666" s="35" t="str">
        <f aca="false">IF(OR(N666="",K666=""),"",IF(K666=0,"",N666/K666))</f>
        <v/>
      </c>
      <c r="P666" s="25"/>
      <c r="Q666" s="25"/>
      <c r="R666" s="25"/>
      <c r="S666" s="36" t="str">
        <f aca="false">IF(A666="","",YEAR(A666)+IF(AND(FYStart&gt;1,MONTH(A666)&gt;=FYStart),1,0))</f>
        <v/>
      </c>
      <c r="T666" s="36" t="str">
        <f aca="false">IF(A666="","",MOD(MONTH(A666)-FYStart,12)+1)</f>
        <v/>
      </c>
      <c r="U666" s="37" t="str">
        <f aca="false">IF(A666="","",TEXT(A666,"mmm"))</f>
        <v/>
      </c>
      <c r="V666" s="37" t="str">
        <f aca="false">IF(Q666="","",IFERROR(INDEX(Settings!$I$11:$I$15,MATCH(Q666,Settings!$H$11:$H$15,0)),"No"))</f>
        <v/>
      </c>
      <c r="W666" s="37" t="str">
        <f aca="false">IF(Q666="","",IFERROR(INDEX(Settings!$J$11:$J$15,MATCH(Q666,Settings!$H$11:$H$15,0)),"No"))</f>
        <v/>
      </c>
    </row>
    <row r="667" customFormat="false" ht="15" hidden="false" customHeight="false" outlineLevel="0" collapsed="false">
      <c r="A667" s="30"/>
      <c r="B667" s="25"/>
      <c r="C667" s="25"/>
      <c r="D667" s="25"/>
      <c r="E667" s="25"/>
      <c r="F667" s="25"/>
      <c r="G667" s="25"/>
      <c r="H667" s="31"/>
      <c r="I667" s="32"/>
      <c r="J667" s="33"/>
      <c r="K667" s="34" t="str">
        <f aca="false">IF(OR(H667="",I667=""),"",H667*I667*(1-N(J667)))</f>
        <v/>
      </c>
      <c r="L667" s="32"/>
      <c r="M667" s="34" t="str">
        <f aca="false">IF(OR(H667="",L667=""),"",H667*L667)</f>
        <v/>
      </c>
      <c r="N667" s="34" t="str">
        <f aca="false">IF(OR(K667="",M667=""),"",K667-M667)</f>
        <v/>
      </c>
      <c r="O667" s="35" t="str">
        <f aca="false">IF(OR(N667="",K667=""),"",IF(K667=0,"",N667/K667))</f>
        <v/>
      </c>
      <c r="P667" s="25"/>
      <c r="Q667" s="25"/>
      <c r="R667" s="25"/>
      <c r="S667" s="36" t="str">
        <f aca="false">IF(A667="","",YEAR(A667)+IF(AND(FYStart&gt;1,MONTH(A667)&gt;=FYStart),1,0))</f>
        <v/>
      </c>
      <c r="T667" s="36" t="str">
        <f aca="false">IF(A667="","",MOD(MONTH(A667)-FYStart,12)+1)</f>
        <v/>
      </c>
      <c r="U667" s="37" t="str">
        <f aca="false">IF(A667="","",TEXT(A667,"mmm"))</f>
        <v/>
      </c>
      <c r="V667" s="37" t="str">
        <f aca="false">IF(Q667="","",IFERROR(INDEX(Settings!$I$11:$I$15,MATCH(Q667,Settings!$H$11:$H$15,0)),"No"))</f>
        <v/>
      </c>
      <c r="W667" s="37" t="str">
        <f aca="false">IF(Q667="","",IFERROR(INDEX(Settings!$J$11:$J$15,MATCH(Q667,Settings!$H$11:$H$15,0)),"No"))</f>
        <v/>
      </c>
    </row>
    <row r="668" customFormat="false" ht="15" hidden="false" customHeight="false" outlineLevel="0" collapsed="false">
      <c r="A668" s="30"/>
      <c r="B668" s="25"/>
      <c r="C668" s="25"/>
      <c r="D668" s="25"/>
      <c r="E668" s="25"/>
      <c r="F668" s="25"/>
      <c r="G668" s="25"/>
      <c r="H668" s="31"/>
      <c r="I668" s="32"/>
      <c r="J668" s="33"/>
      <c r="K668" s="34" t="str">
        <f aca="false">IF(OR(H668="",I668=""),"",H668*I668*(1-N(J668)))</f>
        <v/>
      </c>
      <c r="L668" s="32"/>
      <c r="M668" s="34" t="str">
        <f aca="false">IF(OR(H668="",L668=""),"",H668*L668)</f>
        <v/>
      </c>
      <c r="N668" s="34" t="str">
        <f aca="false">IF(OR(K668="",M668=""),"",K668-M668)</f>
        <v/>
      </c>
      <c r="O668" s="35" t="str">
        <f aca="false">IF(OR(N668="",K668=""),"",IF(K668=0,"",N668/K668))</f>
        <v/>
      </c>
      <c r="P668" s="25"/>
      <c r="Q668" s="25"/>
      <c r="R668" s="25"/>
      <c r="S668" s="36" t="str">
        <f aca="false">IF(A668="","",YEAR(A668)+IF(AND(FYStart&gt;1,MONTH(A668)&gt;=FYStart),1,0))</f>
        <v/>
      </c>
      <c r="T668" s="36" t="str">
        <f aca="false">IF(A668="","",MOD(MONTH(A668)-FYStart,12)+1)</f>
        <v/>
      </c>
      <c r="U668" s="37" t="str">
        <f aca="false">IF(A668="","",TEXT(A668,"mmm"))</f>
        <v/>
      </c>
      <c r="V668" s="37" t="str">
        <f aca="false">IF(Q668="","",IFERROR(INDEX(Settings!$I$11:$I$15,MATCH(Q668,Settings!$H$11:$H$15,0)),"No"))</f>
        <v/>
      </c>
      <c r="W668" s="37" t="str">
        <f aca="false">IF(Q668="","",IFERROR(INDEX(Settings!$J$11:$J$15,MATCH(Q668,Settings!$H$11:$H$15,0)),"No"))</f>
        <v/>
      </c>
    </row>
    <row r="669" customFormat="false" ht="15" hidden="false" customHeight="false" outlineLevel="0" collapsed="false">
      <c r="A669" s="30"/>
      <c r="B669" s="25"/>
      <c r="C669" s="25"/>
      <c r="D669" s="25"/>
      <c r="E669" s="25"/>
      <c r="F669" s="25"/>
      <c r="G669" s="25"/>
      <c r="H669" s="31"/>
      <c r="I669" s="32"/>
      <c r="J669" s="33"/>
      <c r="K669" s="34" t="str">
        <f aca="false">IF(OR(H669="",I669=""),"",H669*I669*(1-N(J669)))</f>
        <v/>
      </c>
      <c r="L669" s="32"/>
      <c r="M669" s="34" t="str">
        <f aca="false">IF(OR(H669="",L669=""),"",H669*L669)</f>
        <v/>
      </c>
      <c r="N669" s="34" t="str">
        <f aca="false">IF(OR(K669="",M669=""),"",K669-M669)</f>
        <v/>
      </c>
      <c r="O669" s="35" t="str">
        <f aca="false">IF(OR(N669="",K669=""),"",IF(K669=0,"",N669/K669))</f>
        <v/>
      </c>
      <c r="P669" s="25"/>
      <c r="Q669" s="25"/>
      <c r="R669" s="25"/>
      <c r="S669" s="36" t="str">
        <f aca="false">IF(A669="","",YEAR(A669)+IF(AND(FYStart&gt;1,MONTH(A669)&gt;=FYStart),1,0))</f>
        <v/>
      </c>
      <c r="T669" s="36" t="str">
        <f aca="false">IF(A669="","",MOD(MONTH(A669)-FYStart,12)+1)</f>
        <v/>
      </c>
      <c r="U669" s="37" t="str">
        <f aca="false">IF(A669="","",TEXT(A669,"mmm"))</f>
        <v/>
      </c>
      <c r="V669" s="37" t="str">
        <f aca="false">IF(Q669="","",IFERROR(INDEX(Settings!$I$11:$I$15,MATCH(Q669,Settings!$H$11:$H$15,0)),"No"))</f>
        <v/>
      </c>
      <c r="W669" s="37" t="str">
        <f aca="false">IF(Q669="","",IFERROR(INDEX(Settings!$J$11:$J$15,MATCH(Q669,Settings!$H$11:$H$15,0)),"No"))</f>
        <v/>
      </c>
    </row>
    <row r="670" customFormat="false" ht="15" hidden="false" customHeight="false" outlineLevel="0" collapsed="false">
      <c r="A670" s="30"/>
      <c r="B670" s="25"/>
      <c r="C670" s="25"/>
      <c r="D670" s="25"/>
      <c r="E670" s="25"/>
      <c r="F670" s="25"/>
      <c r="G670" s="25"/>
      <c r="H670" s="31"/>
      <c r="I670" s="32"/>
      <c r="J670" s="33"/>
      <c r="K670" s="34" t="str">
        <f aca="false">IF(OR(H670="",I670=""),"",H670*I670*(1-N(J670)))</f>
        <v/>
      </c>
      <c r="L670" s="32"/>
      <c r="M670" s="34" t="str">
        <f aca="false">IF(OR(H670="",L670=""),"",H670*L670)</f>
        <v/>
      </c>
      <c r="N670" s="34" t="str">
        <f aca="false">IF(OR(K670="",M670=""),"",K670-M670)</f>
        <v/>
      </c>
      <c r="O670" s="35" t="str">
        <f aca="false">IF(OR(N670="",K670=""),"",IF(K670=0,"",N670/K670))</f>
        <v/>
      </c>
      <c r="P670" s="25"/>
      <c r="Q670" s="25"/>
      <c r="R670" s="25"/>
      <c r="S670" s="36" t="str">
        <f aca="false">IF(A670="","",YEAR(A670)+IF(AND(FYStart&gt;1,MONTH(A670)&gt;=FYStart),1,0))</f>
        <v/>
      </c>
      <c r="T670" s="36" t="str">
        <f aca="false">IF(A670="","",MOD(MONTH(A670)-FYStart,12)+1)</f>
        <v/>
      </c>
      <c r="U670" s="37" t="str">
        <f aca="false">IF(A670="","",TEXT(A670,"mmm"))</f>
        <v/>
      </c>
      <c r="V670" s="37" t="str">
        <f aca="false">IF(Q670="","",IFERROR(INDEX(Settings!$I$11:$I$15,MATCH(Q670,Settings!$H$11:$H$15,0)),"No"))</f>
        <v/>
      </c>
      <c r="W670" s="37" t="str">
        <f aca="false">IF(Q670="","",IFERROR(INDEX(Settings!$J$11:$J$15,MATCH(Q670,Settings!$H$11:$H$15,0)),"No"))</f>
        <v/>
      </c>
    </row>
    <row r="671" customFormat="false" ht="15" hidden="false" customHeight="false" outlineLevel="0" collapsed="false">
      <c r="A671" s="30"/>
      <c r="B671" s="25"/>
      <c r="C671" s="25"/>
      <c r="D671" s="25"/>
      <c r="E671" s="25"/>
      <c r="F671" s="25"/>
      <c r="G671" s="25"/>
      <c r="H671" s="31"/>
      <c r="I671" s="32"/>
      <c r="J671" s="33"/>
      <c r="K671" s="34" t="str">
        <f aca="false">IF(OR(H671="",I671=""),"",H671*I671*(1-N(J671)))</f>
        <v/>
      </c>
      <c r="L671" s="32"/>
      <c r="M671" s="34" t="str">
        <f aca="false">IF(OR(H671="",L671=""),"",H671*L671)</f>
        <v/>
      </c>
      <c r="N671" s="34" t="str">
        <f aca="false">IF(OR(K671="",M671=""),"",K671-M671)</f>
        <v/>
      </c>
      <c r="O671" s="35" t="str">
        <f aca="false">IF(OR(N671="",K671=""),"",IF(K671=0,"",N671/K671))</f>
        <v/>
      </c>
      <c r="P671" s="25"/>
      <c r="Q671" s="25"/>
      <c r="R671" s="25"/>
      <c r="S671" s="36" t="str">
        <f aca="false">IF(A671="","",YEAR(A671)+IF(AND(FYStart&gt;1,MONTH(A671)&gt;=FYStart),1,0))</f>
        <v/>
      </c>
      <c r="T671" s="36" t="str">
        <f aca="false">IF(A671="","",MOD(MONTH(A671)-FYStart,12)+1)</f>
        <v/>
      </c>
      <c r="U671" s="37" t="str">
        <f aca="false">IF(A671="","",TEXT(A671,"mmm"))</f>
        <v/>
      </c>
      <c r="V671" s="37" t="str">
        <f aca="false">IF(Q671="","",IFERROR(INDEX(Settings!$I$11:$I$15,MATCH(Q671,Settings!$H$11:$H$15,0)),"No"))</f>
        <v/>
      </c>
      <c r="W671" s="37" t="str">
        <f aca="false">IF(Q671="","",IFERROR(INDEX(Settings!$J$11:$J$15,MATCH(Q671,Settings!$H$11:$H$15,0)),"No"))</f>
        <v/>
      </c>
    </row>
    <row r="672" customFormat="false" ht="15" hidden="false" customHeight="false" outlineLevel="0" collapsed="false">
      <c r="A672" s="30"/>
      <c r="B672" s="25"/>
      <c r="C672" s="25"/>
      <c r="D672" s="25"/>
      <c r="E672" s="25"/>
      <c r="F672" s="25"/>
      <c r="G672" s="25"/>
      <c r="H672" s="31"/>
      <c r="I672" s="32"/>
      <c r="J672" s="33"/>
      <c r="K672" s="34" t="str">
        <f aca="false">IF(OR(H672="",I672=""),"",H672*I672*(1-N(J672)))</f>
        <v/>
      </c>
      <c r="L672" s="32"/>
      <c r="M672" s="34" t="str">
        <f aca="false">IF(OR(H672="",L672=""),"",H672*L672)</f>
        <v/>
      </c>
      <c r="N672" s="34" t="str">
        <f aca="false">IF(OR(K672="",M672=""),"",K672-M672)</f>
        <v/>
      </c>
      <c r="O672" s="35" t="str">
        <f aca="false">IF(OR(N672="",K672=""),"",IF(K672=0,"",N672/K672))</f>
        <v/>
      </c>
      <c r="P672" s="25"/>
      <c r="Q672" s="25"/>
      <c r="R672" s="25"/>
      <c r="S672" s="36" t="str">
        <f aca="false">IF(A672="","",YEAR(A672)+IF(AND(FYStart&gt;1,MONTH(A672)&gt;=FYStart),1,0))</f>
        <v/>
      </c>
      <c r="T672" s="36" t="str">
        <f aca="false">IF(A672="","",MOD(MONTH(A672)-FYStart,12)+1)</f>
        <v/>
      </c>
      <c r="U672" s="37" t="str">
        <f aca="false">IF(A672="","",TEXT(A672,"mmm"))</f>
        <v/>
      </c>
      <c r="V672" s="37" t="str">
        <f aca="false">IF(Q672="","",IFERROR(INDEX(Settings!$I$11:$I$15,MATCH(Q672,Settings!$H$11:$H$15,0)),"No"))</f>
        <v/>
      </c>
      <c r="W672" s="37" t="str">
        <f aca="false">IF(Q672="","",IFERROR(INDEX(Settings!$J$11:$J$15,MATCH(Q672,Settings!$H$11:$H$15,0)),"No"))</f>
        <v/>
      </c>
    </row>
    <row r="673" customFormat="false" ht="15" hidden="false" customHeight="false" outlineLevel="0" collapsed="false">
      <c r="A673" s="30"/>
      <c r="B673" s="25"/>
      <c r="C673" s="25"/>
      <c r="D673" s="25"/>
      <c r="E673" s="25"/>
      <c r="F673" s="25"/>
      <c r="G673" s="25"/>
      <c r="H673" s="31"/>
      <c r="I673" s="32"/>
      <c r="J673" s="33"/>
      <c r="K673" s="34" t="str">
        <f aca="false">IF(OR(H673="",I673=""),"",H673*I673*(1-N(J673)))</f>
        <v/>
      </c>
      <c r="L673" s="32"/>
      <c r="M673" s="34" t="str">
        <f aca="false">IF(OR(H673="",L673=""),"",H673*L673)</f>
        <v/>
      </c>
      <c r="N673" s="34" t="str">
        <f aca="false">IF(OR(K673="",M673=""),"",K673-M673)</f>
        <v/>
      </c>
      <c r="O673" s="35" t="str">
        <f aca="false">IF(OR(N673="",K673=""),"",IF(K673=0,"",N673/K673))</f>
        <v/>
      </c>
      <c r="P673" s="25"/>
      <c r="Q673" s="25"/>
      <c r="R673" s="25"/>
      <c r="S673" s="36" t="str">
        <f aca="false">IF(A673="","",YEAR(A673)+IF(AND(FYStart&gt;1,MONTH(A673)&gt;=FYStart),1,0))</f>
        <v/>
      </c>
      <c r="T673" s="36" t="str">
        <f aca="false">IF(A673="","",MOD(MONTH(A673)-FYStart,12)+1)</f>
        <v/>
      </c>
      <c r="U673" s="37" t="str">
        <f aca="false">IF(A673="","",TEXT(A673,"mmm"))</f>
        <v/>
      </c>
      <c r="V673" s="37" t="str">
        <f aca="false">IF(Q673="","",IFERROR(INDEX(Settings!$I$11:$I$15,MATCH(Q673,Settings!$H$11:$H$15,0)),"No"))</f>
        <v/>
      </c>
      <c r="W673" s="37" t="str">
        <f aca="false">IF(Q673="","",IFERROR(INDEX(Settings!$J$11:$J$15,MATCH(Q673,Settings!$H$11:$H$15,0)),"No"))</f>
        <v/>
      </c>
    </row>
    <row r="674" customFormat="false" ht="15" hidden="false" customHeight="false" outlineLevel="0" collapsed="false">
      <c r="A674" s="30"/>
      <c r="B674" s="25"/>
      <c r="C674" s="25"/>
      <c r="D674" s="25"/>
      <c r="E674" s="25"/>
      <c r="F674" s="25"/>
      <c r="G674" s="25"/>
      <c r="H674" s="31"/>
      <c r="I674" s="32"/>
      <c r="J674" s="33"/>
      <c r="K674" s="34" t="str">
        <f aca="false">IF(OR(H674="",I674=""),"",H674*I674*(1-N(J674)))</f>
        <v/>
      </c>
      <c r="L674" s="32"/>
      <c r="M674" s="34" t="str">
        <f aca="false">IF(OR(H674="",L674=""),"",H674*L674)</f>
        <v/>
      </c>
      <c r="N674" s="34" t="str">
        <f aca="false">IF(OR(K674="",M674=""),"",K674-M674)</f>
        <v/>
      </c>
      <c r="O674" s="35" t="str">
        <f aca="false">IF(OR(N674="",K674=""),"",IF(K674=0,"",N674/K674))</f>
        <v/>
      </c>
      <c r="P674" s="25"/>
      <c r="Q674" s="25"/>
      <c r="R674" s="25"/>
      <c r="S674" s="36" t="str">
        <f aca="false">IF(A674="","",YEAR(A674)+IF(AND(FYStart&gt;1,MONTH(A674)&gt;=FYStart),1,0))</f>
        <v/>
      </c>
      <c r="T674" s="36" t="str">
        <f aca="false">IF(A674="","",MOD(MONTH(A674)-FYStart,12)+1)</f>
        <v/>
      </c>
      <c r="U674" s="37" t="str">
        <f aca="false">IF(A674="","",TEXT(A674,"mmm"))</f>
        <v/>
      </c>
      <c r="V674" s="37" t="str">
        <f aca="false">IF(Q674="","",IFERROR(INDEX(Settings!$I$11:$I$15,MATCH(Q674,Settings!$H$11:$H$15,0)),"No"))</f>
        <v/>
      </c>
      <c r="W674" s="37" t="str">
        <f aca="false">IF(Q674="","",IFERROR(INDEX(Settings!$J$11:$J$15,MATCH(Q674,Settings!$H$11:$H$15,0)),"No"))</f>
        <v/>
      </c>
    </row>
    <row r="675" customFormat="false" ht="15" hidden="false" customHeight="false" outlineLevel="0" collapsed="false">
      <c r="A675" s="30"/>
      <c r="B675" s="25"/>
      <c r="C675" s="25"/>
      <c r="D675" s="25"/>
      <c r="E675" s="25"/>
      <c r="F675" s="25"/>
      <c r="G675" s="25"/>
      <c r="H675" s="31"/>
      <c r="I675" s="32"/>
      <c r="J675" s="33"/>
      <c r="K675" s="34" t="str">
        <f aca="false">IF(OR(H675="",I675=""),"",H675*I675*(1-N(J675)))</f>
        <v/>
      </c>
      <c r="L675" s="32"/>
      <c r="M675" s="34" t="str">
        <f aca="false">IF(OR(H675="",L675=""),"",H675*L675)</f>
        <v/>
      </c>
      <c r="N675" s="34" t="str">
        <f aca="false">IF(OR(K675="",M675=""),"",K675-M675)</f>
        <v/>
      </c>
      <c r="O675" s="35" t="str">
        <f aca="false">IF(OR(N675="",K675=""),"",IF(K675=0,"",N675/K675))</f>
        <v/>
      </c>
      <c r="P675" s="25"/>
      <c r="Q675" s="25"/>
      <c r="R675" s="25"/>
      <c r="S675" s="36" t="str">
        <f aca="false">IF(A675="","",YEAR(A675)+IF(AND(FYStart&gt;1,MONTH(A675)&gt;=FYStart),1,0))</f>
        <v/>
      </c>
      <c r="T675" s="36" t="str">
        <f aca="false">IF(A675="","",MOD(MONTH(A675)-FYStart,12)+1)</f>
        <v/>
      </c>
      <c r="U675" s="37" t="str">
        <f aca="false">IF(A675="","",TEXT(A675,"mmm"))</f>
        <v/>
      </c>
      <c r="V675" s="37" t="str">
        <f aca="false">IF(Q675="","",IFERROR(INDEX(Settings!$I$11:$I$15,MATCH(Q675,Settings!$H$11:$H$15,0)),"No"))</f>
        <v/>
      </c>
      <c r="W675" s="37" t="str">
        <f aca="false">IF(Q675="","",IFERROR(INDEX(Settings!$J$11:$J$15,MATCH(Q675,Settings!$H$11:$H$15,0)),"No"))</f>
        <v/>
      </c>
    </row>
    <row r="676" customFormat="false" ht="15" hidden="false" customHeight="false" outlineLevel="0" collapsed="false">
      <c r="A676" s="30"/>
      <c r="B676" s="25"/>
      <c r="C676" s="25"/>
      <c r="D676" s="25"/>
      <c r="E676" s="25"/>
      <c r="F676" s="25"/>
      <c r="G676" s="25"/>
      <c r="H676" s="31"/>
      <c r="I676" s="32"/>
      <c r="J676" s="33"/>
      <c r="K676" s="34" t="str">
        <f aca="false">IF(OR(H676="",I676=""),"",H676*I676*(1-N(J676)))</f>
        <v/>
      </c>
      <c r="L676" s="32"/>
      <c r="M676" s="34" t="str">
        <f aca="false">IF(OR(H676="",L676=""),"",H676*L676)</f>
        <v/>
      </c>
      <c r="N676" s="34" t="str">
        <f aca="false">IF(OR(K676="",M676=""),"",K676-M676)</f>
        <v/>
      </c>
      <c r="O676" s="35" t="str">
        <f aca="false">IF(OR(N676="",K676=""),"",IF(K676=0,"",N676/K676))</f>
        <v/>
      </c>
      <c r="P676" s="25"/>
      <c r="Q676" s="25"/>
      <c r="R676" s="25"/>
      <c r="S676" s="36" t="str">
        <f aca="false">IF(A676="","",YEAR(A676)+IF(AND(FYStart&gt;1,MONTH(A676)&gt;=FYStart),1,0))</f>
        <v/>
      </c>
      <c r="T676" s="36" t="str">
        <f aca="false">IF(A676="","",MOD(MONTH(A676)-FYStart,12)+1)</f>
        <v/>
      </c>
      <c r="U676" s="37" t="str">
        <f aca="false">IF(A676="","",TEXT(A676,"mmm"))</f>
        <v/>
      </c>
      <c r="V676" s="37" t="str">
        <f aca="false">IF(Q676="","",IFERROR(INDEX(Settings!$I$11:$I$15,MATCH(Q676,Settings!$H$11:$H$15,0)),"No"))</f>
        <v/>
      </c>
      <c r="W676" s="37" t="str">
        <f aca="false">IF(Q676="","",IFERROR(INDEX(Settings!$J$11:$J$15,MATCH(Q676,Settings!$H$11:$H$15,0)),"No"))</f>
        <v/>
      </c>
    </row>
    <row r="677" customFormat="false" ht="15" hidden="false" customHeight="false" outlineLevel="0" collapsed="false">
      <c r="A677" s="30"/>
      <c r="B677" s="25"/>
      <c r="C677" s="25"/>
      <c r="D677" s="25"/>
      <c r="E677" s="25"/>
      <c r="F677" s="25"/>
      <c r="G677" s="25"/>
      <c r="H677" s="31"/>
      <c r="I677" s="32"/>
      <c r="J677" s="33"/>
      <c r="K677" s="34" t="str">
        <f aca="false">IF(OR(H677="",I677=""),"",H677*I677*(1-N(J677)))</f>
        <v/>
      </c>
      <c r="L677" s="32"/>
      <c r="M677" s="34" t="str">
        <f aca="false">IF(OR(H677="",L677=""),"",H677*L677)</f>
        <v/>
      </c>
      <c r="N677" s="34" t="str">
        <f aca="false">IF(OR(K677="",M677=""),"",K677-M677)</f>
        <v/>
      </c>
      <c r="O677" s="35" t="str">
        <f aca="false">IF(OR(N677="",K677=""),"",IF(K677=0,"",N677/K677))</f>
        <v/>
      </c>
      <c r="P677" s="25"/>
      <c r="Q677" s="25"/>
      <c r="R677" s="25"/>
      <c r="S677" s="36" t="str">
        <f aca="false">IF(A677="","",YEAR(A677)+IF(AND(FYStart&gt;1,MONTH(A677)&gt;=FYStart),1,0))</f>
        <v/>
      </c>
      <c r="T677" s="36" t="str">
        <f aca="false">IF(A677="","",MOD(MONTH(A677)-FYStart,12)+1)</f>
        <v/>
      </c>
      <c r="U677" s="37" t="str">
        <f aca="false">IF(A677="","",TEXT(A677,"mmm"))</f>
        <v/>
      </c>
      <c r="V677" s="37" t="str">
        <f aca="false">IF(Q677="","",IFERROR(INDEX(Settings!$I$11:$I$15,MATCH(Q677,Settings!$H$11:$H$15,0)),"No"))</f>
        <v/>
      </c>
      <c r="W677" s="37" t="str">
        <f aca="false">IF(Q677="","",IFERROR(INDEX(Settings!$J$11:$J$15,MATCH(Q677,Settings!$H$11:$H$15,0)),"No"))</f>
        <v/>
      </c>
    </row>
    <row r="678" customFormat="false" ht="15" hidden="false" customHeight="false" outlineLevel="0" collapsed="false">
      <c r="A678" s="30"/>
      <c r="B678" s="25"/>
      <c r="C678" s="25"/>
      <c r="D678" s="25"/>
      <c r="E678" s="25"/>
      <c r="F678" s="25"/>
      <c r="G678" s="25"/>
      <c r="H678" s="31"/>
      <c r="I678" s="32"/>
      <c r="J678" s="33"/>
      <c r="K678" s="34" t="str">
        <f aca="false">IF(OR(H678="",I678=""),"",H678*I678*(1-N(J678)))</f>
        <v/>
      </c>
      <c r="L678" s="32"/>
      <c r="M678" s="34" t="str">
        <f aca="false">IF(OR(H678="",L678=""),"",H678*L678)</f>
        <v/>
      </c>
      <c r="N678" s="34" t="str">
        <f aca="false">IF(OR(K678="",M678=""),"",K678-M678)</f>
        <v/>
      </c>
      <c r="O678" s="35" t="str">
        <f aca="false">IF(OR(N678="",K678=""),"",IF(K678=0,"",N678/K678))</f>
        <v/>
      </c>
      <c r="P678" s="25"/>
      <c r="Q678" s="25"/>
      <c r="R678" s="25"/>
      <c r="S678" s="36" t="str">
        <f aca="false">IF(A678="","",YEAR(A678)+IF(AND(FYStart&gt;1,MONTH(A678)&gt;=FYStart),1,0))</f>
        <v/>
      </c>
      <c r="T678" s="36" t="str">
        <f aca="false">IF(A678="","",MOD(MONTH(A678)-FYStart,12)+1)</f>
        <v/>
      </c>
      <c r="U678" s="37" t="str">
        <f aca="false">IF(A678="","",TEXT(A678,"mmm"))</f>
        <v/>
      </c>
      <c r="V678" s="37" t="str">
        <f aca="false">IF(Q678="","",IFERROR(INDEX(Settings!$I$11:$I$15,MATCH(Q678,Settings!$H$11:$H$15,0)),"No"))</f>
        <v/>
      </c>
      <c r="W678" s="37" t="str">
        <f aca="false">IF(Q678="","",IFERROR(INDEX(Settings!$J$11:$J$15,MATCH(Q678,Settings!$H$11:$H$15,0)),"No"))</f>
        <v/>
      </c>
    </row>
    <row r="679" customFormat="false" ht="15" hidden="false" customHeight="false" outlineLevel="0" collapsed="false">
      <c r="A679" s="30"/>
      <c r="B679" s="25"/>
      <c r="C679" s="25"/>
      <c r="D679" s="25"/>
      <c r="E679" s="25"/>
      <c r="F679" s="25"/>
      <c r="G679" s="25"/>
      <c r="H679" s="31"/>
      <c r="I679" s="32"/>
      <c r="J679" s="33"/>
      <c r="K679" s="34" t="str">
        <f aca="false">IF(OR(H679="",I679=""),"",H679*I679*(1-N(J679)))</f>
        <v/>
      </c>
      <c r="L679" s="32"/>
      <c r="M679" s="34" t="str">
        <f aca="false">IF(OR(H679="",L679=""),"",H679*L679)</f>
        <v/>
      </c>
      <c r="N679" s="34" t="str">
        <f aca="false">IF(OR(K679="",M679=""),"",K679-M679)</f>
        <v/>
      </c>
      <c r="O679" s="35" t="str">
        <f aca="false">IF(OR(N679="",K679=""),"",IF(K679=0,"",N679/K679))</f>
        <v/>
      </c>
      <c r="P679" s="25"/>
      <c r="Q679" s="25"/>
      <c r="R679" s="25"/>
      <c r="S679" s="36" t="str">
        <f aca="false">IF(A679="","",YEAR(A679)+IF(AND(FYStart&gt;1,MONTH(A679)&gt;=FYStart),1,0))</f>
        <v/>
      </c>
      <c r="T679" s="36" t="str">
        <f aca="false">IF(A679="","",MOD(MONTH(A679)-FYStart,12)+1)</f>
        <v/>
      </c>
      <c r="U679" s="37" t="str">
        <f aca="false">IF(A679="","",TEXT(A679,"mmm"))</f>
        <v/>
      </c>
      <c r="V679" s="37" t="str">
        <f aca="false">IF(Q679="","",IFERROR(INDEX(Settings!$I$11:$I$15,MATCH(Q679,Settings!$H$11:$H$15,0)),"No"))</f>
        <v/>
      </c>
      <c r="W679" s="37" t="str">
        <f aca="false">IF(Q679="","",IFERROR(INDEX(Settings!$J$11:$J$15,MATCH(Q679,Settings!$H$11:$H$15,0)),"No"))</f>
        <v/>
      </c>
    </row>
    <row r="680" customFormat="false" ht="15" hidden="false" customHeight="false" outlineLevel="0" collapsed="false">
      <c r="A680" s="30"/>
      <c r="B680" s="25"/>
      <c r="C680" s="25"/>
      <c r="D680" s="25"/>
      <c r="E680" s="25"/>
      <c r="F680" s="25"/>
      <c r="G680" s="25"/>
      <c r="H680" s="31"/>
      <c r="I680" s="32"/>
      <c r="J680" s="33"/>
      <c r="K680" s="34" t="str">
        <f aca="false">IF(OR(H680="",I680=""),"",H680*I680*(1-N(J680)))</f>
        <v/>
      </c>
      <c r="L680" s="32"/>
      <c r="M680" s="34" t="str">
        <f aca="false">IF(OR(H680="",L680=""),"",H680*L680)</f>
        <v/>
      </c>
      <c r="N680" s="34" t="str">
        <f aca="false">IF(OR(K680="",M680=""),"",K680-M680)</f>
        <v/>
      </c>
      <c r="O680" s="35" t="str">
        <f aca="false">IF(OR(N680="",K680=""),"",IF(K680=0,"",N680/K680))</f>
        <v/>
      </c>
      <c r="P680" s="25"/>
      <c r="Q680" s="25"/>
      <c r="R680" s="25"/>
      <c r="S680" s="36" t="str">
        <f aca="false">IF(A680="","",YEAR(A680)+IF(AND(FYStart&gt;1,MONTH(A680)&gt;=FYStart),1,0))</f>
        <v/>
      </c>
      <c r="T680" s="36" t="str">
        <f aca="false">IF(A680="","",MOD(MONTH(A680)-FYStart,12)+1)</f>
        <v/>
      </c>
      <c r="U680" s="37" t="str">
        <f aca="false">IF(A680="","",TEXT(A680,"mmm"))</f>
        <v/>
      </c>
      <c r="V680" s="37" t="str">
        <f aca="false">IF(Q680="","",IFERROR(INDEX(Settings!$I$11:$I$15,MATCH(Q680,Settings!$H$11:$H$15,0)),"No"))</f>
        <v/>
      </c>
      <c r="W680" s="37" t="str">
        <f aca="false">IF(Q680="","",IFERROR(INDEX(Settings!$J$11:$J$15,MATCH(Q680,Settings!$H$11:$H$15,0)),"No"))</f>
        <v/>
      </c>
    </row>
    <row r="681" customFormat="false" ht="15" hidden="false" customHeight="false" outlineLevel="0" collapsed="false">
      <c r="A681" s="30"/>
      <c r="B681" s="25"/>
      <c r="C681" s="25"/>
      <c r="D681" s="25"/>
      <c r="E681" s="25"/>
      <c r="F681" s="25"/>
      <c r="G681" s="25"/>
      <c r="H681" s="31"/>
      <c r="I681" s="32"/>
      <c r="J681" s="33"/>
      <c r="K681" s="34" t="str">
        <f aca="false">IF(OR(H681="",I681=""),"",H681*I681*(1-N(J681)))</f>
        <v/>
      </c>
      <c r="L681" s="32"/>
      <c r="M681" s="34" t="str">
        <f aca="false">IF(OR(H681="",L681=""),"",H681*L681)</f>
        <v/>
      </c>
      <c r="N681" s="34" t="str">
        <f aca="false">IF(OR(K681="",M681=""),"",K681-M681)</f>
        <v/>
      </c>
      <c r="O681" s="35" t="str">
        <f aca="false">IF(OR(N681="",K681=""),"",IF(K681=0,"",N681/K681))</f>
        <v/>
      </c>
      <c r="P681" s="25"/>
      <c r="Q681" s="25"/>
      <c r="R681" s="25"/>
      <c r="S681" s="36" t="str">
        <f aca="false">IF(A681="","",YEAR(A681)+IF(AND(FYStart&gt;1,MONTH(A681)&gt;=FYStart),1,0))</f>
        <v/>
      </c>
      <c r="T681" s="36" t="str">
        <f aca="false">IF(A681="","",MOD(MONTH(A681)-FYStart,12)+1)</f>
        <v/>
      </c>
      <c r="U681" s="37" t="str">
        <f aca="false">IF(A681="","",TEXT(A681,"mmm"))</f>
        <v/>
      </c>
      <c r="V681" s="37" t="str">
        <f aca="false">IF(Q681="","",IFERROR(INDEX(Settings!$I$11:$I$15,MATCH(Q681,Settings!$H$11:$H$15,0)),"No"))</f>
        <v/>
      </c>
      <c r="W681" s="37" t="str">
        <f aca="false">IF(Q681="","",IFERROR(INDEX(Settings!$J$11:$J$15,MATCH(Q681,Settings!$H$11:$H$15,0)),"No"))</f>
        <v/>
      </c>
    </row>
    <row r="682" customFormat="false" ht="15" hidden="false" customHeight="false" outlineLevel="0" collapsed="false">
      <c r="A682" s="30"/>
      <c r="B682" s="25"/>
      <c r="C682" s="25"/>
      <c r="D682" s="25"/>
      <c r="E682" s="25"/>
      <c r="F682" s="25"/>
      <c r="G682" s="25"/>
      <c r="H682" s="31"/>
      <c r="I682" s="32"/>
      <c r="J682" s="33"/>
      <c r="K682" s="34" t="str">
        <f aca="false">IF(OR(H682="",I682=""),"",H682*I682*(1-N(J682)))</f>
        <v/>
      </c>
      <c r="L682" s="32"/>
      <c r="M682" s="34" t="str">
        <f aca="false">IF(OR(H682="",L682=""),"",H682*L682)</f>
        <v/>
      </c>
      <c r="N682" s="34" t="str">
        <f aca="false">IF(OR(K682="",M682=""),"",K682-M682)</f>
        <v/>
      </c>
      <c r="O682" s="35" t="str">
        <f aca="false">IF(OR(N682="",K682=""),"",IF(K682=0,"",N682/K682))</f>
        <v/>
      </c>
      <c r="P682" s="25"/>
      <c r="Q682" s="25"/>
      <c r="R682" s="25"/>
      <c r="S682" s="36" t="str">
        <f aca="false">IF(A682="","",YEAR(A682)+IF(AND(FYStart&gt;1,MONTH(A682)&gt;=FYStart),1,0))</f>
        <v/>
      </c>
      <c r="T682" s="36" t="str">
        <f aca="false">IF(A682="","",MOD(MONTH(A682)-FYStart,12)+1)</f>
        <v/>
      </c>
      <c r="U682" s="37" t="str">
        <f aca="false">IF(A682="","",TEXT(A682,"mmm"))</f>
        <v/>
      </c>
      <c r="V682" s="37" t="str">
        <f aca="false">IF(Q682="","",IFERROR(INDEX(Settings!$I$11:$I$15,MATCH(Q682,Settings!$H$11:$H$15,0)),"No"))</f>
        <v/>
      </c>
      <c r="W682" s="37" t="str">
        <f aca="false">IF(Q682="","",IFERROR(INDEX(Settings!$J$11:$J$15,MATCH(Q682,Settings!$H$11:$H$15,0)),"No"))</f>
        <v/>
      </c>
    </row>
    <row r="683" customFormat="false" ht="15" hidden="false" customHeight="false" outlineLevel="0" collapsed="false">
      <c r="A683" s="30"/>
      <c r="B683" s="25"/>
      <c r="C683" s="25"/>
      <c r="D683" s="25"/>
      <c r="E683" s="25"/>
      <c r="F683" s="25"/>
      <c r="G683" s="25"/>
      <c r="H683" s="31"/>
      <c r="I683" s="32"/>
      <c r="J683" s="33"/>
      <c r="K683" s="34" t="str">
        <f aca="false">IF(OR(H683="",I683=""),"",H683*I683*(1-N(J683)))</f>
        <v/>
      </c>
      <c r="L683" s="32"/>
      <c r="M683" s="34" t="str">
        <f aca="false">IF(OR(H683="",L683=""),"",H683*L683)</f>
        <v/>
      </c>
      <c r="N683" s="34" t="str">
        <f aca="false">IF(OR(K683="",M683=""),"",K683-M683)</f>
        <v/>
      </c>
      <c r="O683" s="35" t="str">
        <f aca="false">IF(OR(N683="",K683=""),"",IF(K683=0,"",N683/K683))</f>
        <v/>
      </c>
      <c r="P683" s="25"/>
      <c r="Q683" s="25"/>
      <c r="R683" s="25"/>
      <c r="S683" s="36" t="str">
        <f aca="false">IF(A683="","",YEAR(A683)+IF(AND(FYStart&gt;1,MONTH(A683)&gt;=FYStart),1,0))</f>
        <v/>
      </c>
      <c r="T683" s="36" t="str">
        <f aca="false">IF(A683="","",MOD(MONTH(A683)-FYStart,12)+1)</f>
        <v/>
      </c>
      <c r="U683" s="37" t="str">
        <f aca="false">IF(A683="","",TEXT(A683,"mmm"))</f>
        <v/>
      </c>
      <c r="V683" s="37" t="str">
        <f aca="false">IF(Q683="","",IFERROR(INDEX(Settings!$I$11:$I$15,MATCH(Q683,Settings!$H$11:$H$15,0)),"No"))</f>
        <v/>
      </c>
      <c r="W683" s="37" t="str">
        <f aca="false">IF(Q683="","",IFERROR(INDEX(Settings!$J$11:$J$15,MATCH(Q683,Settings!$H$11:$H$15,0)),"No"))</f>
        <v/>
      </c>
    </row>
    <row r="684" customFormat="false" ht="15" hidden="false" customHeight="false" outlineLevel="0" collapsed="false">
      <c r="A684" s="30"/>
      <c r="B684" s="25"/>
      <c r="C684" s="25"/>
      <c r="D684" s="25"/>
      <c r="E684" s="25"/>
      <c r="F684" s="25"/>
      <c r="G684" s="25"/>
      <c r="H684" s="31"/>
      <c r="I684" s="32"/>
      <c r="J684" s="33"/>
      <c r="K684" s="34" t="str">
        <f aca="false">IF(OR(H684="",I684=""),"",H684*I684*(1-N(J684)))</f>
        <v/>
      </c>
      <c r="L684" s="32"/>
      <c r="M684" s="34" t="str">
        <f aca="false">IF(OR(H684="",L684=""),"",H684*L684)</f>
        <v/>
      </c>
      <c r="N684" s="34" t="str">
        <f aca="false">IF(OR(K684="",M684=""),"",K684-M684)</f>
        <v/>
      </c>
      <c r="O684" s="35" t="str">
        <f aca="false">IF(OR(N684="",K684=""),"",IF(K684=0,"",N684/K684))</f>
        <v/>
      </c>
      <c r="P684" s="25"/>
      <c r="Q684" s="25"/>
      <c r="R684" s="25"/>
      <c r="S684" s="36" t="str">
        <f aca="false">IF(A684="","",YEAR(A684)+IF(AND(FYStart&gt;1,MONTH(A684)&gt;=FYStart),1,0))</f>
        <v/>
      </c>
      <c r="T684" s="36" t="str">
        <f aca="false">IF(A684="","",MOD(MONTH(A684)-FYStart,12)+1)</f>
        <v/>
      </c>
      <c r="U684" s="37" t="str">
        <f aca="false">IF(A684="","",TEXT(A684,"mmm"))</f>
        <v/>
      </c>
      <c r="V684" s="37" t="str">
        <f aca="false">IF(Q684="","",IFERROR(INDEX(Settings!$I$11:$I$15,MATCH(Q684,Settings!$H$11:$H$15,0)),"No"))</f>
        <v/>
      </c>
      <c r="W684" s="37" t="str">
        <f aca="false">IF(Q684="","",IFERROR(INDEX(Settings!$J$11:$J$15,MATCH(Q684,Settings!$H$11:$H$15,0)),"No"))</f>
        <v/>
      </c>
    </row>
    <row r="685" customFormat="false" ht="15" hidden="false" customHeight="false" outlineLevel="0" collapsed="false">
      <c r="A685" s="30"/>
      <c r="B685" s="25"/>
      <c r="C685" s="25"/>
      <c r="D685" s="25"/>
      <c r="E685" s="25"/>
      <c r="F685" s="25"/>
      <c r="G685" s="25"/>
      <c r="H685" s="31"/>
      <c r="I685" s="32"/>
      <c r="J685" s="33"/>
      <c r="K685" s="34" t="str">
        <f aca="false">IF(OR(H685="",I685=""),"",H685*I685*(1-N(J685)))</f>
        <v/>
      </c>
      <c r="L685" s="32"/>
      <c r="M685" s="34" t="str">
        <f aca="false">IF(OR(H685="",L685=""),"",H685*L685)</f>
        <v/>
      </c>
      <c r="N685" s="34" t="str">
        <f aca="false">IF(OR(K685="",M685=""),"",K685-M685)</f>
        <v/>
      </c>
      <c r="O685" s="35" t="str">
        <f aca="false">IF(OR(N685="",K685=""),"",IF(K685=0,"",N685/K685))</f>
        <v/>
      </c>
      <c r="P685" s="25"/>
      <c r="Q685" s="25"/>
      <c r="R685" s="25"/>
      <c r="S685" s="36" t="str">
        <f aca="false">IF(A685="","",YEAR(A685)+IF(AND(FYStart&gt;1,MONTH(A685)&gt;=FYStart),1,0))</f>
        <v/>
      </c>
      <c r="T685" s="36" t="str">
        <f aca="false">IF(A685="","",MOD(MONTH(A685)-FYStart,12)+1)</f>
        <v/>
      </c>
      <c r="U685" s="37" t="str">
        <f aca="false">IF(A685="","",TEXT(A685,"mmm"))</f>
        <v/>
      </c>
      <c r="V685" s="37" t="str">
        <f aca="false">IF(Q685="","",IFERROR(INDEX(Settings!$I$11:$I$15,MATCH(Q685,Settings!$H$11:$H$15,0)),"No"))</f>
        <v/>
      </c>
      <c r="W685" s="37" t="str">
        <f aca="false">IF(Q685="","",IFERROR(INDEX(Settings!$J$11:$J$15,MATCH(Q685,Settings!$H$11:$H$15,0)),"No"))</f>
        <v/>
      </c>
    </row>
    <row r="686" customFormat="false" ht="15" hidden="false" customHeight="false" outlineLevel="0" collapsed="false">
      <c r="A686" s="30"/>
      <c r="B686" s="25"/>
      <c r="C686" s="25"/>
      <c r="D686" s="25"/>
      <c r="E686" s="25"/>
      <c r="F686" s="25"/>
      <c r="G686" s="25"/>
      <c r="H686" s="31"/>
      <c r="I686" s="32"/>
      <c r="J686" s="33"/>
      <c r="K686" s="34" t="str">
        <f aca="false">IF(OR(H686="",I686=""),"",H686*I686*(1-N(J686)))</f>
        <v/>
      </c>
      <c r="L686" s="32"/>
      <c r="M686" s="34" t="str">
        <f aca="false">IF(OR(H686="",L686=""),"",H686*L686)</f>
        <v/>
      </c>
      <c r="N686" s="34" t="str">
        <f aca="false">IF(OR(K686="",M686=""),"",K686-M686)</f>
        <v/>
      </c>
      <c r="O686" s="35" t="str">
        <f aca="false">IF(OR(N686="",K686=""),"",IF(K686=0,"",N686/K686))</f>
        <v/>
      </c>
      <c r="P686" s="25"/>
      <c r="Q686" s="25"/>
      <c r="R686" s="25"/>
      <c r="S686" s="36" t="str">
        <f aca="false">IF(A686="","",YEAR(A686)+IF(AND(FYStart&gt;1,MONTH(A686)&gt;=FYStart),1,0))</f>
        <v/>
      </c>
      <c r="T686" s="36" t="str">
        <f aca="false">IF(A686="","",MOD(MONTH(A686)-FYStart,12)+1)</f>
        <v/>
      </c>
      <c r="U686" s="37" t="str">
        <f aca="false">IF(A686="","",TEXT(A686,"mmm"))</f>
        <v/>
      </c>
      <c r="V686" s="37" t="str">
        <f aca="false">IF(Q686="","",IFERROR(INDEX(Settings!$I$11:$I$15,MATCH(Q686,Settings!$H$11:$H$15,0)),"No"))</f>
        <v/>
      </c>
      <c r="W686" s="37" t="str">
        <f aca="false">IF(Q686="","",IFERROR(INDEX(Settings!$J$11:$J$15,MATCH(Q686,Settings!$H$11:$H$15,0)),"No"))</f>
        <v/>
      </c>
    </row>
    <row r="687" customFormat="false" ht="15" hidden="false" customHeight="false" outlineLevel="0" collapsed="false">
      <c r="A687" s="30"/>
      <c r="B687" s="25"/>
      <c r="C687" s="25"/>
      <c r="D687" s="25"/>
      <c r="E687" s="25"/>
      <c r="F687" s="25"/>
      <c r="G687" s="25"/>
      <c r="H687" s="31"/>
      <c r="I687" s="32"/>
      <c r="J687" s="33"/>
      <c r="K687" s="34" t="str">
        <f aca="false">IF(OR(H687="",I687=""),"",H687*I687*(1-N(J687)))</f>
        <v/>
      </c>
      <c r="L687" s="32"/>
      <c r="M687" s="34" t="str">
        <f aca="false">IF(OR(H687="",L687=""),"",H687*L687)</f>
        <v/>
      </c>
      <c r="N687" s="34" t="str">
        <f aca="false">IF(OR(K687="",M687=""),"",K687-M687)</f>
        <v/>
      </c>
      <c r="O687" s="35" t="str">
        <f aca="false">IF(OR(N687="",K687=""),"",IF(K687=0,"",N687/K687))</f>
        <v/>
      </c>
      <c r="P687" s="25"/>
      <c r="Q687" s="25"/>
      <c r="R687" s="25"/>
      <c r="S687" s="36" t="str">
        <f aca="false">IF(A687="","",YEAR(A687)+IF(AND(FYStart&gt;1,MONTH(A687)&gt;=FYStart),1,0))</f>
        <v/>
      </c>
      <c r="T687" s="36" t="str">
        <f aca="false">IF(A687="","",MOD(MONTH(A687)-FYStart,12)+1)</f>
        <v/>
      </c>
      <c r="U687" s="37" t="str">
        <f aca="false">IF(A687="","",TEXT(A687,"mmm"))</f>
        <v/>
      </c>
      <c r="V687" s="37" t="str">
        <f aca="false">IF(Q687="","",IFERROR(INDEX(Settings!$I$11:$I$15,MATCH(Q687,Settings!$H$11:$H$15,0)),"No"))</f>
        <v/>
      </c>
      <c r="W687" s="37" t="str">
        <f aca="false">IF(Q687="","",IFERROR(INDEX(Settings!$J$11:$J$15,MATCH(Q687,Settings!$H$11:$H$15,0)),"No"))</f>
        <v/>
      </c>
    </row>
    <row r="688" customFormat="false" ht="15" hidden="false" customHeight="false" outlineLevel="0" collapsed="false">
      <c r="A688" s="30"/>
      <c r="B688" s="25"/>
      <c r="C688" s="25"/>
      <c r="D688" s="25"/>
      <c r="E688" s="25"/>
      <c r="F688" s="25"/>
      <c r="G688" s="25"/>
      <c r="H688" s="31"/>
      <c r="I688" s="32"/>
      <c r="J688" s="33"/>
      <c r="K688" s="34" t="str">
        <f aca="false">IF(OR(H688="",I688=""),"",H688*I688*(1-N(J688)))</f>
        <v/>
      </c>
      <c r="L688" s="32"/>
      <c r="M688" s="34" t="str">
        <f aca="false">IF(OR(H688="",L688=""),"",H688*L688)</f>
        <v/>
      </c>
      <c r="N688" s="34" t="str">
        <f aca="false">IF(OR(K688="",M688=""),"",K688-M688)</f>
        <v/>
      </c>
      <c r="O688" s="35" t="str">
        <f aca="false">IF(OR(N688="",K688=""),"",IF(K688=0,"",N688/K688))</f>
        <v/>
      </c>
      <c r="P688" s="25"/>
      <c r="Q688" s="25"/>
      <c r="R688" s="25"/>
      <c r="S688" s="36" t="str">
        <f aca="false">IF(A688="","",YEAR(A688)+IF(AND(FYStart&gt;1,MONTH(A688)&gt;=FYStart),1,0))</f>
        <v/>
      </c>
      <c r="T688" s="36" t="str">
        <f aca="false">IF(A688="","",MOD(MONTH(A688)-FYStart,12)+1)</f>
        <v/>
      </c>
      <c r="U688" s="37" t="str">
        <f aca="false">IF(A688="","",TEXT(A688,"mmm"))</f>
        <v/>
      </c>
      <c r="V688" s="37" t="str">
        <f aca="false">IF(Q688="","",IFERROR(INDEX(Settings!$I$11:$I$15,MATCH(Q688,Settings!$H$11:$H$15,0)),"No"))</f>
        <v/>
      </c>
      <c r="W688" s="37" t="str">
        <f aca="false">IF(Q688="","",IFERROR(INDEX(Settings!$J$11:$J$15,MATCH(Q688,Settings!$H$11:$H$15,0)),"No"))</f>
        <v/>
      </c>
    </row>
    <row r="689" customFormat="false" ht="15" hidden="false" customHeight="false" outlineLevel="0" collapsed="false">
      <c r="A689" s="30"/>
      <c r="B689" s="25"/>
      <c r="C689" s="25"/>
      <c r="D689" s="25"/>
      <c r="E689" s="25"/>
      <c r="F689" s="25"/>
      <c r="G689" s="25"/>
      <c r="H689" s="31"/>
      <c r="I689" s="32"/>
      <c r="J689" s="33"/>
      <c r="K689" s="34" t="str">
        <f aca="false">IF(OR(H689="",I689=""),"",H689*I689*(1-N(J689)))</f>
        <v/>
      </c>
      <c r="L689" s="32"/>
      <c r="M689" s="34" t="str">
        <f aca="false">IF(OR(H689="",L689=""),"",H689*L689)</f>
        <v/>
      </c>
      <c r="N689" s="34" t="str">
        <f aca="false">IF(OR(K689="",M689=""),"",K689-M689)</f>
        <v/>
      </c>
      <c r="O689" s="35" t="str">
        <f aca="false">IF(OR(N689="",K689=""),"",IF(K689=0,"",N689/K689))</f>
        <v/>
      </c>
      <c r="P689" s="25"/>
      <c r="Q689" s="25"/>
      <c r="R689" s="25"/>
      <c r="S689" s="36" t="str">
        <f aca="false">IF(A689="","",YEAR(A689)+IF(AND(FYStart&gt;1,MONTH(A689)&gt;=FYStart),1,0))</f>
        <v/>
      </c>
      <c r="T689" s="36" t="str">
        <f aca="false">IF(A689="","",MOD(MONTH(A689)-FYStart,12)+1)</f>
        <v/>
      </c>
      <c r="U689" s="37" t="str">
        <f aca="false">IF(A689="","",TEXT(A689,"mmm"))</f>
        <v/>
      </c>
      <c r="V689" s="37" t="str">
        <f aca="false">IF(Q689="","",IFERROR(INDEX(Settings!$I$11:$I$15,MATCH(Q689,Settings!$H$11:$H$15,0)),"No"))</f>
        <v/>
      </c>
      <c r="W689" s="37" t="str">
        <f aca="false">IF(Q689="","",IFERROR(INDEX(Settings!$J$11:$J$15,MATCH(Q689,Settings!$H$11:$H$15,0)),"No"))</f>
        <v/>
      </c>
    </row>
    <row r="690" customFormat="false" ht="15" hidden="false" customHeight="false" outlineLevel="0" collapsed="false">
      <c r="A690" s="30"/>
      <c r="B690" s="25"/>
      <c r="C690" s="25"/>
      <c r="D690" s="25"/>
      <c r="E690" s="25"/>
      <c r="F690" s="25"/>
      <c r="G690" s="25"/>
      <c r="H690" s="31"/>
      <c r="I690" s="32"/>
      <c r="J690" s="33"/>
      <c r="K690" s="34" t="str">
        <f aca="false">IF(OR(H690="",I690=""),"",H690*I690*(1-N(J690)))</f>
        <v/>
      </c>
      <c r="L690" s="32"/>
      <c r="M690" s="34" t="str">
        <f aca="false">IF(OR(H690="",L690=""),"",H690*L690)</f>
        <v/>
      </c>
      <c r="N690" s="34" t="str">
        <f aca="false">IF(OR(K690="",M690=""),"",K690-M690)</f>
        <v/>
      </c>
      <c r="O690" s="35" t="str">
        <f aca="false">IF(OR(N690="",K690=""),"",IF(K690=0,"",N690/K690))</f>
        <v/>
      </c>
      <c r="P690" s="25"/>
      <c r="Q690" s="25"/>
      <c r="R690" s="25"/>
      <c r="S690" s="36" t="str">
        <f aca="false">IF(A690="","",YEAR(A690)+IF(AND(FYStart&gt;1,MONTH(A690)&gt;=FYStart),1,0))</f>
        <v/>
      </c>
      <c r="T690" s="36" t="str">
        <f aca="false">IF(A690="","",MOD(MONTH(A690)-FYStart,12)+1)</f>
        <v/>
      </c>
      <c r="U690" s="37" t="str">
        <f aca="false">IF(A690="","",TEXT(A690,"mmm"))</f>
        <v/>
      </c>
      <c r="V690" s="37" t="str">
        <f aca="false">IF(Q690="","",IFERROR(INDEX(Settings!$I$11:$I$15,MATCH(Q690,Settings!$H$11:$H$15,0)),"No"))</f>
        <v/>
      </c>
      <c r="W690" s="37" t="str">
        <f aca="false">IF(Q690="","",IFERROR(INDEX(Settings!$J$11:$J$15,MATCH(Q690,Settings!$H$11:$H$15,0)),"No"))</f>
        <v/>
      </c>
    </row>
    <row r="691" customFormat="false" ht="15" hidden="false" customHeight="false" outlineLevel="0" collapsed="false">
      <c r="A691" s="30"/>
      <c r="B691" s="25"/>
      <c r="C691" s="25"/>
      <c r="D691" s="25"/>
      <c r="E691" s="25"/>
      <c r="F691" s="25"/>
      <c r="G691" s="25"/>
      <c r="H691" s="31"/>
      <c r="I691" s="32"/>
      <c r="J691" s="33"/>
      <c r="K691" s="34" t="str">
        <f aca="false">IF(OR(H691="",I691=""),"",H691*I691*(1-N(J691)))</f>
        <v/>
      </c>
      <c r="L691" s="32"/>
      <c r="M691" s="34" t="str">
        <f aca="false">IF(OR(H691="",L691=""),"",H691*L691)</f>
        <v/>
      </c>
      <c r="N691" s="34" t="str">
        <f aca="false">IF(OR(K691="",M691=""),"",K691-M691)</f>
        <v/>
      </c>
      <c r="O691" s="35" t="str">
        <f aca="false">IF(OR(N691="",K691=""),"",IF(K691=0,"",N691/K691))</f>
        <v/>
      </c>
      <c r="P691" s="25"/>
      <c r="Q691" s="25"/>
      <c r="R691" s="25"/>
      <c r="S691" s="36" t="str">
        <f aca="false">IF(A691="","",YEAR(A691)+IF(AND(FYStart&gt;1,MONTH(A691)&gt;=FYStart),1,0))</f>
        <v/>
      </c>
      <c r="T691" s="36" t="str">
        <f aca="false">IF(A691="","",MOD(MONTH(A691)-FYStart,12)+1)</f>
        <v/>
      </c>
      <c r="U691" s="37" t="str">
        <f aca="false">IF(A691="","",TEXT(A691,"mmm"))</f>
        <v/>
      </c>
      <c r="V691" s="37" t="str">
        <f aca="false">IF(Q691="","",IFERROR(INDEX(Settings!$I$11:$I$15,MATCH(Q691,Settings!$H$11:$H$15,0)),"No"))</f>
        <v/>
      </c>
      <c r="W691" s="37" t="str">
        <f aca="false">IF(Q691="","",IFERROR(INDEX(Settings!$J$11:$J$15,MATCH(Q691,Settings!$H$11:$H$15,0)),"No"))</f>
        <v/>
      </c>
    </row>
    <row r="692" customFormat="false" ht="15" hidden="false" customHeight="false" outlineLevel="0" collapsed="false">
      <c r="A692" s="30"/>
      <c r="B692" s="25"/>
      <c r="C692" s="25"/>
      <c r="D692" s="25"/>
      <c r="E692" s="25"/>
      <c r="F692" s="25"/>
      <c r="G692" s="25"/>
      <c r="H692" s="31"/>
      <c r="I692" s="32"/>
      <c r="J692" s="33"/>
      <c r="K692" s="34" t="str">
        <f aca="false">IF(OR(H692="",I692=""),"",H692*I692*(1-N(J692)))</f>
        <v/>
      </c>
      <c r="L692" s="32"/>
      <c r="M692" s="34" t="str">
        <f aca="false">IF(OR(H692="",L692=""),"",H692*L692)</f>
        <v/>
      </c>
      <c r="N692" s="34" t="str">
        <f aca="false">IF(OR(K692="",M692=""),"",K692-M692)</f>
        <v/>
      </c>
      <c r="O692" s="35" t="str">
        <f aca="false">IF(OR(N692="",K692=""),"",IF(K692=0,"",N692/K692))</f>
        <v/>
      </c>
      <c r="P692" s="25"/>
      <c r="Q692" s="25"/>
      <c r="R692" s="25"/>
      <c r="S692" s="36" t="str">
        <f aca="false">IF(A692="","",YEAR(A692)+IF(AND(FYStart&gt;1,MONTH(A692)&gt;=FYStart),1,0))</f>
        <v/>
      </c>
      <c r="T692" s="36" t="str">
        <f aca="false">IF(A692="","",MOD(MONTH(A692)-FYStart,12)+1)</f>
        <v/>
      </c>
      <c r="U692" s="37" t="str">
        <f aca="false">IF(A692="","",TEXT(A692,"mmm"))</f>
        <v/>
      </c>
      <c r="V692" s="37" t="str">
        <f aca="false">IF(Q692="","",IFERROR(INDEX(Settings!$I$11:$I$15,MATCH(Q692,Settings!$H$11:$H$15,0)),"No"))</f>
        <v/>
      </c>
      <c r="W692" s="37" t="str">
        <f aca="false">IF(Q692="","",IFERROR(INDEX(Settings!$J$11:$J$15,MATCH(Q692,Settings!$H$11:$H$15,0)),"No"))</f>
        <v/>
      </c>
    </row>
    <row r="693" customFormat="false" ht="15" hidden="false" customHeight="false" outlineLevel="0" collapsed="false">
      <c r="A693" s="30"/>
      <c r="B693" s="25"/>
      <c r="C693" s="25"/>
      <c r="D693" s="25"/>
      <c r="E693" s="25"/>
      <c r="F693" s="25"/>
      <c r="G693" s="25"/>
      <c r="H693" s="31"/>
      <c r="I693" s="32"/>
      <c r="J693" s="33"/>
      <c r="K693" s="34" t="str">
        <f aca="false">IF(OR(H693="",I693=""),"",H693*I693*(1-N(J693)))</f>
        <v/>
      </c>
      <c r="L693" s="32"/>
      <c r="M693" s="34" t="str">
        <f aca="false">IF(OR(H693="",L693=""),"",H693*L693)</f>
        <v/>
      </c>
      <c r="N693" s="34" t="str">
        <f aca="false">IF(OR(K693="",M693=""),"",K693-M693)</f>
        <v/>
      </c>
      <c r="O693" s="35" t="str">
        <f aca="false">IF(OR(N693="",K693=""),"",IF(K693=0,"",N693/K693))</f>
        <v/>
      </c>
      <c r="P693" s="25"/>
      <c r="Q693" s="25"/>
      <c r="R693" s="25"/>
      <c r="S693" s="36" t="str">
        <f aca="false">IF(A693="","",YEAR(A693)+IF(AND(FYStart&gt;1,MONTH(A693)&gt;=FYStart),1,0))</f>
        <v/>
      </c>
      <c r="T693" s="36" t="str">
        <f aca="false">IF(A693="","",MOD(MONTH(A693)-FYStart,12)+1)</f>
        <v/>
      </c>
      <c r="U693" s="37" t="str">
        <f aca="false">IF(A693="","",TEXT(A693,"mmm"))</f>
        <v/>
      </c>
      <c r="V693" s="37" t="str">
        <f aca="false">IF(Q693="","",IFERROR(INDEX(Settings!$I$11:$I$15,MATCH(Q693,Settings!$H$11:$H$15,0)),"No"))</f>
        <v/>
      </c>
      <c r="W693" s="37" t="str">
        <f aca="false">IF(Q693="","",IFERROR(INDEX(Settings!$J$11:$J$15,MATCH(Q693,Settings!$H$11:$H$15,0)),"No"))</f>
        <v/>
      </c>
    </row>
    <row r="694" customFormat="false" ht="15" hidden="false" customHeight="false" outlineLevel="0" collapsed="false">
      <c r="A694" s="30"/>
      <c r="B694" s="25"/>
      <c r="C694" s="25"/>
      <c r="D694" s="25"/>
      <c r="E694" s="25"/>
      <c r="F694" s="25"/>
      <c r="G694" s="25"/>
      <c r="H694" s="31"/>
      <c r="I694" s="32"/>
      <c r="J694" s="33"/>
      <c r="K694" s="34" t="str">
        <f aca="false">IF(OR(H694="",I694=""),"",H694*I694*(1-N(J694)))</f>
        <v/>
      </c>
      <c r="L694" s="32"/>
      <c r="M694" s="34" t="str">
        <f aca="false">IF(OR(H694="",L694=""),"",H694*L694)</f>
        <v/>
      </c>
      <c r="N694" s="34" t="str">
        <f aca="false">IF(OR(K694="",M694=""),"",K694-M694)</f>
        <v/>
      </c>
      <c r="O694" s="35" t="str">
        <f aca="false">IF(OR(N694="",K694=""),"",IF(K694=0,"",N694/K694))</f>
        <v/>
      </c>
      <c r="P694" s="25"/>
      <c r="Q694" s="25"/>
      <c r="R694" s="25"/>
      <c r="S694" s="36" t="str">
        <f aca="false">IF(A694="","",YEAR(A694)+IF(AND(FYStart&gt;1,MONTH(A694)&gt;=FYStart),1,0))</f>
        <v/>
      </c>
      <c r="T694" s="36" t="str">
        <f aca="false">IF(A694="","",MOD(MONTH(A694)-FYStart,12)+1)</f>
        <v/>
      </c>
      <c r="U694" s="37" t="str">
        <f aca="false">IF(A694="","",TEXT(A694,"mmm"))</f>
        <v/>
      </c>
      <c r="V694" s="37" t="str">
        <f aca="false">IF(Q694="","",IFERROR(INDEX(Settings!$I$11:$I$15,MATCH(Q694,Settings!$H$11:$H$15,0)),"No"))</f>
        <v/>
      </c>
      <c r="W694" s="37" t="str">
        <f aca="false">IF(Q694="","",IFERROR(INDEX(Settings!$J$11:$J$15,MATCH(Q694,Settings!$H$11:$H$15,0)),"No"))</f>
        <v/>
      </c>
    </row>
    <row r="695" customFormat="false" ht="15" hidden="false" customHeight="false" outlineLevel="0" collapsed="false">
      <c r="A695" s="30"/>
      <c r="B695" s="25"/>
      <c r="C695" s="25"/>
      <c r="D695" s="25"/>
      <c r="E695" s="25"/>
      <c r="F695" s="25"/>
      <c r="G695" s="25"/>
      <c r="H695" s="31"/>
      <c r="I695" s="32"/>
      <c r="J695" s="33"/>
      <c r="K695" s="34" t="str">
        <f aca="false">IF(OR(H695="",I695=""),"",H695*I695*(1-N(J695)))</f>
        <v/>
      </c>
      <c r="L695" s="32"/>
      <c r="M695" s="34" t="str">
        <f aca="false">IF(OR(H695="",L695=""),"",H695*L695)</f>
        <v/>
      </c>
      <c r="N695" s="34" t="str">
        <f aca="false">IF(OR(K695="",M695=""),"",K695-M695)</f>
        <v/>
      </c>
      <c r="O695" s="35" t="str">
        <f aca="false">IF(OR(N695="",K695=""),"",IF(K695=0,"",N695/K695))</f>
        <v/>
      </c>
      <c r="P695" s="25"/>
      <c r="Q695" s="25"/>
      <c r="R695" s="25"/>
      <c r="S695" s="36" t="str">
        <f aca="false">IF(A695="","",YEAR(A695)+IF(AND(FYStart&gt;1,MONTH(A695)&gt;=FYStart),1,0))</f>
        <v/>
      </c>
      <c r="T695" s="36" t="str">
        <f aca="false">IF(A695="","",MOD(MONTH(A695)-FYStart,12)+1)</f>
        <v/>
      </c>
      <c r="U695" s="37" t="str">
        <f aca="false">IF(A695="","",TEXT(A695,"mmm"))</f>
        <v/>
      </c>
      <c r="V695" s="37" t="str">
        <f aca="false">IF(Q695="","",IFERROR(INDEX(Settings!$I$11:$I$15,MATCH(Q695,Settings!$H$11:$H$15,0)),"No"))</f>
        <v/>
      </c>
      <c r="W695" s="37" t="str">
        <f aca="false">IF(Q695="","",IFERROR(INDEX(Settings!$J$11:$J$15,MATCH(Q695,Settings!$H$11:$H$15,0)),"No"))</f>
        <v/>
      </c>
    </row>
    <row r="696" customFormat="false" ht="15" hidden="false" customHeight="false" outlineLevel="0" collapsed="false">
      <c r="A696" s="30"/>
      <c r="B696" s="25"/>
      <c r="C696" s="25"/>
      <c r="D696" s="25"/>
      <c r="E696" s="25"/>
      <c r="F696" s="25"/>
      <c r="G696" s="25"/>
      <c r="H696" s="31"/>
      <c r="I696" s="32"/>
      <c r="J696" s="33"/>
      <c r="K696" s="34" t="str">
        <f aca="false">IF(OR(H696="",I696=""),"",H696*I696*(1-N(J696)))</f>
        <v/>
      </c>
      <c r="L696" s="32"/>
      <c r="M696" s="34" t="str">
        <f aca="false">IF(OR(H696="",L696=""),"",H696*L696)</f>
        <v/>
      </c>
      <c r="N696" s="34" t="str">
        <f aca="false">IF(OR(K696="",M696=""),"",K696-M696)</f>
        <v/>
      </c>
      <c r="O696" s="35" t="str">
        <f aca="false">IF(OR(N696="",K696=""),"",IF(K696=0,"",N696/K696))</f>
        <v/>
      </c>
      <c r="P696" s="25"/>
      <c r="Q696" s="25"/>
      <c r="R696" s="25"/>
      <c r="S696" s="36" t="str">
        <f aca="false">IF(A696="","",YEAR(A696)+IF(AND(FYStart&gt;1,MONTH(A696)&gt;=FYStart),1,0))</f>
        <v/>
      </c>
      <c r="T696" s="36" t="str">
        <f aca="false">IF(A696="","",MOD(MONTH(A696)-FYStart,12)+1)</f>
        <v/>
      </c>
      <c r="U696" s="37" t="str">
        <f aca="false">IF(A696="","",TEXT(A696,"mmm"))</f>
        <v/>
      </c>
      <c r="V696" s="37" t="str">
        <f aca="false">IF(Q696="","",IFERROR(INDEX(Settings!$I$11:$I$15,MATCH(Q696,Settings!$H$11:$H$15,0)),"No"))</f>
        <v/>
      </c>
      <c r="W696" s="37" t="str">
        <f aca="false">IF(Q696="","",IFERROR(INDEX(Settings!$J$11:$J$15,MATCH(Q696,Settings!$H$11:$H$15,0)),"No"))</f>
        <v/>
      </c>
    </row>
    <row r="697" customFormat="false" ht="15" hidden="false" customHeight="false" outlineLevel="0" collapsed="false">
      <c r="A697" s="30"/>
      <c r="B697" s="25"/>
      <c r="C697" s="25"/>
      <c r="D697" s="25"/>
      <c r="E697" s="25"/>
      <c r="F697" s="25"/>
      <c r="G697" s="25"/>
      <c r="H697" s="31"/>
      <c r="I697" s="32"/>
      <c r="J697" s="33"/>
      <c r="K697" s="34" t="str">
        <f aca="false">IF(OR(H697="",I697=""),"",H697*I697*(1-N(J697)))</f>
        <v/>
      </c>
      <c r="L697" s="32"/>
      <c r="M697" s="34" t="str">
        <f aca="false">IF(OR(H697="",L697=""),"",H697*L697)</f>
        <v/>
      </c>
      <c r="N697" s="34" t="str">
        <f aca="false">IF(OR(K697="",M697=""),"",K697-M697)</f>
        <v/>
      </c>
      <c r="O697" s="35" t="str">
        <f aca="false">IF(OR(N697="",K697=""),"",IF(K697=0,"",N697/K697))</f>
        <v/>
      </c>
      <c r="P697" s="25"/>
      <c r="Q697" s="25"/>
      <c r="R697" s="25"/>
      <c r="S697" s="36" t="str">
        <f aca="false">IF(A697="","",YEAR(A697)+IF(AND(FYStart&gt;1,MONTH(A697)&gt;=FYStart),1,0))</f>
        <v/>
      </c>
      <c r="T697" s="36" t="str">
        <f aca="false">IF(A697="","",MOD(MONTH(A697)-FYStart,12)+1)</f>
        <v/>
      </c>
      <c r="U697" s="37" t="str">
        <f aca="false">IF(A697="","",TEXT(A697,"mmm"))</f>
        <v/>
      </c>
      <c r="V697" s="37" t="str">
        <f aca="false">IF(Q697="","",IFERROR(INDEX(Settings!$I$11:$I$15,MATCH(Q697,Settings!$H$11:$H$15,0)),"No"))</f>
        <v/>
      </c>
      <c r="W697" s="37" t="str">
        <f aca="false">IF(Q697="","",IFERROR(INDEX(Settings!$J$11:$J$15,MATCH(Q697,Settings!$H$11:$H$15,0)),"No"))</f>
        <v/>
      </c>
    </row>
    <row r="698" customFormat="false" ht="15" hidden="false" customHeight="false" outlineLevel="0" collapsed="false">
      <c r="A698" s="30"/>
      <c r="B698" s="25"/>
      <c r="C698" s="25"/>
      <c r="D698" s="25"/>
      <c r="E698" s="25"/>
      <c r="F698" s="25"/>
      <c r="G698" s="25"/>
      <c r="H698" s="31"/>
      <c r="I698" s="32"/>
      <c r="J698" s="33"/>
      <c r="K698" s="34" t="str">
        <f aca="false">IF(OR(H698="",I698=""),"",H698*I698*(1-N(J698)))</f>
        <v/>
      </c>
      <c r="L698" s="32"/>
      <c r="M698" s="34" t="str">
        <f aca="false">IF(OR(H698="",L698=""),"",H698*L698)</f>
        <v/>
      </c>
      <c r="N698" s="34" t="str">
        <f aca="false">IF(OR(K698="",M698=""),"",K698-M698)</f>
        <v/>
      </c>
      <c r="O698" s="35" t="str">
        <f aca="false">IF(OR(N698="",K698=""),"",IF(K698=0,"",N698/K698))</f>
        <v/>
      </c>
      <c r="P698" s="25"/>
      <c r="Q698" s="25"/>
      <c r="R698" s="25"/>
      <c r="S698" s="36" t="str">
        <f aca="false">IF(A698="","",YEAR(A698)+IF(AND(FYStart&gt;1,MONTH(A698)&gt;=FYStart),1,0))</f>
        <v/>
      </c>
      <c r="T698" s="36" t="str">
        <f aca="false">IF(A698="","",MOD(MONTH(A698)-FYStart,12)+1)</f>
        <v/>
      </c>
      <c r="U698" s="37" t="str">
        <f aca="false">IF(A698="","",TEXT(A698,"mmm"))</f>
        <v/>
      </c>
      <c r="V698" s="37" t="str">
        <f aca="false">IF(Q698="","",IFERROR(INDEX(Settings!$I$11:$I$15,MATCH(Q698,Settings!$H$11:$H$15,0)),"No"))</f>
        <v/>
      </c>
      <c r="W698" s="37" t="str">
        <f aca="false">IF(Q698="","",IFERROR(INDEX(Settings!$J$11:$J$15,MATCH(Q698,Settings!$H$11:$H$15,0)),"No"))</f>
        <v/>
      </c>
    </row>
    <row r="699" customFormat="false" ht="15" hidden="false" customHeight="false" outlineLevel="0" collapsed="false">
      <c r="A699" s="30"/>
      <c r="B699" s="25"/>
      <c r="C699" s="25"/>
      <c r="D699" s="25"/>
      <c r="E699" s="25"/>
      <c r="F699" s="25"/>
      <c r="G699" s="25"/>
      <c r="H699" s="31"/>
      <c r="I699" s="32"/>
      <c r="J699" s="33"/>
      <c r="K699" s="34" t="str">
        <f aca="false">IF(OR(H699="",I699=""),"",H699*I699*(1-N(J699)))</f>
        <v/>
      </c>
      <c r="L699" s="32"/>
      <c r="M699" s="34" t="str">
        <f aca="false">IF(OR(H699="",L699=""),"",H699*L699)</f>
        <v/>
      </c>
      <c r="N699" s="34" t="str">
        <f aca="false">IF(OR(K699="",M699=""),"",K699-M699)</f>
        <v/>
      </c>
      <c r="O699" s="35" t="str">
        <f aca="false">IF(OR(N699="",K699=""),"",IF(K699=0,"",N699/K699))</f>
        <v/>
      </c>
      <c r="P699" s="25"/>
      <c r="Q699" s="25"/>
      <c r="R699" s="25"/>
      <c r="S699" s="36" t="str">
        <f aca="false">IF(A699="","",YEAR(A699)+IF(AND(FYStart&gt;1,MONTH(A699)&gt;=FYStart),1,0))</f>
        <v/>
      </c>
      <c r="T699" s="36" t="str">
        <f aca="false">IF(A699="","",MOD(MONTH(A699)-FYStart,12)+1)</f>
        <v/>
      </c>
      <c r="U699" s="37" t="str">
        <f aca="false">IF(A699="","",TEXT(A699,"mmm"))</f>
        <v/>
      </c>
      <c r="V699" s="37" t="str">
        <f aca="false">IF(Q699="","",IFERROR(INDEX(Settings!$I$11:$I$15,MATCH(Q699,Settings!$H$11:$H$15,0)),"No"))</f>
        <v/>
      </c>
      <c r="W699" s="37" t="str">
        <f aca="false">IF(Q699="","",IFERROR(INDEX(Settings!$J$11:$J$15,MATCH(Q699,Settings!$H$11:$H$15,0)),"No"))</f>
        <v/>
      </c>
    </row>
    <row r="700" customFormat="false" ht="15" hidden="false" customHeight="false" outlineLevel="0" collapsed="false">
      <c r="A700" s="30"/>
      <c r="B700" s="25"/>
      <c r="C700" s="25"/>
      <c r="D700" s="25"/>
      <c r="E700" s="25"/>
      <c r="F700" s="25"/>
      <c r="G700" s="25"/>
      <c r="H700" s="31"/>
      <c r="I700" s="32"/>
      <c r="J700" s="33"/>
      <c r="K700" s="34" t="str">
        <f aca="false">IF(OR(H700="",I700=""),"",H700*I700*(1-N(J700)))</f>
        <v/>
      </c>
      <c r="L700" s="32"/>
      <c r="M700" s="34" t="str">
        <f aca="false">IF(OR(H700="",L700=""),"",H700*L700)</f>
        <v/>
      </c>
      <c r="N700" s="34" t="str">
        <f aca="false">IF(OR(K700="",M700=""),"",K700-M700)</f>
        <v/>
      </c>
      <c r="O700" s="35" t="str">
        <f aca="false">IF(OR(N700="",K700=""),"",IF(K700=0,"",N700/K700))</f>
        <v/>
      </c>
      <c r="P700" s="25"/>
      <c r="Q700" s="25"/>
      <c r="R700" s="25"/>
      <c r="S700" s="36" t="str">
        <f aca="false">IF(A700="","",YEAR(A700)+IF(AND(FYStart&gt;1,MONTH(A700)&gt;=FYStart),1,0))</f>
        <v/>
      </c>
      <c r="T700" s="36" t="str">
        <f aca="false">IF(A700="","",MOD(MONTH(A700)-FYStart,12)+1)</f>
        <v/>
      </c>
      <c r="U700" s="37" t="str">
        <f aca="false">IF(A700="","",TEXT(A700,"mmm"))</f>
        <v/>
      </c>
      <c r="V700" s="37" t="str">
        <f aca="false">IF(Q700="","",IFERROR(INDEX(Settings!$I$11:$I$15,MATCH(Q700,Settings!$H$11:$H$15,0)),"No"))</f>
        <v/>
      </c>
      <c r="W700" s="37" t="str">
        <f aca="false">IF(Q700="","",IFERROR(INDEX(Settings!$J$11:$J$15,MATCH(Q700,Settings!$H$11:$H$15,0)),"No"))</f>
        <v/>
      </c>
    </row>
    <row r="701" customFormat="false" ht="15" hidden="false" customHeight="false" outlineLevel="0" collapsed="false">
      <c r="A701" s="30"/>
      <c r="B701" s="25"/>
      <c r="C701" s="25"/>
      <c r="D701" s="25"/>
      <c r="E701" s="25"/>
      <c r="F701" s="25"/>
      <c r="G701" s="25"/>
      <c r="H701" s="31"/>
      <c r="I701" s="32"/>
      <c r="J701" s="33"/>
      <c r="K701" s="34" t="str">
        <f aca="false">IF(OR(H701="",I701=""),"",H701*I701*(1-N(J701)))</f>
        <v/>
      </c>
      <c r="L701" s="32"/>
      <c r="M701" s="34" t="str">
        <f aca="false">IF(OR(H701="",L701=""),"",H701*L701)</f>
        <v/>
      </c>
      <c r="N701" s="34" t="str">
        <f aca="false">IF(OR(K701="",M701=""),"",K701-M701)</f>
        <v/>
      </c>
      <c r="O701" s="35" t="str">
        <f aca="false">IF(OR(N701="",K701=""),"",IF(K701=0,"",N701/K701))</f>
        <v/>
      </c>
      <c r="P701" s="25"/>
      <c r="Q701" s="25"/>
      <c r="R701" s="25"/>
      <c r="S701" s="36" t="str">
        <f aca="false">IF(A701="","",YEAR(A701)+IF(AND(FYStart&gt;1,MONTH(A701)&gt;=FYStart),1,0))</f>
        <v/>
      </c>
      <c r="T701" s="36" t="str">
        <f aca="false">IF(A701="","",MOD(MONTH(A701)-FYStart,12)+1)</f>
        <v/>
      </c>
      <c r="U701" s="37" t="str">
        <f aca="false">IF(A701="","",TEXT(A701,"mmm"))</f>
        <v/>
      </c>
      <c r="V701" s="37" t="str">
        <f aca="false">IF(Q701="","",IFERROR(INDEX(Settings!$I$11:$I$15,MATCH(Q701,Settings!$H$11:$H$15,0)),"No"))</f>
        <v/>
      </c>
      <c r="W701" s="37" t="str">
        <f aca="false">IF(Q701="","",IFERROR(INDEX(Settings!$J$11:$J$15,MATCH(Q701,Settings!$H$11:$H$15,0)),"No"))</f>
        <v/>
      </c>
    </row>
    <row r="702" customFormat="false" ht="15" hidden="false" customHeight="false" outlineLevel="0" collapsed="false">
      <c r="A702" s="30"/>
      <c r="B702" s="25"/>
      <c r="C702" s="25"/>
      <c r="D702" s="25"/>
      <c r="E702" s="25"/>
      <c r="F702" s="25"/>
      <c r="G702" s="25"/>
      <c r="H702" s="31"/>
      <c r="I702" s="32"/>
      <c r="J702" s="33"/>
      <c r="K702" s="34" t="str">
        <f aca="false">IF(OR(H702="",I702=""),"",H702*I702*(1-N(J702)))</f>
        <v/>
      </c>
      <c r="L702" s="32"/>
      <c r="M702" s="34" t="str">
        <f aca="false">IF(OR(H702="",L702=""),"",H702*L702)</f>
        <v/>
      </c>
      <c r="N702" s="34" t="str">
        <f aca="false">IF(OR(K702="",M702=""),"",K702-M702)</f>
        <v/>
      </c>
      <c r="O702" s="35" t="str">
        <f aca="false">IF(OR(N702="",K702=""),"",IF(K702=0,"",N702/K702))</f>
        <v/>
      </c>
      <c r="P702" s="25"/>
      <c r="Q702" s="25"/>
      <c r="R702" s="25"/>
      <c r="S702" s="36" t="str">
        <f aca="false">IF(A702="","",YEAR(A702)+IF(AND(FYStart&gt;1,MONTH(A702)&gt;=FYStart),1,0))</f>
        <v/>
      </c>
      <c r="T702" s="36" t="str">
        <f aca="false">IF(A702="","",MOD(MONTH(A702)-FYStart,12)+1)</f>
        <v/>
      </c>
      <c r="U702" s="37" t="str">
        <f aca="false">IF(A702="","",TEXT(A702,"mmm"))</f>
        <v/>
      </c>
      <c r="V702" s="37" t="str">
        <f aca="false">IF(Q702="","",IFERROR(INDEX(Settings!$I$11:$I$15,MATCH(Q702,Settings!$H$11:$H$15,0)),"No"))</f>
        <v/>
      </c>
      <c r="W702" s="37" t="str">
        <f aca="false">IF(Q702="","",IFERROR(INDEX(Settings!$J$11:$J$15,MATCH(Q702,Settings!$H$11:$H$15,0)),"No"))</f>
        <v/>
      </c>
    </row>
    <row r="703" customFormat="false" ht="15" hidden="false" customHeight="false" outlineLevel="0" collapsed="false">
      <c r="A703" s="30"/>
      <c r="B703" s="25"/>
      <c r="C703" s="25"/>
      <c r="D703" s="25"/>
      <c r="E703" s="25"/>
      <c r="F703" s="25"/>
      <c r="G703" s="25"/>
      <c r="H703" s="31"/>
      <c r="I703" s="32"/>
      <c r="J703" s="33"/>
      <c r="K703" s="34" t="str">
        <f aca="false">IF(OR(H703="",I703=""),"",H703*I703*(1-N(J703)))</f>
        <v/>
      </c>
      <c r="L703" s="32"/>
      <c r="M703" s="34" t="str">
        <f aca="false">IF(OR(H703="",L703=""),"",H703*L703)</f>
        <v/>
      </c>
      <c r="N703" s="34" t="str">
        <f aca="false">IF(OR(K703="",M703=""),"",K703-M703)</f>
        <v/>
      </c>
      <c r="O703" s="35" t="str">
        <f aca="false">IF(OR(N703="",K703=""),"",IF(K703=0,"",N703/K703))</f>
        <v/>
      </c>
      <c r="P703" s="25"/>
      <c r="Q703" s="25"/>
      <c r="R703" s="25"/>
      <c r="S703" s="36" t="str">
        <f aca="false">IF(A703="","",YEAR(A703)+IF(AND(FYStart&gt;1,MONTH(A703)&gt;=FYStart),1,0))</f>
        <v/>
      </c>
      <c r="T703" s="36" t="str">
        <f aca="false">IF(A703="","",MOD(MONTH(A703)-FYStart,12)+1)</f>
        <v/>
      </c>
      <c r="U703" s="37" t="str">
        <f aca="false">IF(A703="","",TEXT(A703,"mmm"))</f>
        <v/>
      </c>
      <c r="V703" s="37" t="str">
        <f aca="false">IF(Q703="","",IFERROR(INDEX(Settings!$I$11:$I$15,MATCH(Q703,Settings!$H$11:$H$15,0)),"No"))</f>
        <v/>
      </c>
      <c r="W703" s="37" t="str">
        <f aca="false">IF(Q703="","",IFERROR(INDEX(Settings!$J$11:$J$15,MATCH(Q703,Settings!$H$11:$H$15,0)),"No"))</f>
        <v/>
      </c>
    </row>
    <row r="704" customFormat="false" ht="15" hidden="false" customHeight="false" outlineLevel="0" collapsed="false">
      <c r="A704" s="30"/>
      <c r="B704" s="25"/>
      <c r="C704" s="25"/>
      <c r="D704" s="25"/>
      <c r="E704" s="25"/>
      <c r="F704" s="25"/>
      <c r="G704" s="25"/>
      <c r="H704" s="31"/>
      <c r="I704" s="32"/>
      <c r="J704" s="33"/>
      <c r="K704" s="34" t="str">
        <f aca="false">IF(OR(H704="",I704=""),"",H704*I704*(1-N(J704)))</f>
        <v/>
      </c>
      <c r="L704" s="32"/>
      <c r="M704" s="34" t="str">
        <f aca="false">IF(OR(H704="",L704=""),"",H704*L704)</f>
        <v/>
      </c>
      <c r="N704" s="34" t="str">
        <f aca="false">IF(OR(K704="",M704=""),"",K704-M704)</f>
        <v/>
      </c>
      <c r="O704" s="35" t="str">
        <f aca="false">IF(OR(N704="",K704=""),"",IF(K704=0,"",N704/K704))</f>
        <v/>
      </c>
      <c r="P704" s="25"/>
      <c r="Q704" s="25"/>
      <c r="R704" s="25"/>
      <c r="S704" s="36" t="str">
        <f aca="false">IF(A704="","",YEAR(A704)+IF(AND(FYStart&gt;1,MONTH(A704)&gt;=FYStart),1,0))</f>
        <v/>
      </c>
      <c r="T704" s="36" t="str">
        <f aca="false">IF(A704="","",MOD(MONTH(A704)-FYStart,12)+1)</f>
        <v/>
      </c>
      <c r="U704" s="37" t="str">
        <f aca="false">IF(A704="","",TEXT(A704,"mmm"))</f>
        <v/>
      </c>
      <c r="V704" s="37" t="str">
        <f aca="false">IF(Q704="","",IFERROR(INDEX(Settings!$I$11:$I$15,MATCH(Q704,Settings!$H$11:$H$15,0)),"No"))</f>
        <v/>
      </c>
      <c r="W704" s="37" t="str">
        <f aca="false">IF(Q704="","",IFERROR(INDEX(Settings!$J$11:$J$15,MATCH(Q704,Settings!$H$11:$H$15,0)),"No"))</f>
        <v/>
      </c>
    </row>
    <row r="705" customFormat="false" ht="15" hidden="false" customHeight="false" outlineLevel="0" collapsed="false">
      <c r="A705" s="30"/>
      <c r="B705" s="25"/>
      <c r="C705" s="25"/>
      <c r="D705" s="25"/>
      <c r="E705" s="25"/>
      <c r="F705" s="25"/>
      <c r="G705" s="25"/>
      <c r="H705" s="31"/>
      <c r="I705" s="32"/>
      <c r="J705" s="33"/>
      <c r="K705" s="34" t="str">
        <f aca="false">IF(OR(H705="",I705=""),"",H705*I705*(1-N(J705)))</f>
        <v/>
      </c>
      <c r="L705" s="32"/>
      <c r="M705" s="34" t="str">
        <f aca="false">IF(OR(H705="",L705=""),"",H705*L705)</f>
        <v/>
      </c>
      <c r="N705" s="34" t="str">
        <f aca="false">IF(OR(K705="",M705=""),"",K705-M705)</f>
        <v/>
      </c>
      <c r="O705" s="35" t="str">
        <f aca="false">IF(OR(N705="",K705=""),"",IF(K705=0,"",N705/K705))</f>
        <v/>
      </c>
      <c r="P705" s="25"/>
      <c r="Q705" s="25"/>
      <c r="R705" s="25"/>
      <c r="S705" s="36" t="str">
        <f aca="false">IF(A705="","",YEAR(A705)+IF(AND(FYStart&gt;1,MONTH(A705)&gt;=FYStart),1,0))</f>
        <v/>
      </c>
      <c r="T705" s="36" t="str">
        <f aca="false">IF(A705="","",MOD(MONTH(A705)-FYStart,12)+1)</f>
        <v/>
      </c>
      <c r="U705" s="37" t="str">
        <f aca="false">IF(A705="","",TEXT(A705,"mmm"))</f>
        <v/>
      </c>
      <c r="V705" s="37" t="str">
        <f aca="false">IF(Q705="","",IFERROR(INDEX(Settings!$I$11:$I$15,MATCH(Q705,Settings!$H$11:$H$15,0)),"No"))</f>
        <v/>
      </c>
      <c r="W705" s="37" t="str">
        <f aca="false">IF(Q705="","",IFERROR(INDEX(Settings!$J$11:$J$15,MATCH(Q705,Settings!$H$11:$H$15,0)),"No"))</f>
        <v/>
      </c>
    </row>
    <row r="706" customFormat="false" ht="15" hidden="false" customHeight="false" outlineLevel="0" collapsed="false">
      <c r="A706" s="30"/>
      <c r="B706" s="25"/>
      <c r="C706" s="25"/>
      <c r="D706" s="25"/>
      <c r="E706" s="25"/>
      <c r="F706" s="25"/>
      <c r="G706" s="25"/>
      <c r="H706" s="31"/>
      <c r="I706" s="32"/>
      <c r="J706" s="33"/>
      <c r="K706" s="34" t="str">
        <f aca="false">IF(OR(H706="",I706=""),"",H706*I706*(1-N(J706)))</f>
        <v/>
      </c>
      <c r="L706" s="32"/>
      <c r="M706" s="34" t="str">
        <f aca="false">IF(OR(H706="",L706=""),"",H706*L706)</f>
        <v/>
      </c>
      <c r="N706" s="34" t="str">
        <f aca="false">IF(OR(K706="",M706=""),"",K706-M706)</f>
        <v/>
      </c>
      <c r="O706" s="35" t="str">
        <f aca="false">IF(OR(N706="",K706=""),"",IF(K706=0,"",N706/K706))</f>
        <v/>
      </c>
      <c r="P706" s="25"/>
      <c r="Q706" s="25"/>
      <c r="R706" s="25"/>
      <c r="S706" s="36" t="str">
        <f aca="false">IF(A706="","",YEAR(A706)+IF(AND(FYStart&gt;1,MONTH(A706)&gt;=FYStart),1,0))</f>
        <v/>
      </c>
      <c r="T706" s="36" t="str">
        <f aca="false">IF(A706="","",MOD(MONTH(A706)-FYStart,12)+1)</f>
        <v/>
      </c>
      <c r="U706" s="37" t="str">
        <f aca="false">IF(A706="","",TEXT(A706,"mmm"))</f>
        <v/>
      </c>
      <c r="V706" s="37" t="str">
        <f aca="false">IF(Q706="","",IFERROR(INDEX(Settings!$I$11:$I$15,MATCH(Q706,Settings!$H$11:$H$15,0)),"No"))</f>
        <v/>
      </c>
      <c r="W706" s="37" t="str">
        <f aca="false">IF(Q706="","",IFERROR(INDEX(Settings!$J$11:$J$15,MATCH(Q706,Settings!$H$11:$H$15,0)),"No"))</f>
        <v/>
      </c>
    </row>
    <row r="707" customFormat="false" ht="15" hidden="false" customHeight="false" outlineLevel="0" collapsed="false">
      <c r="A707" s="30"/>
      <c r="B707" s="25"/>
      <c r="C707" s="25"/>
      <c r="D707" s="25"/>
      <c r="E707" s="25"/>
      <c r="F707" s="25"/>
      <c r="G707" s="25"/>
      <c r="H707" s="31"/>
      <c r="I707" s="32"/>
      <c r="J707" s="33"/>
      <c r="K707" s="34" t="str">
        <f aca="false">IF(OR(H707="",I707=""),"",H707*I707*(1-N(J707)))</f>
        <v/>
      </c>
      <c r="L707" s="32"/>
      <c r="M707" s="34" t="str">
        <f aca="false">IF(OR(H707="",L707=""),"",H707*L707)</f>
        <v/>
      </c>
      <c r="N707" s="34" t="str">
        <f aca="false">IF(OR(K707="",M707=""),"",K707-M707)</f>
        <v/>
      </c>
      <c r="O707" s="35" t="str">
        <f aca="false">IF(OR(N707="",K707=""),"",IF(K707=0,"",N707/K707))</f>
        <v/>
      </c>
      <c r="P707" s="25"/>
      <c r="Q707" s="25"/>
      <c r="R707" s="25"/>
      <c r="S707" s="36" t="str">
        <f aca="false">IF(A707="","",YEAR(A707)+IF(AND(FYStart&gt;1,MONTH(A707)&gt;=FYStart),1,0))</f>
        <v/>
      </c>
      <c r="T707" s="36" t="str">
        <f aca="false">IF(A707="","",MOD(MONTH(A707)-FYStart,12)+1)</f>
        <v/>
      </c>
      <c r="U707" s="37" t="str">
        <f aca="false">IF(A707="","",TEXT(A707,"mmm"))</f>
        <v/>
      </c>
      <c r="V707" s="37" t="str">
        <f aca="false">IF(Q707="","",IFERROR(INDEX(Settings!$I$11:$I$15,MATCH(Q707,Settings!$H$11:$H$15,0)),"No"))</f>
        <v/>
      </c>
      <c r="W707" s="37" t="str">
        <f aca="false">IF(Q707="","",IFERROR(INDEX(Settings!$J$11:$J$15,MATCH(Q707,Settings!$H$11:$H$15,0)),"No"))</f>
        <v/>
      </c>
    </row>
    <row r="708" customFormat="false" ht="15" hidden="false" customHeight="false" outlineLevel="0" collapsed="false">
      <c r="A708" s="30"/>
      <c r="B708" s="25"/>
      <c r="C708" s="25"/>
      <c r="D708" s="25"/>
      <c r="E708" s="25"/>
      <c r="F708" s="25"/>
      <c r="G708" s="25"/>
      <c r="H708" s="31"/>
      <c r="I708" s="32"/>
      <c r="J708" s="33"/>
      <c r="K708" s="34" t="str">
        <f aca="false">IF(OR(H708="",I708=""),"",H708*I708*(1-N(J708)))</f>
        <v/>
      </c>
      <c r="L708" s="32"/>
      <c r="M708" s="34" t="str">
        <f aca="false">IF(OR(H708="",L708=""),"",H708*L708)</f>
        <v/>
      </c>
      <c r="N708" s="34" t="str">
        <f aca="false">IF(OR(K708="",M708=""),"",K708-M708)</f>
        <v/>
      </c>
      <c r="O708" s="35" t="str">
        <f aca="false">IF(OR(N708="",K708=""),"",IF(K708=0,"",N708/K708))</f>
        <v/>
      </c>
      <c r="P708" s="25"/>
      <c r="Q708" s="25"/>
      <c r="R708" s="25"/>
      <c r="S708" s="36" t="str">
        <f aca="false">IF(A708="","",YEAR(A708)+IF(AND(FYStart&gt;1,MONTH(A708)&gt;=FYStart),1,0))</f>
        <v/>
      </c>
      <c r="T708" s="36" t="str">
        <f aca="false">IF(A708="","",MOD(MONTH(A708)-FYStart,12)+1)</f>
        <v/>
      </c>
      <c r="U708" s="37" t="str">
        <f aca="false">IF(A708="","",TEXT(A708,"mmm"))</f>
        <v/>
      </c>
      <c r="V708" s="37" t="str">
        <f aca="false">IF(Q708="","",IFERROR(INDEX(Settings!$I$11:$I$15,MATCH(Q708,Settings!$H$11:$H$15,0)),"No"))</f>
        <v/>
      </c>
      <c r="W708" s="37" t="str">
        <f aca="false">IF(Q708="","",IFERROR(INDEX(Settings!$J$11:$J$15,MATCH(Q708,Settings!$H$11:$H$15,0)),"No"))</f>
        <v/>
      </c>
    </row>
    <row r="709" customFormat="false" ht="15" hidden="false" customHeight="false" outlineLevel="0" collapsed="false">
      <c r="A709" s="30"/>
      <c r="B709" s="25"/>
      <c r="C709" s="25"/>
      <c r="D709" s="25"/>
      <c r="E709" s="25"/>
      <c r="F709" s="25"/>
      <c r="G709" s="25"/>
      <c r="H709" s="31"/>
      <c r="I709" s="32"/>
      <c r="J709" s="33"/>
      <c r="K709" s="34" t="str">
        <f aca="false">IF(OR(H709="",I709=""),"",H709*I709*(1-N(J709)))</f>
        <v/>
      </c>
      <c r="L709" s="32"/>
      <c r="M709" s="34" t="str">
        <f aca="false">IF(OR(H709="",L709=""),"",H709*L709)</f>
        <v/>
      </c>
      <c r="N709" s="34" t="str">
        <f aca="false">IF(OR(K709="",M709=""),"",K709-M709)</f>
        <v/>
      </c>
      <c r="O709" s="35" t="str">
        <f aca="false">IF(OR(N709="",K709=""),"",IF(K709=0,"",N709/K709))</f>
        <v/>
      </c>
      <c r="P709" s="25"/>
      <c r="Q709" s="25"/>
      <c r="R709" s="25"/>
      <c r="S709" s="36" t="str">
        <f aca="false">IF(A709="","",YEAR(A709)+IF(AND(FYStart&gt;1,MONTH(A709)&gt;=FYStart),1,0))</f>
        <v/>
      </c>
      <c r="T709" s="36" t="str">
        <f aca="false">IF(A709="","",MOD(MONTH(A709)-FYStart,12)+1)</f>
        <v/>
      </c>
      <c r="U709" s="37" t="str">
        <f aca="false">IF(A709="","",TEXT(A709,"mmm"))</f>
        <v/>
      </c>
      <c r="V709" s="37" t="str">
        <f aca="false">IF(Q709="","",IFERROR(INDEX(Settings!$I$11:$I$15,MATCH(Q709,Settings!$H$11:$H$15,0)),"No"))</f>
        <v/>
      </c>
      <c r="W709" s="37" t="str">
        <f aca="false">IF(Q709="","",IFERROR(INDEX(Settings!$J$11:$J$15,MATCH(Q709,Settings!$H$11:$H$15,0)),"No"))</f>
        <v/>
      </c>
    </row>
    <row r="710" customFormat="false" ht="15" hidden="false" customHeight="false" outlineLevel="0" collapsed="false">
      <c r="A710" s="30"/>
      <c r="B710" s="25"/>
      <c r="C710" s="25"/>
      <c r="D710" s="25"/>
      <c r="E710" s="25"/>
      <c r="F710" s="25"/>
      <c r="G710" s="25"/>
      <c r="H710" s="31"/>
      <c r="I710" s="32"/>
      <c r="J710" s="33"/>
      <c r="K710" s="34" t="str">
        <f aca="false">IF(OR(H710="",I710=""),"",H710*I710*(1-N(J710)))</f>
        <v/>
      </c>
      <c r="L710" s="32"/>
      <c r="M710" s="34" t="str">
        <f aca="false">IF(OR(H710="",L710=""),"",H710*L710)</f>
        <v/>
      </c>
      <c r="N710" s="34" t="str">
        <f aca="false">IF(OR(K710="",M710=""),"",K710-M710)</f>
        <v/>
      </c>
      <c r="O710" s="35" t="str">
        <f aca="false">IF(OR(N710="",K710=""),"",IF(K710=0,"",N710/K710))</f>
        <v/>
      </c>
      <c r="P710" s="25"/>
      <c r="Q710" s="25"/>
      <c r="R710" s="25"/>
      <c r="S710" s="36" t="str">
        <f aca="false">IF(A710="","",YEAR(A710)+IF(AND(FYStart&gt;1,MONTH(A710)&gt;=FYStart),1,0))</f>
        <v/>
      </c>
      <c r="T710" s="36" t="str">
        <f aca="false">IF(A710="","",MOD(MONTH(A710)-FYStart,12)+1)</f>
        <v/>
      </c>
      <c r="U710" s="37" t="str">
        <f aca="false">IF(A710="","",TEXT(A710,"mmm"))</f>
        <v/>
      </c>
      <c r="V710" s="37" t="str">
        <f aca="false">IF(Q710="","",IFERROR(INDEX(Settings!$I$11:$I$15,MATCH(Q710,Settings!$H$11:$H$15,0)),"No"))</f>
        <v/>
      </c>
      <c r="W710" s="37" t="str">
        <f aca="false">IF(Q710="","",IFERROR(INDEX(Settings!$J$11:$J$15,MATCH(Q710,Settings!$H$11:$H$15,0)),"No"))</f>
        <v/>
      </c>
    </row>
    <row r="711" customFormat="false" ht="15" hidden="false" customHeight="false" outlineLevel="0" collapsed="false">
      <c r="A711" s="30"/>
      <c r="B711" s="25"/>
      <c r="C711" s="25"/>
      <c r="D711" s="25"/>
      <c r="E711" s="25"/>
      <c r="F711" s="25"/>
      <c r="G711" s="25"/>
      <c r="H711" s="31"/>
      <c r="I711" s="32"/>
      <c r="J711" s="33"/>
      <c r="K711" s="34" t="str">
        <f aca="false">IF(OR(H711="",I711=""),"",H711*I711*(1-N(J711)))</f>
        <v/>
      </c>
      <c r="L711" s="32"/>
      <c r="M711" s="34" t="str">
        <f aca="false">IF(OR(H711="",L711=""),"",H711*L711)</f>
        <v/>
      </c>
      <c r="N711" s="34" t="str">
        <f aca="false">IF(OR(K711="",M711=""),"",K711-M711)</f>
        <v/>
      </c>
      <c r="O711" s="35" t="str">
        <f aca="false">IF(OR(N711="",K711=""),"",IF(K711=0,"",N711/K711))</f>
        <v/>
      </c>
      <c r="P711" s="25"/>
      <c r="Q711" s="25"/>
      <c r="R711" s="25"/>
      <c r="S711" s="36" t="str">
        <f aca="false">IF(A711="","",YEAR(A711)+IF(AND(FYStart&gt;1,MONTH(A711)&gt;=FYStart),1,0))</f>
        <v/>
      </c>
      <c r="T711" s="36" t="str">
        <f aca="false">IF(A711="","",MOD(MONTH(A711)-FYStart,12)+1)</f>
        <v/>
      </c>
      <c r="U711" s="37" t="str">
        <f aca="false">IF(A711="","",TEXT(A711,"mmm"))</f>
        <v/>
      </c>
      <c r="V711" s="37" t="str">
        <f aca="false">IF(Q711="","",IFERROR(INDEX(Settings!$I$11:$I$15,MATCH(Q711,Settings!$H$11:$H$15,0)),"No"))</f>
        <v/>
      </c>
      <c r="W711" s="37" t="str">
        <f aca="false">IF(Q711="","",IFERROR(INDEX(Settings!$J$11:$J$15,MATCH(Q711,Settings!$H$11:$H$15,0)),"No"))</f>
        <v/>
      </c>
    </row>
    <row r="712" customFormat="false" ht="15" hidden="false" customHeight="false" outlineLevel="0" collapsed="false">
      <c r="A712" s="30"/>
      <c r="B712" s="25"/>
      <c r="C712" s="25"/>
      <c r="D712" s="25"/>
      <c r="E712" s="25"/>
      <c r="F712" s="25"/>
      <c r="G712" s="25"/>
      <c r="H712" s="31"/>
      <c r="I712" s="32"/>
      <c r="J712" s="33"/>
      <c r="K712" s="34" t="str">
        <f aca="false">IF(OR(H712="",I712=""),"",H712*I712*(1-N(J712)))</f>
        <v/>
      </c>
      <c r="L712" s="32"/>
      <c r="M712" s="34" t="str">
        <f aca="false">IF(OR(H712="",L712=""),"",H712*L712)</f>
        <v/>
      </c>
      <c r="N712" s="34" t="str">
        <f aca="false">IF(OR(K712="",M712=""),"",K712-M712)</f>
        <v/>
      </c>
      <c r="O712" s="35" t="str">
        <f aca="false">IF(OR(N712="",K712=""),"",IF(K712=0,"",N712/K712))</f>
        <v/>
      </c>
      <c r="P712" s="25"/>
      <c r="Q712" s="25"/>
      <c r="R712" s="25"/>
      <c r="S712" s="36" t="str">
        <f aca="false">IF(A712="","",YEAR(A712)+IF(AND(FYStart&gt;1,MONTH(A712)&gt;=FYStart),1,0))</f>
        <v/>
      </c>
      <c r="T712" s="36" t="str">
        <f aca="false">IF(A712="","",MOD(MONTH(A712)-FYStart,12)+1)</f>
        <v/>
      </c>
      <c r="U712" s="37" t="str">
        <f aca="false">IF(A712="","",TEXT(A712,"mmm"))</f>
        <v/>
      </c>
      <c r="V712" s="37" t="str">
        <f aca="false">IF(Q712="","",IFERROR(INDEX(Settings!$I$11:$I$15,MATCH(Q712,Settings!$H$11:$H$15,0)),"No"))</f>
        <v/>
      </c>
      <c r="W712" s="37" t="str">
        <f aca="false">IF(Q712="","",IFERROR(INDEX(Settings!$J$11:$J$15,MATCH(Q712,Settings!$H$11:$H$15,0)),"No"))</f>
        <v/>
      </c>
    </row>
    <row r="713" customFormat="false" ht="15" hidden="false" customHeight="false" outlineLevel="0" collapsed="false">
      <c r="A713" s="30"/>
      <c r="B713" s="25"/>
      <c r="C713" s="25"/>
      <c r="D713" s="25"/>
      <c r="E713" s="25"/>
      <c r="F713" s="25"/>
      <c r="G713" s="25"/>
      <c r="H713" s="31"/>
      <c r="I713" s="32"/>
      <c r="J713" s="33"/>
      <c r="K713" s="34" t="str">
        <f aca="false">IF(OR(H713="",I713=""),"",H713*I713*(1-N(J713)))</f>
        <v/>
      </c>
      <c r="L713" s="32"/>
      <c r="M713" s="34" t="str">
        <f aca="false">IF(OR(H713="",L713=""),"",H713*L713)</f>
        <v/>
      </c>
      <c r="N713" s="34" t="str">
        <f aca="false">IF(OR(K713="",M713=""),"",K713-M713)</f>
        <v/>
      </c>
      <c r="O713" s="35" t="str">
        <f aca="false">IF(OR(N713="",K713=""),"",IF(K713=0,"",N713/K713))</f>
        <v/>
      </c>
      <c r="P713" s="25"/>
      <c r="Q713" s="25"/>
      <c r="R713" s="25"/>
      <c r="S713" s="36" t="str">
        <f aca="false">IF(A713="","",YEAR(A713)+IF(AND(FYStart&gt;1,MONTH(A713)&gt;=FYStart),1,0))</f>
        <v/>
      </c>
      <c r="T713" s="36" t="str">
        <f aca="false">IF(A713="","",MOD(MONTH(A713)-FYStart,12)+1)</f>
        <v/>
      </c>
      <c r="U713" s="37" t="str">
        <f aca="false">IF(A713="","",TEXT(A713,"mmm"))</f>
        <v/>
      </c>
      <c r="V713" s="37" t="str">
        <f aca="false">IF(Q713="","",IFERROR(INDEX(Settings!$I$11:$I$15,MATCH(Q713,Settings!$H$11:$H$15,0)),"No"))</f>
        <v/>
      </c>
      <c r="W713" s="37" t="str">
        <f aca="false">IF(Q713="","",IFERROR(INDEX(Settings!$J$11:$J$15,MATCH(Q713,Settings!$H$11:$H$15,0)),"No"))</f>
        <v/>
      </c>
    </row>
    <row r="714" customFormat="false" ht="15" hidden="false" customHeight="false" outlineLevel="0" collapsed="false">
      <c r="A714" s="30"/>
      <c r="B714" s="25"/>
      <c r="C714" s="25"/>
      <c r="D714" s="25"/>
      <c r="E714" s="25"/>
      <c r="F714" s="25"/>
      <c r="G714" s="25"/>
      <c r="H714" s="31"/>
      <c r="I714" s="32"/>
      <c r="J714" s="33"/>
      <c r="K714" s="34" t="str">
        <f aca="false">IF(OR(H714="",I714=""),"",H714*I714*(1-N(J714)))</f>
        <v/>
      </c>
      <c r="L714" s="32"/>
      <c r="M714" s="34" t="str">
        <f aca="false">IF(OR(H714="",L714=""),"",H714*L714)</f>
        <v/>
      </c>
      <c r="N714" s="34" t="str">
        <f aca="false">IF(OR(K714="",M714=""),"",K714-M714)</f>
        <v/>
      </c>
      <c r="O714" s="35" t="str">
        <f aca="false">IF(OR(N714="",K714=""),"",IF(K714=0,"",N714/K714))</f>
        <v/>
      </c>
      <c r="P714" s="25"/>
      <c r="Q714" s="25"/>
      <c r="R714" s="25"/>
      <c r="S714" s="36" t="str">
        <f aca="false">IF(A714="","",YEAR(A714)+IF(AND(FYStart&gt;1,MONTH(A714)&gt;=FYStart),1,0))</f>
        <v/>
      </c>
      <c r="T714" s="36" t="str">
        <f aca="false">IF(A714="","",MOD(MONTH(A714)-FYStart,12)+1)</f>
        <v/>
      </c>
      <c r="U714" s="37" t="str">
        <f aca="false">IF(A714="","",TEXT(A714,"mmm"))</f>
        <v/>
      </c>
      <c r="V714" s="37" t="str">
        <f aca="false">IF(Q714="","",IFERROR(INDEX(Settings!$I$11:$I$15,MATCH(Q714,Settings!$H$11:$H$15,0)),"No"))</f>
        <v/>
      </c>
      <c r="W714" s="37" t="str">
        <f aca="false">IF(Q714="","",IFERROR(INDEX(Settings!$J$11:$J$15,MATCH(Q714,Settings!$H$11:$H$15,0)),"No"))</f>
        <v/>
      </c>
    </row>
    <row r="715" customFormat="false" ht="15" hidden="false" customHeight="false" outlineLevel="0" collapsed="false">
      <c r="A715" s="30"/>
      <c r="B715" s="25"/>
      <c r="C715" s="25"/>
      <c r="D715" s="25"/>
      <c r="E715" s="25"/>
      <c r="F715" s="25"/>
      <c r="G715" s="25"/>
      <c r="H715" s="31"/>
      <c r="I715" s="32"/>
      <c r="J715" s="33"/>
      <c r="K715" s="34" t="str">
        <f aca="false">IF(OR(H715="",I715=""),"",H715*I715*(1-N(J715)))</f>
        <v/>
      </c>
      <c r="L715" s="32"/>
      <c r="M715" s="34" t="str">
        <f aca="false">IF(OR(H715="",L715=""),"",H715*L715)</f>
        <v/>
      </c>
      <c r="N715" s="34" t="str">
        <f aca="false">IF(OR(K715="",M715=""),"",K715-M715)</f>
        <v/>
      </c>
      <c r="O715" s="35" t="str">
        <f aca="false">IF(OR(N715="",K715=""),"",IF(K715=0,"",N715/K715))</f>
        <v/>
      </c>
      <c r="P715" s="25"/>
      <c r="Q715" s="25"/>
      <c r="R715" s="25"/>
      <c r="S715" s="36" t="str">
        <f aca="false">IF(A715="","",YEAR(A715)+IF(AND(FYStart&gt;1,MONTH(A715)&gt;=FYStart),1,0))</f>
        <v/>
      </c>
      <c r="T715" s="36" t="str">
        <f aca="false">IF(A715="","",MOD(MONTH(A715)-FYStart,12)+1)</f>
        <v/>
      </c>
      <c r="U715" s="37" t="str">
        <f aca="false">IF(A715="","",TEXT(A715,"mmm"))</f>
        <v/>
      </c>
      <c r="V715" s="37" t="str">
        <f aca="false">IF(Q715="","",IFERROR(INDEX(Settings!$I$11:$I$15,MATCH(Q715,Settings!$H$11:$H$15,0)),"No"))</f>
        <v/>
      </c>
      <c r="W715" s="37" t="str">
        <f aca="false">IF(Q715="","",IFERROR(INDEX(Settings!$J$11:$J$15,MATCH(Q715,Settings!$H$11:$H$15,0)),"No"))</f>
        <v/>
      </c>
    </row>
    <row r="716" customFormat="false" ht="15" hidden="false" customHeight="false" outlineLevel="0" collapsed="false">
      <c r="A716" s="30"/>
      <c r="B716" s="25"/>
      <c r="C716" s="25"/>
      <c r="D716" s="25"/>
      <c r="E716" s="25"/>
      <c r="F716" s="25"/>
      <c r="G716" s="25"/>
      <c r="H716" s="31"/>
      <c r="I716" s="32"/>
      <c r="J716" s="33"/>
      <c r="K716" s="34" t="str">
        <f aca="false">IF(OR(H716="",I716=""),"",H716*I716*(1-N(J716)))</f>
        <v/>
      </c>
      <c r="L716" s="32"/>
      <c r="M716" s="34" t="str">
        <f aca="false">IF(OR(H716="",L716=""),"",H716*L716)</f>
        <v/>
      </c>
      <c r="N716" s="34" t="str">
        <f aca="false">IF(OR(K716="",M716=""),"",K716-M716)</f>
        <v/>
      </c>
      <c r="O716" s="35" t="str">
        <f aca="false">IF(OR(N716="",K716=""),"",IF(K716=0,"",N716/K716))</f>
        <v/>
      </c>
      <c r="P716" s="25"/>
      <c r="Q716" s="25"/>
      <c r="R716" s="25"/>
      <c r="S716" s="36" t="str">
        <f aca="false">IF(A716="","",YEAR(A716)+IF(AND(FYStart&gt;1,MONTH(A716)&gt;=FYStart),1,0))</f>
        <v/>
      </c>
      <c r="T716" s="36" t="str">
        <f aca="false">IF(A716="","",MOD(MONTH(A716)-FYStart,12)+1)</f>
        <v/>
      </c>
      <c r="U716" s="37" t="str">
        <f aca="false">IF(A716="","",TEXT(A716,"mmm"))</f>
        <v/>
      </c>
      <c r="V716" s="37" t="str">
        <f aca="false">IF(Q716="","",IFERROR(INDEX(Settings!$I$11:$I$15,MATCH(Q716,Settings!$H$11:$H$15,0)),"No"))</f>
        <v/>
      </c>
      <c r="W716" s="37" t="str">
        <f aca="false">IF(Q716="","",IFERROR(INDEX(Settings!$J$11:$J$15,MATCH(Q716,Settings!$H$11:$H$15,0)),"No"))</f>
        <v/>
      </c>
    </row>
    <row r="717" customFormat="false" ht="15" hidden="false" customHeight="false" outlineLevel="0" collapsed="false">
      <c r="A717" s="30"/>
      <c r="B717" s="25"/>
      <c r="C717" s="25"/>
      <c r="D717" s="25"/>
      <c r="E717" s="25"/>
      <c r="F717" s="25"/>
      <c r="G717" s="25"/>
      <c r="H717" s="31"/>
      <c r="I717" s="32"/>
      <c r="J717" s="33"/>
      <c r="K717" s="34" t="str">
        <f aca="false">IF(OR(H717="",I717=""),"",H717*I717*(1-N(J717)))</f>
        <v/>
      </c>
      <c r="L717" s="32"/>
      <c r="M717" s="34" t="str">
        <f aca="false">IF(OR(H717="",L717=""),"",H717*L717)</f>
        <v/>
      </c>
      <c r="N717" s="34" t="str">
        <f aca="false">IF(OR(K717="",M717=""),"",K717-M717)</f>
        <v/>
      </c>
      <c r="O717" s="35" t="str">
        <f aca="false">IF(OR(N717="",K717=""),"",IF(K717=0,"",N717/K717))</f>
        <v/>
      </c>
      <c r="P717" s="25"/>
      <c r="Q717" s="25"/>
      <c r="R717" s="25"/>
      <c r="S717" s="36" t="str">
        <f aca="false">IF(A717="","",YEAR(A717)+IF(AND(FYStart&gt;1,MONTH(A717)&gt;=FYStart),1,0))</f>
        <v/>
      </c>
      <c r="T717" s="36" t="str">
        <f aca="false">IF(A717="","",MOD(MONTH(A717)-FYStart,12)+1)</f>
        <v/>
      </c>
      <c r="U717" s="37" t="str">
        <f aca="false">IF(A717="","",TEXT(A717,"mmm"))</f>
        <v/>
      </c>
      <c r="V717" s="37" t="str">
        <f aca="false">IF(Q717="","",IFERROR(INDEX(Settings!$I$11:$I$15,MATCH(Q717,Settings!$H$11:$H$15,0)),"No"))</f>
        <v/>
      </c>
      <c r="W717" s="37" t="str">
        <f aca="false">IF(Q717="","",IFERROR(INDEX(Settings!$J$11:$J$15,MATCH(Q717,Settings!$H$11:$H$15,0)),"No"))</f>
        <v/>
      </c>
    </row>
    <row r="718" customFormat="false" ht="15" hidden="false" customHeight="false" outlineLevel="0" collapsed="false">
      <c r="A718" s="30"/>
      <c r="B718" s="25"/>
      <c r="C718" s="25"/>
      <c r="D718" s="25"/>
      <c r="E718" s="25"/>
      <c r="F718" s="25"/>
      <c r="G718" s="25"/>
      <c r="H718" s="31"/>
      <c r="I718" s="32"/>
      <c r="J718" s="33"/>
      <c r="K718" s="34" t="str">
        <f aca="false">IF(OR(H718="",I718=""),"",H718*I718*(1-N(J718)))</f>
        <v/>
      </c>
      <c r="L718" s="32"/>
      <c r="M718" s="34" t="str">
        <f aca="false">IF(OR(H718="",L718=""),"",H718*L718)</f>
        <v/>
      </c>
      <c r="N718" s="34" t="str">
        <f aca="false">IF(OR(K718="",M718=""),"",K718-M718)</f>
        <v/>
      </c>
      <c r="O718" s="35" t="str">
        <f aca="false">IF(OR(N718="",K718=""),"",IF(K718=0,"",N718/K718))</f>
        <v/>
      </c>
      <c r="P718" s="25"/>
      <c r="Q718" s="25"/>
      <c r="R718" s="25"/>
      <c r="S718" s="36" t="str">
        <f aca="false">IF(A718="","",YEAR(A718)+IF(AND(FYStart&gt;1,MONTH(A718)&gt;=FYStart),1,0))</f>
        <v/>
      </c>
      <c r="T718" s="36" t="str">
        <f aca="false">IF(A718="","",MOD(MONTH(A718)-FYStart,12)+1)</f>
        <v/>
      </c>
      <c r="U718" s="37" t="str">
        <f aca="false">IF(A718="","",TEXT(A718,"mmm"))</f>
        <v/>
      </c>
      <c r="V718" s="37" t="str">
        <f aca="false">IF(Q718="","",IFERROR(INDEX(Settings!$I$11:$I$15,MATCH(Q718,Settings!$H$11:$H$15,0)),"No"))</f>
        <v/>
      </c>
      <c r="W718" s="37" t="str">
        <f aca="false">IF(Q718="","",IFERROR(INDEX(Settings!$J$11:$J$15,MATCH(Q718,Settings!$H$11:$H$15,0)),"No"))</f>
        <v/>
      </c>
    </row>
    <row r="719" customFormat="false" ht="15" hidden="false" customHeight="false" outlineLevel="0" collapsed="false">
      <c r="A719" s="30"/>
      <c r="B719" s="25"/>
      <c r="C719" s="25"/>
      <c r="D719" s="25"/>
      <c r="E719" s="25"/>
      <c r="F719" s="25"/>
      <c r="G719" s="25"/>
      <c r="H719" s="31"/>
      <c r="I719" s="32"/>
      <c r="J719" s="33"/>
      <c r="K719" s="34" t="str">
        <f aca="false">IF(OR(H719="",I719=""),"",H719*I719*(1-N(J719)))</f>
        <v/>
      </c>
      <c r="L719" s="32"/>
      <c r="M719" s="34" t="str">
        <f aca="false">IF(OR(H719="",L719=""),"",H719*L719)</f>
        <v/>
      </c>
      <c r="N719" s="34" t="str">
        <f aca="false">IF(OR(K719="",M719=""),"",K719-M719)</f>
        <v/>
      </c>
      <c r="O719" s="35" t="str">
        <f aca="false">IF(OR(N719="",K719=""),"",IF(K719=0,"",N719/K719))</f>
        <v/>
      </c>
      <c r="P719" s="25"/>
      <c r="Q719" s="25"/>
      <c r="R719" s="25"/>
      <c r="S719" s="36" t="str">
        <f aca="false">IF(A719="","",YEAR(A719)+IF(AND(FYStart&gt;1,MONTH(A719)&gt;=FYStart),1,0))</f>
        <v/>
      </c>
      <c r="T719" s="36" t="str">
        <f aca="false">IF(A719="","",MOD(MONTH(A719)-FYStart,12)+1)</f>
        <v/>
      </c>
      <c r="U719" s="37" t="str">
        <f aca="false">IF(A719="","",TEXT(A719,"mmm"))</f>
        <v/>
      </c>
      <c r="V719" s="37" t="str">
        <f aca="false">IF(Q719="","",IFERROR(INDEX(Settings!$I$11:$I$15,MATCH(Q719,Settings!$H$11:$H$15,0)),"No"))</f>
        <v/>
      </c>
      <c r="W719" s="37" t="str">
        <f aca="false">IF(Q719="","",IFERROR(INDEX(Settings!$J$11:$J$15,MATCH(Q719,Settings!$H$11:$H$15,0)),"No"))</f>
        <v/>
      </c>
    </row>
    <row r="720" customFormat="false" ht="15" hidden="false" customHeight="false" outlineLevel="0" collapsed="false">
      <c r="A720" s="30"/>
      <c r="B720" s="25"/>
      <c r="C720" s="25"/>
      <c r="D720" s="25"/>
      <c r="E720" s="25"/>
      <c r="F720" s="25"/>
      <c r="G720" s="25"/>
      <c r="H720" s="31"/>
      <c r="I720" s="32"/>
      <c r="J720" s="33"/>
      <c r="K720" s="34" t="str">
        <f aca="false">IF(OR(H720="",I720=""),"",H720*I720*(1-N(J720)))</f>
        <v/>
      </c>
      <c r="L720" s="32"/>
      <c r="M720" s="34" t="str">
        <f aca="false">IF(OR(H720="",L720=""),"",H720*L720)</f>
        <v/>
      </c>
      <c r="N720" s="34" t="str">
        <f aca="false">IF(OR(K720="",M720=""),"",K720-M720)</f>
        <v/>
      </c>
      <c r="O720" s="35" t="str">
        <f aca="false">IF(OR(N720="",K720=""),"",IF(K720=0,"",N720/K720))</f>
        <v/>
      </c>
      <c r="P720" s="25"/>
      <c r="Q720" s="25"/>
      <c r="R720" s="25"/>
      <c r="S720" s="36" t="str">
        <f aca="false">IF(A720="","",YEAR(A720)+IF(AND(FYStart&gt;1,MONTH(A720)&gt;=FYStart),1,0))</f>
        <v/>
      </c>
      <c r="T720" s="36" t="str">
        <f aca="false">IF(A720="","",MOD(MONTH(A720)-FYStart,12)+1)</f>
        <v/>
      </c>
      <c r="U720" s="37" t="str">
        <f aca="false">IF(A720="","",TEXT(A720,"mmm"))</f>
        <v/>
      </c>
      <c r="V720" s="37" t="str">
        <f aca="false">IF(Q720="","",IFERROR(INDEX(Settings!$I$11:$I$15,MATCH(Q720,Settings!$H$11:$H$15,0)),"No"))</f>
        <v/>
      </c>
      <c r="W720" s="37" t="str">
        <f aca="false">IF(Q720="","",IFERROR(INDEX(Settings!$J$11:$J$15,MATCH(Q720,Settings!$H$11:$H$15,0)),"No"))</f>
        <v/>
      </c>
    </row>
    <row r="721" customFormat="false" ht="15" hidden="false" customHeight="false" outlineLevel="0" collapsed="false">
      <c r="A721" s="30"/>
      <c r="B721" s="25"/>
      <c r="C721" s="25"/>
      <c r="D721" s="25"/>
      <c r="E721" s="25"/>
      <c r="F721" s="25"/>
      <c r="G721" s="25"/>
      <c r="H721" s="31"/>
      <c r="I721" s="32"/>
      <c r="J721" s="33"/>
      <c r="K721" s="34" t="str">
        <f aca="false">IF(OR(H721="",I721=""),"",H721*I721*(1-N(J721)))</f>
        <v/>
      </c>
      <c r="L721" s="32"/>
      <c r="M721" s="34" t="str">
        <f aca="false">IF(OR(H721="",L721=""),"",H721*L721)</f>
        <v/>
      </c>
      <c r="N721" s="34" t="str">
        <f aca="false">IF(OR(K721="",M721=""),"",K721-M721)</f>
        <v/>
      </c>
      <c r="O721" s="35" t="str">
        <f aca="false">IF(OR(N721="",K721=""),"",IF(K721=0,"",N721/K721))</f>
        <v/>
      </c>
      <c r="P721" s="25"/>
      <c r="Q721" s="25"/>
      <c r="R721" s="25"/>
      <c r="S721" s="36" t="str">
        <f aca="false">IF(A721="","",YEAR(A721)+IF(AND(FYStart&gt;1,MONTH(A721)&gt;=FYStart),1,0))</f>
        <v/>
      </c>
      <c r="T721" s="36" t="str">
        <f aca="false">IF(A721="","",MOD(MONTH(A721)-FYStart,12)+1)</f>
        <v/>
      </c>
      <c r="U721" s="37" t="str">
        <f aca="false">IF(A721="","",TEXT(A721,"mmm"))</f>
        <v/>
      </c>
      <c r="V721" s="37" t="str">
        <f aca="false">IF(Q721="","",IFERROR(INDEX(Settings!$I$11:$I$15,MATCH(Q721,Settings!$H$11:$H$15,0)),"No"))</f>
        <v/>
      </c>
      <c r="W721" s="37" t="str">
        <f aca="false">IF(Q721="","",IFERROR(INDEX(Settings!$J$11:$J$15,MATCH(Q721,Settings!$H$11:$H$15,0)),"No"))</f>
        <v/>
      </c>
    </row>
    <row r="722" customFormat="false" ht="15" hidden="false" customHeight="false" outlineLevel="0" collapsed="false">
      <c r="A722" s="30"/>
      <c r="B722" s="25"/>
      <c r="C722" s="25"/>
      <c r="D722" s="25"/>
      <c r="E722" s="25"/>
      <c r="F722" s="25"/>
      <c r="G722" s="25"/>
      <c r="H722" s="31"/>
      <c r="I722" s="32"/>
      <c r="J722" s="33"/>
      <c r="K722" s="34" t="str">
        <f aca="false">IF(OR(H722="",I722=""),"",H722*I722*(1-N(J722)))</f>
        <v/>
      </c>
      <c r="L722" s="32"/>
      <c r="M722" s="34" t="str">
        <f aca="false">IF(OR(H722="",L722=""),"",H722*L722)</f>
        <v/>
      </c>
      <c r="N722" s="34" t="str">
        <f aca="false">IF(OR(K722="",M722=""),"",K722-M722)</f>
        <v/>
      </c>
      <c r="O722" s="35" t="str">
        <f aca="false">IF(OR(N722="",K722=""),"",IF(K722=0,"",N722/K722))</f>
        <v/>
      </c>
      <c r="P722" s="25"/>
      <c r="Q722" s="25"/>
      <c r="R722" s="25"/>
      <c r="S722" s="36" t="str">
        <f aca="false">IF(A722="","",YEAR(A722)+IF(AND(FYStart&gt;1,MONTH(A722)&gt;=FYStart),1,0))</f>
        <v/>
      </c>
      <c r="T722" s="36" t="str">
        <f aca="false">IF(A722="","",MOD(MONTH(A722)-FYStart,12)+1)</f>
        <v/>
      </c>
      <c r="U722" s="37" t="str">
        <f aca="false">IF(A722="","",TEXT(A722,"mmm"))</f>
        <v/>
      </c>
      <c r="V722" s="37" t="str">
        <f aca="false">IF(Q722="","",IFERROR(INDEX(Settings!$I$11:$I$15,MATCH(Q722,Settings!$H$11:$H$15,0)),"No"))</f>
        <v/>
      </c>
      <c r="W722" s="37" t="str">
        <f aca="false">IF(Q722="","",IFERROR(INDEX(Settings!$J$11:$J$15,MATCH(Q722,Settings!$H$11:$H$15,0)),"No"))</f>
        <v/>
      </c>
    </row>
    <row r="723" customFormat="false" ht="15" hidden="false" customHeight="false" outlineLevel="0" collapsed="false">
      <c r="A723" s="30"/>
      <c r="B723" s="25"/>
      <c r="C723" s="25"/>
      <c r="D723" s="25"/>
      <c r="E723" s="25"/>
      <c r="F723" s="25"/>
      <c r="G723" s="25"/>
      <c r="H723" s="31"/>
      <c r="I723" s="32"/>
      <c r="J723" s="33"/>
      <c r="K723" s="34" t="str">
        <f aca="false">IF(OR(H723="",I723=""),"",H723*I723*(1-N(J723)))</f>
        <v/>
      </c>
      <c r="L723" s="32"/>
      <c r="M723" s="34" t="str">
        <f aca="false">IF(OR(H723="",L723=""),"",H723*L723)</f>
        <v/>
      </c>
      <c r="N723" s="34" t="str">
        <f aca="false">IF(OR(K723="",M723=""),"",K723-M723)</f>
        <v/>
      </c>
      <c r="O723" s="35" t="str">
        <f aca="false">IF(OR(N723="",K723=""),"",IF(K723=0,"",N723/K723))</f>
        <v/>
      </c>
      <c r="P723" s="25"/>
      <c r="Q723" s="25"/>
      <c r="R723" s="25"/>
      <c r="S723" s="36" t="str">
        <f aca="false">IF(A723="","",YEAR(A723)+IF(AND(FYStart&gt;1,MONTH(A723)&gt;=FYStart),1,0))</f>
        <v/>
      </c>
      <c r="T723" s="36" t="str">
        <f aca="false">IF(A723="","",MOD(MONTH(A723)-FYStart,12)+1)</f>
        <v/>
      </c>
      <c r="U723" s="37" t="str">
        <f aca="false">IF(A723="","",TEXT(A723,"mmm"))</f>
        <v/>
      </c>
      <c r="V723" s="37" t="str">
        <f aca="false">IF(Q723="","",IFERROR(INDEX(Settings!$I$11:$I$15,MATCH(Q723,Settings!$H$11:$H$15,0)),"No"))</f>
        <v/>
      </c>
      <c r="W723" s="37" t="str">
        <f aca="false">IF(Q723="","",IFERROR(INDEX(Settings!$J$11:$J$15,MATCH(Q723,Settings!$H$11:$H$15,0)),"No"))</f>
        <v/>
      </c>
    </row>
    <row r="724" customFormat="false" ht="15" hidden="false" customHeight="false" outlineLevel="0" collapsed="false">
      <c r="A724" s="30"/>
      <c r="B724" s="25"/>
      <c r="C724" s="25"/>
      <c r="D724" s="25"/>
      <c r="E724" s="25"/>
      <c r="F724" s="25"/>
      <c r="G724" s="25"/>
      <c r="H724" s="31"/>
      <c r="I724" s="32"/>
      <c r="J724" s="33"/>
      <c r="K724" s="34" t="str">
        <f aca="false">IF(OR(H724="",I724=""),"",H724*I724*(1-N(J724)))</f>
        <v/>
      </c>
      <c r="L724" s="32"/>
      <c r="M724" s="34" t="str">
        <f aca="false">IF(OR(H724="",L724=""),"",H724*L724)</f>
        <v/>
      </c>
      <c r="N724" s="34" t="str">
        <f aca="false">IF(OR(K724="",M724=""),"",K724-M724)</f>
        <v/>
      </c>
      <c r="O724" s="35" t="str">
        <f aca="false">IF(OR(N724="",K724=""),"",IF(K724=0,"",N724/K724))</f>
        <v/>
      </c>
      <c r="P724" s="25"/>
      <c r="Q724" s="25"/>
      <c r="R724" s="25"/>
      <c r="S724" s="36" t="str">
        <f aca="false">IF(A724="","",YEAR(A724)+IF(AND(FYStart&gt;1,MONTH(A724)&gt;=FYStart),1,0))</f>
        <v/>
      </c>
      <c r="T724" s="36" t="str">
        <f aca="false">IF(A724="","",MOD(MONTH(A724)-FYStart,12)+1)</f>
        <v/>
      </c>
      <c r="U724" s="37" t="str">
        <f aca="false">IF(A724="","",TEXT(A724,"mmm"))</f>
        <v/>
      </c>
      <c r="V724" s="37" t="str">
        <f aca="false">IF(Q724="","",IFERROR(INDEX(Settings!$I$11:$I$15,MATCH(Q724,Settings!$H$11:$H$15,0)),"No"))</f>
        <v/>
      </c>
      <c r="W724" s="37" t="str">
        <f aca="false">IF(Q724="","",IFERROR(INDEX(Settings!$J$11:$J$15,MATCH(Q724,Settings!$H$11:$H$15,0)),"No"))</f>
        <v/>
      </c>
    </row>
    <row r="725" customFormat="false" ht="15" hidden="false" customHeight="false" outlineLevel="0" collapsed="false">
      <c r="A725" s="30"/>
      <c r="B725" s="25"/>
      <c r="C725" s="25"/>
      <c r="D725" s="25"/>
      <c r="E725" s="25"/>
      <c r="F725" s="25"/>
      <c r="G725" s="25"/>
      <c r="H725" s="31"/>
      <c r="I725" s="32"/>
      <c r="J725" s="33"/>
      <c r="K725" s="34" t="str">
        <f aca="false">IF(OR(H725="",I725=""),"",H725*I725*(1-N(J725)))</f>
        <v/>
      </c>
      <c r="L725" s="32"/>
      <c r="M725" s="34" t="str">
        <f aca="false">IF(OR(H725="",L725=""),"",H725*L725)</f>
        <v/>
      </c>
      <c r="N725" s="34" t="str">
        <f aca="false">IF(OR(K725="",M725=""),"",K725-M725)</f>
        <v/>
      </c>
      <c r="O725" s="35" t="str">
        <f aca="false">IF(OR(N725="",K725=""),"",IF(K725=0,"",N725/K725))</f>
        <v/>
      </c>
      <c r="P725" s="25"/>
      <c r="Q725" s="25"/>
      <c r="R725" s="25"/>
      <c r="S725" s="36" t="str">
        <f aca="false">IF(A725="","",YEAR(A725)+IF(AND(FYStart&gt;1,MONTH(A725)&gt;=FYStart),1,0))</f>
        <v/>
      </c>
      <c r="T725" s="36" t="str">
        <f aca="false">IF(A725="","",MOD(MONTH(A725)-FYStart,12)+1)</f>
        <v/>
      </c>
      <c r="U725" s="37" t="str">
        <f aca="false">IF(A725="","",TEXT(A725,"mmm"))</f>
        <v/>
      </c>
      <c r="V725" s="37" t="str">
        <f aca="false">IF(Q725="","",IFERROR(INDEX(Settings!$I$11:$I$15,MATCH(Q725,Settings!$H$11:$H$15,0)),"No"))</f>
        <v/>
      </c>
      <c r="W725" s="37" t="str">
        <f aca="false">IF(Q725="","",IFERROR(INDEX(Settings!$J$11:$J$15,MATCH(Q725,Settings!$H$11:$H$15,0)),"No"))</f>
        <v/>
      </c>
    </row>
    <row r="726" customFormat="false" ht="15" hidden="false" customHeight="false" outlineLevel="0" collapsed="false">
      <c r="A726" s="30"/>
      <c r="B726" s="25"/>
      <c r="C726" s="25"/>
      <c r="D726" s="25"/>
      <c r="E726" s="25"/>
      <c r="F726" s="25"/>
      <c r="G726" s="25"/>
      <c r="H726" s="31"/>
      <c r="I726" s="32"/>
      <c r="J726" s="33"/>
      <c r="K726" s="34" t="str">
        <f aca="false">IF(OR(H726="",I726=""),"",H726*I726*(1-N(J726)))</f>
        <v/>
      </c>
      <c r="L726" s="32"/>
      <c r="M726" s="34" t="str">
        <f aca="false">IF(OR(H726="",L726=""),"",H726*L726)</f>
        <v/>
      </c>
      <c r="N726" s="34" t="str">
        <f aca="false">IF(OR(K726="",M726=""),"",K726-M726)</f>
        <v/>
      </c>
      <c r="O726" s="35" t="str">
        <f aca="false">IF(OR(N726="",K726=""),"",IF(K726=0,"",N726/K726))</f>
        <v/>
      </c>
      <c r="P726" s="25"/>
      <c r="Q726" s="25"/>
      <c r="R726" s="25"/>
      <c r="S726" s="36" t="str">
        <f aca="false">IF(A726="","",YEAR(A726)+IF(AND(FYStart&gt;1,MONTH(A726)&gt;=FYStart),1,0))</f>
        <v/>
      </c>
      <c r="T726" s="36" t="str">
        <f aca="false">IF(A726="","",MOD(MONTH(A726)-FYStart,12)+1)</f>
        <v/>
      </c>
      <c r="U726" s="37" t="str">
        <f aca="false">IF(A726="","",TEXT(A726,"mmm"))</f>
        <v/>
      </c>
      <c r="V726" s="37" t="str">
        <f aca="false">IF(Q726="","",IFERROR(INDEX(Settings!$I$11:$I$15,MATCH(Q726,Settings!$H$11:$H$15,0)),"No"))</f>
        <v/>
      </c>
      <c r="W726" s="37" t="str">
        <f aca="false">IF(Q726="","",IFERROR(INDEX(Settings!$J$11:$J$15,MATCH(Q726,Settings!$H$11:$H$15,0)),"No"))</f>
        <v/>
      </c>
    </row>
    <row r="727" customFormat="false" ht="15" hidden="false" customHeight="false" outlineLevel="0" collapsed="false">
      <c r="A727" s="30"/>
      <c r="B727" s="25"/>
      <c r="C727" s="25"/>
      <c r="D727" s="25"/>
      <c r="E727" s="25"/>
      <c r="F727" s="25"/>
      <c r="G727" s="25"/>
      <c r="H727" s="31"/>
      <c r="I727" s="32"/>
      <c r="J727" s="33"/>
      <c r="K727" s="34" t="str">
        <f aca="false">IF(OR(H727="",I727=""),"",H727*I727*(1-N(J727)))</f>
        <v/>
      </c>
      <c r="L727" s="32"/>
      <c r="M727" s="34" t="str">
        <f aca="false">IF(OR(H727="",L727=""),"",H727*L727)</f>
        <v/>
      </c>
      <c r="N727" s="34" t="str">
        <f aca="false">IF(OR(K727="",M727=""),"",K727-M727)</f>
        <v/>
      </c>
      <c r="O727" s="35" t="str">
        <f aca="false">IF(OR(N727="",K727=""),"",IF(K727=0,"",N727/K727))</f>
        <v/>
      </c>
      <c r="P727" s="25"/>
      <c r="Q727" s="25"/>
      <c r="R727" s="25"/>
      <c r="S727" s="36" t="str">
        <f aca="false">IF(A727="","",YEAR(A727)+IF(AND(FYStart&gt;1,MONTH(A727)&gt;=FYStart),1,0))</f>
        <v/>
      </c>
      <c r="T727" s="36" t="str">
        <f aca="false">IF(A727="","",MOD(MONTH(A727)-FYStart,12)+1)</f>
        <v/>
      </c>
      <c r="U727" s="37" t="str">
        <f aca="false">IF(A727="","",TEXT(A727,"mmm"))</f>
        <v/>
      </c>
      <c r="V727" s="37" t="str">
        <f aca="false">IF(Q727="","",IFERROR(INDEX(Settings!$I$11:$I$15,MATCH(Q727,Settings!$H$11:$H$15,0)),"No"))</f>
        <v/>
      </c>
      <c r="W727" s="37" t="str">
        <f aca="false">IF(Q727="","",IFERROR(INDEX(Settings!$J$11:$J$15,MATCH(Q727,Settings!$H$11:$H$15,0)),"No"))</f>
        <v/>
      </c>
    </row>
    <row r="728" customFormat="false" ht="15" hidden="false" customHeight="false" outlineLevel="0" collapsed="false">
      <c r="A728" s="30"/>
      <c r="B728" s="25"/>
      <c r="C728" s="25"/>
      <c r="D728" s="25"/>
      <c r="E728" s="25"/>
      <c r="F728" s="25"/>
      <c r="G728" s="25"/>
      <c r="H728" s="31"/>
      <c r="I728" s="32"/>
      <c r="J728" s="33"/>
      <c r="K728" s="34" t="str">
        <f aca="false">IF(OR(H728="",I728=""),"",H728*I728*(1-N(J728)))</f>
        <v/>
      </c>
      <c r="L728" s="32"/>
      <c r="M728" s="34" t="str">
        <f aca="false">IF(OR(H728="",L728=""),"",H728*L728)</f>
        <v/>
      </c>
      <c r="N728" s="34" t="str">
        <f aca="false">IF(OR(K728="",M728=""),"",K728-M728)</f>
        <v/>
      </c>
      <c r="O728" s="35" t="str">
        <f aca="false">IF(OR(N728="",K728=""),"",IF(K728=0,"",N728/K728))</f>
        <v/>
      </c>
      <c r="P728" s="25"/>
      <c r="Q728" s="25"/>
      <c r="R728" s="25"/>
      <c r="S728" s="36" t="str">
        <f aca="false">IF(A728="","",YEAR(A728)+IF(AND(FYStart&gt;1,MONTH(A728)&gt;=FYStart),1,0))</f>
        <v/>
      </c>
      <c r="T728" s="36" t="str">
        <f aca="false">IF(A728="","",MOD(MONTH(A728)-FYStart,12)+1)</f>
        <v/>
      </c>
      <c r="U728" s="37" t="str">
        <f aca="false">IF(A728="","",TEXT(A728,"mmm"))</f>
        <v/>
      </c>
      <c r="V728" s="37" t="str">
        <f aca="false">IF(Q728="","",IFERROR(INDEX(Settings!$I$11:$I$15,MATCH(Q728,Settings!$H$11:$H$15,0)),"No"))</f>
        <v/>
      </c>
      <c r="W728" s="37" t="str">
        <f aca="false">IF(Q728="","",IFERROR(INDEX(Settings!$J$11:$J$15,MATCH(Q728,Settings!$H$11:$H$15,0)),"No"))</f>
        <v/>
      </c>
    </row>
    <row r="729" customFormat="false" ht="15" hidden="false" customHeight="false" outlineLevel="0" collapsed="false">
      <c r="A729" s="30"/>
      <c r="B729" s="25"/>
      <c r="C729" s="25"/>
      <c r="D729" s="25"/>
      <c r="E729" s="25"/>
      <c r="F729" s="25"/>
      <c r="G729" s="25"/>
      <c r="H729" s="31"/>
      <c r="I729" s="32"/>
      <c r="J729" s="33"/>
      <c r="K729" s="34" t="str">
        <f aca="false">IF(OR(H729="",I729=""),"",H729*I729*(1-N(J729)))</f>
        <v/>
      </c>
      <c r="L729" s="32"/>
      <c r="M729" s="34" t="str">
        <f aca="false">IF(OR(H729="",L729=""),"",H729*L729)</f>
        <v/>
      </c>
      <c r="N729" s="34" t="str">
        <f aca="false">IF(OR(K729="",M729=""),"",K729-M729)</f>
        <v/>
      </c>
      <c r="O729" s="35" t="str">
        <f aca="false">IF(OR(N729="",K729=""),"",IF(K729=0,"",N729/K729))</f>
        <v/>
      </c>
      <c r="P729" s="25"/>
      <c r="Q729" s="25"/>
      <c r="R729" s="25"/>
      <c r="S729" s="36" t="str">
        <f aca="false">IF(A729="","",YEAR(A729)+IF(AND(FYStart&gt;1,MONTH(A729)&gt;=FYStart),1,0))</f>
        <v/>
      </c>
      <c r="T729" s="36" t="str">
        <f aca="false">IF(A729="","",MOD(MONTH(A729)-FYStart,12)+1)</f>
        <v/>
      </c>
      <c r="U729" s="37" t="str">
        <f aca="false">IF(A729="","",TEXT(A729,"mmm"))</f>
        <v/>
      </c>
      <c r="V729" s="37" t="str">
        <f aca="false">IF(Q729="","",IFERROR(INDEX(Settings!$I$11:$I$15,MATCH(Q729,Settings!$H$11:$H$15,0)),"No"))</f>
        <v/>
      </c>
      <c r="W729" s="37" t="str">
        <f aca="false">IF(Q729="","",IFERROR(INDEX(Settings!$J$11:$J$15,MATCH(Q729,Settings!$H$11:$H$15,0)),"No"))</f>
        <v/>
      </c>
    </row>
    <row r="730" customFormat="false" ht="15" hidden="false" customHeight="false" outlineLevel="0" collapsed="false">
      <c r="A730" s="30"/>
      <c r="B730" s="25"/>
      <c r="C730" s="25"/>
      <c r="D730" s="25"/>
      <c r="E730" s="25"/>
      <c r="F730" s="25"/>
      <c r="G730" s="25"/>
      <c r="H730" s="31"/>
      <c r="I730" s="32"/>
      <c r="J730" s="33"/>
      <c r="K730" s="34" t="str">
        <f aca="false">IF(OR(H730="",I730=""),"",H730*I730*(1-N(J730)))</f>
        <v/>
      </c>
      <c r="L730" s="32"/>
      <c r="M730" s="34" t="str">
        <f aca="false">IF(OR(H730="",L730=""),"",H730*L730)</f>
        <v/>
      </c>
      <c r="N730" s="34" t="str">
        <f aca="false">IF(OR(K730="",M730=""),"",K730-M730)</f>
        <v/>
      </c>
      <c r="O730" s="35" t="str">
        <f aca="false">IF(OR(N730="",K730=""),"",IF(K730=0,"",N730/K730))</f>
        <v/>
      </c>
      <c r="P730" s="25"/>
      <c r="Q730" s="25"/>
      <c r="R730" s="25"/>
      <c r="S730" s="36" t="str">
        <f aca="false">IF(A730="","",YEAR(A730)+IF(AND(FYStart&gt;1,MONTH(A730)&gt;=FYStart),1,0))</f>
        <v/>
      </c>
      <c r="T730" s="36" t="str">
        <f aca="false">IF(A730="","",MOD(MONTH(A730)-FYStart,12)+1)</f>
        <v/>
      </c>
      <c r="U730" s="37" t="str">
        <f aca="false">IF(A730="","",TEXT(A730,"mmm"))</f>
        <v/>
      </c>
      <c r="V730" s="37" t="str">
        <f aca="false">IF(Q730="","",IFERROR(INDEX(Settings!$I$11:$I$15,MATCH(Q730,Settings!$H$11:$H$15,0)),"No"))</f>
        <v/>
      </c>
      <c r="W730" s="37" t="str">
        <f aca="false">IF(Q730="","",IFERROR(INDEX(Settings!$J$11:$J$15,MATCH(Q730,Settings!$H$11:$H$15,0)),"No"))</f>
        <v/>
      </c>
    </row>
    <row r="731" customFormat="false" ht="15" hidden="false" customHeight="false" outlineLevel="0" collapsed="false">
      <c r="A731" s="30"/>
      <c r="B731" s="25"/>
      <c r="C731" s="25"/>
      <c r="D731" s="25"/>
      <c r="E731" s="25"/>
      <c r="F731" s="25"/>
      <c r="G731" s="25"/>
      <c r="H731" s="31"/>
      <c r="I731" s="32"/>
      <c r="J731" s="33"/>
      <c r="K731" s="34" t="str">
        <f aca="false">IF(OR(H731="",I731=""),"",H731*I731*(1-N(J731)))</f>
        <v/>
      </c>
      <c r="L731" s="32"/>
      <c r="M731" s="34" t="str">
        <f aca="false">IF(OR(H731="",L731=""),"",H731*L731)</f>
        <v/>
      </c>
      <c r="N731" s="34" t="str">
        <f aca="false">IF(OR(K731="",M731=""),"",K731-M731)</f>
        <v/>
      </c>
      <c r="O731" s="35" t="str">
        <f aca="false">IF(OR(N731="",K731=""),"",IF(K731=0,"",N731/K731))</f>
        <v/>
      </c>
      <c r="P731" s="25"/>
      <c r="Q731" s="25"/>
      <c r="R731" s="25"/>
      <c r="S731" s="36" t="str">
        <f aca="false">IF(A731="","",YEAR(A731)+IF(AND(FYStart&gt;1,MONTH(A731)&gt;=FYStart),1,0))</f>
        <v/>
      </c>
      <c r="T731" s="36" t="str">
        <f aca="false">IF(A731="","",MOD(MONTH(A731)-FYStart,12)+1)</f>
        <v/>
      </c>
      <c r="U731" s="37" t="str">
        <f aca="false">IF(A731="","",TEXT(A731,"mmm"))</f>
        <v/>
      </c>
      <c r="V731" s="37" t="str">
        <f aca="false">IF(Q731="","",IFERROR(INDEX(Settings!$I$11:$I$15,MATCH(Q731,Settings!$H$11:$H$15,0)),"No"))</f>
        <v/>
      </c>
      <c r="W731" s="37" t="str">
        <f aca="false">IF(Q731="","",IFERROR(INDEX(Settings!$J$11:$J$15,MATCH(Q731,Settings!$H$11:$H$15,0)),"No"))</f>
        <v/>
      </c>
    </row>
    <row r="732" customFormat="false" ht="15" hidden="false" customHeight="false" outlineLevel="0" collapsed="false">
      <c r="A732" s="30"/>
      <c r="B732" s="25"/>
      <c r="C732" s="25"/>
      <c r="D732" s="25"/>
      <c r="E732" s="25"/>
      <c r="F732" s="25"/>
      <c r="G732" s="25"/>
      <c r="H732" s="31"/>
      <c r="I732" s="32"/>
      <c r="J732" s="33"/>
      <c r="K732" s="34" t="str">
        <f aca="false">IF(OR(H732="",I732=""),"",H732*I732*(1-N(J732)))</f>
        <v/>
      </c>
      <c r="L732" s="32"/>
      <c r="M732" s="34" t="str">
        <f aca="false">IF(OR(H732="",L732=""),"",H732*L732)</f>
        <v/>
      </c>
      <c r="N732" s="34" t="str">
        <f aca="false">IF(OR(K732="",M732=""),"",K732-M732)</f>
        <v/>
      </c>
      <c r="O732" s="35" t="str">
        <f aca="false">IF(OR(N732="",K732=""),"",IF(K732=0,"",N732/K732))</f>
        <v/>
      </c>
      <c r="P732" s="25"/>
      <c r="Q732" s="25"/>
      <c r="R732" s="25"/>
      <c r="S732" s="36" t="str">
        <f aca="false">IF(A732="","",YEAR(A732)+IF(AND(FYStart&gt;1,MONTH(A732)&gt;=FYStart),1,0))</f>
        <v/>
      </c>
      <c r="T732" s="36" t="str">
        <f aca="false">IF(A732="","",MOD(MONTH(A732)-FYStart,12)+1)</f>
        <v/>
      </c>
      <c r="U732" s="37" t="str">
        <f aca="false">IF(A732="","",TEXT(A732,"mmm"))</f>
        <v/>
      </c>
      <c r="V732" s="37" t="str">
        <f aca="false">IF(Q732="","",IFERROR(INDEX(Settings!$I$11:$I$15,MATCH(Q732,Settings!$H$11:$H$15,0)),"No"))</f>
        <v/>
      </c>
      <c r="W732" s="37" t="str">
        <f aca="false">IF(Q732="","",IFERROR(INDEX(Settings!$J$11:$J$15,MATCH(Q732,Settings!$H$11:$H$15,0)),"No"))</f>
        <v/>
      </c>
    </row>
    <row r="733" customFormat="false" ht="15" hidden="false" customHeight="false" outlineLevel="0" collapsed="false">
      <c r="A733" s="30"/>
      <c r="B733" s="25"/>
      <c r="C733" s="25"/>
      <c r="D733" s="25"/>
      <c r="E733" s="25"/>
      <c r="F733" s="25"/>
      <c r="G733" s="25"/>
      <c r="H733" s="31"/>
      <c r="I733" s="32"/>
      <c r="J733" s="33"/>
      <c r="K733" s="34" t="str">
        <f aca="false">IF(OR(H733="",I733=""),"",H733*I733*(1-N(J733)))</f>
        <v/>
      </c>
      <c r="L733" s="32"/>
      <c r="M733" s="34" t="str">
        <f aca="false">IF(OR(H733="",L733=""),"",H733*L733)</f>
        <v/>
      </c>
      <c r="N733" s="34" t="str">
        <f aca="false">IF(OR(K733="",M733=""),"",K733-M733)</f>
        <v/>
      </c>
      <c r="O733" s="35" t="str">
        <f aca="false">IF(OR(N733="",K733=""),"",IF(K733=0,"",N733/K733))</f>
        <v/>
      </c>
      <c r="P733" s="25"/>
      <c r="Q733" s="25"/>
      <c r="R733" s="25"/>
      <c r="S733" s="36" t="str">
        <f aca="false">IF(A733="","",YEAR(A733)+IF(AND(FYStart&gt;1,MONTH(A733)&gt;=FYStart),1,0))</f>
        <v/>
      </c>
      <c r="T733" s="36" t="str">
        <f aca="false">IF(A733="","",MOD(MONTH(A733)-FYStart,12)+1)</f>
        <v/>
      </c>
      <c r="U733" s="37" t="str">
        <f aca="false">IF(A733="","",TEXT(A733,"mmm"))</f>
        <v/>
      </c>
      <c r="V733" s="37" t="str">
        <f aca="false">IF(Q733="","",IFERROR(INDEX(Settings!$I$11:$I$15,MATCH(Q733,Settings!$H$11:$H$15,0)),"No"))</f>
        <v/>
      </c>
      <c r="W733" s="37" t="str">
        <f aca="false">IF(Q733="","",IFERROR(INDEX(Settings!$J$11:$J$15,MATCH(Q733,Settings!$H$11:$H$15,0)),"No"))</f>
        <v/>
      </c>
    </row>
    <row r="734" customFormat="false" ht="15" hidden="false" customHeight="false" outlineLevel="0" collapsed="false">
      <c r="A734" s="30"/>
      <c r="B734" s="25"/>
      <c r="C734" s="25"/>
      <c r="D734" s="25"/>
      <c r="E734" s="25"/>
      <c r="F734" s="25"/>
      <c r="G734" s="25"/>
      <c r="H734" s="31"/>
      <c r="I734" s="32"/>
      <c r="J734" s="33"/>
      <c r="K734" s="34" t="str">
        <f aca="false">IF(OR(H734="",I734=""),"",H734*I734*(1-N(J734)))</f>
        <v/>
      </c>
      <c r="L734" s="32"/>
      <c r="M734" s="34" t="str">
        <f aca="false">IF(OR(H734="",L734=""),"",H734*L734)</f>
        <v/>
      </c>
      <c r="N734" s="34" t="str">
        <f aca="false">IF(OR(K734="",M734=""),"",K734-M734)</f>
        <v/>
      </c>
      <c r="O734" s="35" t="str">
        <f aca="false">IF(OR(N734="",K734=""),"",IF(K734=0,"",N734/K734))</f>
        <v/>
      </c>
      <c r="P734" s="25"/>
      <c r="Q734" s="25"/>
      <c r="R734" s="25"/>
      <c r="S734" s="36" t="str">
        <f aca="false">IF(A734="","",YEAR(A734)+IF(AND(FYStart&gt;1,MONTH(A734)&gt;=FYStart),1,0))</f>
        <v/>
      </c>
      <c r="T734" s="36" t="str">
        <f aca="false">IF(A734="","",MOD(MONTH(A734)-FYStart,12)+1)</f>
        <v/>
      </c>
      <c r="U734" s="37" t="str">
        <f aca="false">IF(A734="","",TEXT(A734,"mmm"))</f>
        <v/>
      </c>
      <c r="V734" s="37" t="str">
        <f aca="false">IF(Q734="","",IFERROR(INDEX(Settings!$I$11:$I$15,MATCH(Q734,Settings!$H$11:$H$15,0)),"No"))</f>
        <v/>
      </c>
      <c r="W734" s="37" t="str">
        <f aca="false">IF(Q734="","",IFERROR(INDEX(Settings!$J$11:$J$15,MATCH(Q734,Settings!$H$11:$H$15,0)),"No"))</f>
        <v/>
      </c>
    </row>
    <row r="735" customFormat="false" ht="15" hidden="false" customHeight="false" outlineLevel="0" collapsed="false">
      <c r="A735" s="30"/>
      <c r="B735" s="25"/>
      <c r="C735" s="25"/>
      <c r="D735" s="25"/>
      <c r="E735" s="25"/>
      <c r="F735" s="25"/>
      <c r="G735" s="25"/>
      <c r="H735" s="31"/>
      <c r="I735" s="32"/>
      <c r="J735" s="33"/>
      <c r="K735" s="34" t="str">
        <f aca="false">IF(OR(H735="",I735=""),"",H735*I735*(1-N(J735)))</f>
        <v/>
      </c>
      <c r="L735" s="32"/>
      <c r="M735" s="34" t="str">
        <f aca="false">IF(OR(H735="",L735=""),"",H735*L735)</f>
        <v/>
      </c>
      <c r="N735" s="34" t="str">
        <f aca="false">IF(OR(K735="",M735=""),"",K735-M735)</f>
        <v/>
      </c>
      <c r="O735" s="35" t="str">
        <f aca="false">IF(OR(N735="",K735=""),"",IF(K735=0,"",N735/K735))</f>
        <v/>
      </c>
      <c r="P735" s="25"/>
      <c r="Q735" s="25"/>
      <c r="R735" s="25"/>
      <c r="S735" s="36" t="str">
        <f aca="false">IF(A735="","",YEAR(A735)+IF(AND(FYStart&gt;1,MONTH(A735)&gt;=FYStart),1,0))</f>
        <v/>
      </c>
      <c r="T735" s="36" t="str">
        <f aca="false">IF(A735="","",MOD(MONTH(A735)-FYStart,12)+1)</f>
        <v/>
      </c>
      <c r="U735" s="37" t="str">
        <f aca="false">IF(A735="","",TEXT(A735,"mmm"))</f>
        <v/>
      </c>
      <c r="V735" s="37" t="str">
        <f aca="false">IF(Q735="","",IFERROR(INDEX(Settings!$I$11:$I$15,MATCH(Q735,Settings!$H$11:$H$15,0)),"No"))</f>
        <v/>
      </c>
      <c r="W735" s="37" t="str">
        <f aca="false">IF(Q735="","",IFERROR(INDEX(Settings!$J$11:$J$15,MATCH(Q735,Settings!$H$11:$H$15,0)),"No"))</f>
        <v/>
      </c>
    </row>
    <row r="736" customFormat="false" ht="15" hidden="false" customHeight="false" outlineLevel="0" collapsed="false">
      <c r="A736" s="30"/>
      <c r="B736" s="25"/>
      <c r="C736" s="25"/>
      <c r="D736" s="25"/>
      <c r="E736" s="25"/>
      <c r="F736" s="25"/>
      <c r="G736" s="25"/>
      <c r="H736" s="31"/>
      <c r="I736" s="32"/>
      <c r="J736" s="33"/>
      <c r="K736" s="34" t="str">
        <f aca="false">IF(OR(H736="",I736=""),"",H736*I736*(1-N(J736)))</f>
        <v/>
      </c>
      <c r="L736" s="32"/>
      <c r="M736" s="34" t="str">
        <f aca="false">IF(OR(H736="",L736=""),"",H736*L736)</f>
        <v/>
      </c>
      <c r="N736" s="34" t="str">
        <f aca="false">IF(OR(K736="",M736=""),"",K736-M736)</f>
        <v/>
      </c>
      <c r="O736" s="35" t="str">
        <f aca="false">IF(OR(N736="",K736=""),"",IF(K736=0,"",N736/K736))</f>
        <v/>
      </c>
      <c r="P736" s="25"/>
      <c r="Q736" s="25"/>
      <c r="R736" s="25"/>
      <c r="S736" s="36" t="str">
        <f aca="false">IF(A736="","",YEAR(A736)+IF(AND(FYStart&gt;1,MONTH(A736)&gt;=FYStart),1,0))</f>
        <v/>
      </c>
      <c r="T736" s="36" t="str">
        <f aca="false">IF(A736="","",MOD(MONTH(A736)-FYStart,12)+1)</f>
        <v/>
      </c>
      <c r="U736" s="37" t="str">
        <f aca="false">IF(A736="","",TEXT(A736,"mmm"))</f>
        <v/>
      </c>
      <c r="V736" s="37" t="str">
        <f aca="false">IF(Q736="","",IFERROR(INDEX(Settings!$I$11:$I$15,MATCH(Q736,Settings!$H$11:$H$15,0)),"No"))</f>
        <v/>
      </c>
      <c r="W736" s="37" t="str">
        <f aca="false">IF(Q736="","",IFERROR(INDEX(Settings!$J$11:$J$15,MATCH(Q736,Settings!$H$11:$H$15,0)),"No"))</f>
        <v/>
      </c>
    </row>
    <row r="737" customFormat="false" ht="15" hidden="false" customHeight="false" outlineLevel="0" collapsed="false">
      <c r="A737" s="30"/>
      <c r="B737" s="25"/>
      <c r="C737" s="25"/>
      <c r="D737" s="25"/>
      <c r="E737" s="25"/>
      <c r="F737" s="25"/>
      <c r="G737" s="25"/>
      <c r="H737" s="31"/>
      <c r="I737" s="32"/>
      <c r="J737" s="33"/>
      <c r="K737" s="34" t="str">
        <f aca="false">IF(OR(H737="",I737=""),"",H737*I737*(1-N(J737)))</f>
        <v/>
      </c>
      <c r="L737" s="32"/>
      <c r="M737" s="34" t="str">
        <f aca="false">IF(OR(H737="",L737=""),"",H737*L737)</f>
        <v/>
      </c>
      <c r="N737" s="34" t="str">
        <f aca="false">IF(OR(K737="",M737=""),"",K737-M737)</f>
        <v/>
      </c>
      <c r="O737" s="35" t="str">
        <f aca="false">IF(OR(N737="",K737=""),"",IF(K737=0,"",N737/K737))</f>
        <v/>
      </c>
      <c r="P737" s="25"/>
      <c r="Q737" s="25"/>
      <c r="R737" s="25"/>
      <c r="S737" s="36" t="str">
        <f aca="false">IF(A737="","",YEAR(A737)+IF(AND(FYStart&gt;1,MONTH(A737)&gt;=FYStart),1,0))</f>
        <v/>
      </c>
      <c r="T737" s="36" t="str">
        <f aca="false">IF(A737="","",MOD(MONTH(A737)-FYStart,12)+1)</f>
        <v/>
      </c>
      <c r="U737" s="37" t="str">
        <f aca="false">IF(A737="","",TEXT(A737,"mmm"))</f>
        <v/>
      </c>
      <c r="V737" s="37" t="str">
        <f aca="false">IF(Q737="","",IFERROR(INDEX(Settings!$I$11:$I$15,MATCH(Q737,Settings!$H$11:$H$15,0)),"No"))</f>
        <v/>
      </c>
      <c r="W737" s="37" t="str">
        <f aca="false">IF(Q737="","",IFERROR(INDEX(Settings!$J$11:$J$15,MATCH(Q737,Settings!$H$11:$H$15,0)),"No"))</f>
        <v/>
      </c>
    </row>
    <row r="738" customFormat="false" ht="15" hidden="false" customHeight="false" outlineLevel="0" collapsed="false">
      <c r="A738" s="30"/>
      <c r="B738" s="25"/>
      <c r="C738" s="25"/>
      <c r="D738" s="25"/>
      <c r="E738" s="25"/>
      <c r="F738" s="25"/>
      <c r="G738" s="25"/>
      <c r="H738" s="31"/>
      <c r="I738" s="32"/>
      <c r="J738" s="33"/>
      <c r="K738" s="34" t="str">
        <f aca="false">IF(OR(H738="",I738=""),"",H738*I738*(1-N(J738)))</f>
        <v/>
      </c>
      <c r="L738" s="32"/>
      <c r="M738" s="34" t="str">
        <f aca="false">IF(OR(H738="",L738=""),"",H738*L738)</f>
        <v/>
      </c>
      <c r="N738" s="34" t="str">
        <f aca="false">IF(OR(K738="",M738=""),"",K738-M738)</f>
        <v/>
      </c>
      <c r="O738" s="35" t="str">
        <f aca="false">IF(OR(N738="",K738=""),"",IF(K738=0,"",N738/K738))</f>
        <v/>
      </c>
      <c r="P738" s="25"/>
      <c r="Q738" s="25"/>
      <c r="R738" s="25"/>
      <c r="S738" s="36" t="str">
        <f aca="false">IF(A738="","",YEAR(A738)+IF(AND(FYStart&gt;1,MONTH(A738)&gt;=FYStart),1,0))</f>
        <v/>
      </c>
      <c r="T738" s="36" t="str">
        <f aca="false">IF(A738="","",MOD(MONTH(A738)-FYStart,12)+1)</f>
        <v/>
      </c>
      <c r="U738" s="37" t="str">
        <f aca="false">IF(A738="","",TEXT(A738,"mmm"))</f>
        <v/>
      </c>
      <c r="V738" s="37" t="str">
        <f aca="false">IF(Q738="","",IFERROR(INDEX(Settings!$I$11:$I$15,MATCH(Q738,Settings!$H$11:$H$15,0)),"No"))</f>
        <v/>
      </c>
      <c r="W738" s="37" t="str">
        <f aca="false">IF(Q738="","",IFERROR(INDEX(Settings!$J$11:$J$15,MATCH(Q738,Settings!$H$11:$H$15,0)),"No"))</f>
        <v/>
      </c>
    </row>
    <row r="739" customFormat="false" ht="15" hidden="false" customHeight="false" outlineLevel="0" collapsed="false">
      <c r="A739" s="30"/>
      <c r="B739" s="25"/>
      <c r="C739" s="25"/>
      <c r="D739" s="25"/>
      <c r="E739" s="25"/>
      <c r="F739" s="25"/>
      <c r="G739" s="25"/>
      <c r="H739" s="31"/>
      <c r="I739" s="32"/>
      <c r="J739" s="33"/>
      <c r="K739" s="34" t="str">
        <f aca="false">IF(OR(H739="",I739=""),"",H739*I739*(1-N(J739)))</f>
        <v/>
      </c>
      <c r="L739" s="32"/>
      <c r="M739" s="34" t="str">
        <f aca="false">IF(OR(H739="",L739=""),"",H739*L739)</f>
        <v/>
      </c>
      <c r="N739" s="34" t="str">
        <f aca="false">IF(OR(K739="",M739=""),"",K739-M739)</f>
        <v/>
      </c>
      <c r="O739" s="35" t="str">
        <f aca="false">IF(OR(N739="",K739=""),"",IF(K739=0,"",N739/K739))</f>
        <v/>
      </c>
      <c r="P739" s="25"/>
      <c r="Q739" s="25"/>
      <c r="R739" s="25"/>
      <c r="S739" s="36" t="str">
        <f aca="false">IF(A739="","",YEAR(A739)+IF(AND(FYStart&gt;1,MONTH(A739)&gt;=FYStart),1,0))</f>
        <v/>
      </c>
      <c r="T739" s="36" t="str">
        <f aca="false">IF(A739="","",MOD(MONTH(A739)-FYStart,12)+1)</f>
        <v/>
      </c>
      <c r="U739" s="37" t="str">
        <f aca="false">IF(A739="","",TEXT(A739,"mmm"))</f>
        <v/>
      </c>
      <c r="V739" s="37" t="str">
        <f aca="false">IF(Q739="","",IFERROR(INDEX(Settings!$I$11:$I$15,MATCH(Q739,Settings!$H$11:$H$15,0)),"No"))</f>
        <v/>
      </c>
      <c r="W739" s="37" t="str">
        <f aca="false">IF(Q739="","",IFERROR(INDEX(Settings!$J$11:$J$15,MATCH(Q739,Settings!$H$11:$H$15,0)),"No"))</f>
        <v/>
      </c>
    </row>
    <row r="740" customFormat="false" ht="15" hidden="false" customHeight="false" outlineLevel="0" collapsed="false">
      <c r="A740" s="30"/>
      <c r="B740" s="25"/>
      <c r="C740" s="25"/>
      <c r="D740" s="25"/>
      <c r="E740" s="25"/>
      <c r="F740" s="25"/>
      <c r="G740" s="25"/>
      <c r="H740" s="31"/>
      <c r="I740" s="32"/>
      <c r="J740" s="33"/>
      <c r="K740" s="34" t="str">
        <f aca="false">IF(OR(H740="",I740=""),"",H740*I740*(1-N(J740)))</f>
        <v/>
      </c>
      <c r="L740" s="32"/>
      <c r="M740" s="34" t="str">
        <f aca="false">IF(OR(H740="",L740=""),"",H740*L740)</f>
        <v/>
      </c>
      <c r="N740" s="34" t="str">
        <f aca="false">IF(OR(K740="",M740=""),"",K740-M740)</f>
        <v/>
      </c>
      <c r="O740" s="35" t="str">
        <f aca="false">IF(OR(N740="",K740=""),"",IF(K740=0,"",N740/K740))</f>
        <v/>
      </c>
      <c r="P740" s="25"/>
      <c r="Q740" s="25"/>
      <c r="R740" s="25"/>
      <c r="S740" s="36" t="str">
        <f aca="false">IF(A740="","",YEAR(A740)+IF(AND(FYStart&gt;1,MONTH(A740)&gt;=FYStart),1,0))</f>
        <v/>
      </c>
      <c r="T740" s="36" t="str">
        <f aca="false">IF(A740="","",MOD(MONTH(A740)-FYStart,12)+1)</f>
        <v/>
      </c>
      <c r="U740" s="37" t="str">
        <f aca="false">IF(A740="","",TEXT(A740,"mmm"))</f>
        <v/>
      </c>
      <c r="V740" s="37" t="str">
        <f aca="false">IF(Q740="","",IFERROR(INDEX(Settings!$I$11:$I$15,MATCH(Q740,Settings!$H$11:$H$15,0)),"No"))</f>
        <v/>
      </c>
      <c r="W740" s="37" t="str">
        <f aca="false">IF(Q740="","",IFERROR(INDEX(Settings!$J$11:$J$15,MATCH(Q740,Settings!$H$11:$H$15,0)),"No"))</f>
        <v/>
      </c>
    </row>
    <row r="741" customFormat="false" ht="15" hidden="false" customHeight="false" outlineLevel="0" collapsed="false">
      <c r="A741" s="30"/>
      <c r="B741" s="25"/>
      <c r="C741" s="25"/>
      <c r="D741" s="25"/>
      <c r="E741" s="25"/>
      <c r="F741" s="25"/>
      <c r="G741" s="25"/>
      <c r="H741" s="31"/>
      <c r="I741" s="32"/>
      <c r="J741" s="33"/>
      <c r="K741" s="34" t="str">
        <f aca="false">IF(OR(H741="",I741=""),"",H741*I741*(1-N(J741)))</f>
        <v/>
      </c>
      <c r="L741" s="32"/>
      <c r="M741" s="34" t="str">
        <f aca="false">IF(OR(H741="",L741=""),"",H741*L741)</f>
        <v/>
      </c>
      <c r="N741" s="34" t="str">
        <f aca="false">IF(OR(K741="",M741=""),"",K741-M741)</f>
        <v/>
      </c>
      <c r="O741" s="35" t="str">
        <f aca="false">IF(OR(N741="",K741=""),"",IF(K741=0,"",N741/K741))</f>
        <v/>
      </c>
      <c r="P741" s="25"/>
      <c r="Q741" s="25"/>
      <c r="R741" s="25"/>
      <c r="S741" s="36" t="str">
        <f aca="false">IF(A741="","",YEAR(A741)+IF(AND(FYStart&gt;1,MONTH(A741)&gt;=FYStart),1,0))</f>
        <v/>
      </c>
      <c r="T741" s="36" t="str">
        <f aca="false">IF(A741="","",MOD(MONTH(A741)-FYStart,12)+1)</f>
        <v/>
      </c>
      <c r="U741" s="37" t="str">
        <f aca="false">IF(A741="","",TEXT(A741,"mmm"))</f>
        <v/>
      </c>
      <c r="V741" s="37" t="str">
        <f aca="false">IF(Q741="","",IFERROR(INDEX(Settings!$I$11:$I$15,MATCH(Q741,Settings!$H$11:$H$15,0)),"No"))</f>
        <v/>
      </c>
      <c r="W741" s="37" t="str">
        <f aca="false">IF(Q741="","",IFERROR(INDEX(Settings!$J$11:$J$15,MATCH(Q741,Settings!$H$11:$H$15,0)),"No"))</f>
        <v/>
      </c>
    </row>
    <row r="742" customFormat="false" ht="15" hidden="false" customHeight="false" outlineLevel="0" collapsed="false">
      <c r="A742" s="30"/>
      <c r="B742" s="25"/>
      <c r="C742" s="25"/>
      <c r="D742" s="25"/>
      <c r="E742" s="25"/>
      <c r="F742" s="25"/>
      <c r="G742" s="25"/>
      <c r="H742" s="31"/>
      <c r="I742" s="32"/>
      <c r="J742" s="33"/>
      <c r="K742" s="34" t="str">
        <f aca="false">IF(OR(H742="",I742=""),"",H742*I742*(1-N(J742)))</f>
        <v/>
      </c>
      <c r="L742" s="32"/>
      <c r="M742" s="34" t="str">
        <f aca="false">IF(OR(H742="",L742=""),"",H742*L742)</f>
        <v/>
      </c>
      <c r="N742" s="34" t="str">
        <f aca="false">IF(OR(K742="",M742=""),"",K742-M742)</f>
        <v/>
      </c>
      <c r="O742" s="35" t="str">
        <f aca="false">IF(OR(N742="",K742=""),"",IF(K742=0,"",N742/K742))</f>
        <v/>
      </c>
      <c r="P742" s="25"/>
      <c r="Q742" s="25"/>
      <c r="R742" s="25"/>
      <c r="S742" s="36" t="str">
        <f aca="false">IF(A742="","",YEAR(A742)+IF(AND(FYStart&gt;1,MONTH(A742)&gt;=FYStart),1,0))</f>
        <v/>
      </c>
      <c r="T742" s="36" t="str">
        <f aca="false">IF(A742="","",MOD(MONTH(A742)-FYStart,12)+1)</f>
        <v/>
      </c>
      <c r="U742" s="37" t="str">
        <f aca="false">IF(A742="","",TEXT(A742,"mmm"))</f>
        <v/>
      </c>
      <c r="V742" s="37" t="str">
        <f aca="false">IF(Q742="","",IFERROR(INDEX(Settings!$I$11:$I$15,MATCH(Q742,Settings!$H$11:$H$15,0)),"No"))</f>
        <v/>
      </c>
      <c r="W742" s="37" t="str">
        <f aca="false">IF(Q742="","",IFERROR(INDEX(Settings!$J$11:$J$15,MATCH(Q742,Settings!$H$11:$H$15,0)),"No"))</f>
        <v/>
      </c>
    </row>
    <row r="743" customFormat="false" ht="15" hidden="false" customHeight="false" outlineLevel="0" collapsed="false">
      <c r="A743" s="30"/>
      <c r="B743" s="25"/>
      <c r="C743" s="25"/>
      <c r="D743" s="25"/>
      <c r="E743" s="25"/>
      <c r="F743" s="25"/>
      <c r="G743" s="25"/>
      <c r="H743" s="31"/>
      <c r="I743" s="32"/>
      <c r="J743" s="33"/>
      <c r="K743" s="34" t="str">
        <f aca="false">IF(OR(H743="",I743=""),"",H743*I743*(1-N(J743)))</f>
        <v/>
      </c>
      <c r="L743" s="32"/>
      <c r="M743" s="34" t="str">
        <f aca="false">IF(OR(H743="",L743=""),"",H743*L743)</f>
        <v/>
      </c>
      <c r="N743" s="34" t="str">
        <f aca="false">IF(OR(K743="",M743=""),"",K743-M743)</f>
        <v/>
      </c>
      <c r="O743" s="35" t="str">
        <f aca="false">IF(OR(N743="",K743=""),"",IF(K743=0,"",N743/K743))</f>
        <v/>
      </c>
      <c r="P743" s="25"/>
      <c r="Q743" s="25"/>
      <c r="R743" s="25"/>
      <c r="S743" s="36" t="str">
        <f aca="false">IF(A743="","",YEAR(A743)+IF(AND(FYStart&gt;1,MONTH(A743)&gt;=FYStart),1,0))</f>
        <v/>
      </c>
      <c r="T743" s="36" t="str">
        <f aca="false">IF(A743="","",MOD(MONTH(A743)-FYStart,12)+1)</f>
        <v/>
      </c>
      <c r="U743" s="37" t="str">
        <f aca="false">IF(A743="","",TEXT(A743,"mmm"))</f>
        <v/>
      </c>
      <c r="V743" s="37" t="str">
        <f aca="false">IF(Q743="","",IFERROR(INDEX(Settings!$I$11:$I$15,MATCH(Q743,Settings!$H$11:$H$15,0)),"No"))</f>
        <v/>
      </c>
      <c r="W743" s="37" t="str">
        <f aca="false">IF(Q743="","",IFERROR(INDEX(Settings!$J$11:$J$15,MATCH(Q743,Settings!$H$11:$H$15,0)),"No"))</f>
        <v/>
      </c>
    </row>
    <row r="744" customFormat="false" ht="15" hidden="false" customHeight="false" outlineLevel="0" collapsed="false">
      <c r="A744" s="30"/>
      <c r="B744" s="25"/>
      <c r="C744" s="25"/>
      <c r="D744" s="25"/>
      <c r="E744" s="25"/>
      <c r="F744" s="25"/>
      <c r="G744" s="25"/>
      <c r="H744" s="31"/>
      <c r="I744" s="32"/>
      <c r="J744" s="33"/>
      <c r="K744" s="34" t="str">
        <f aca="false">IF(OR(H744="",I744=""),"",H744*I744*(1-N(J744)))</f>
        <v/>
      </c>
      <c r="L744" s="32"/>
      <c r="M744" s="34" t="str">
        <f aca="false">IF(OR(H744="",L744=""),"",H744*L744)</f>
        <v/>
      </c>
      <c r="N744" s="34" t="str">
        <f aca="false">IF(OR(K744="",M744=""),"",K744-M744)</f>
        <v/>
      </c>
      <c r="O744" s="35" t="str">
        <f aca="false">IF(OR(N744="",K744=""),"",IF(K744=0,"",N744/K744))</f>
        <v/>
      </c>
      <c r="P744" s="25"/>
      <c r="Q744" s="25"/>
      <c r="R744" s="25"/>
      <c r="S744" s="36" t="str">
        <f aca="false">IF(A744="","",YEAR(A744)+IF(AND(FYStart&gt;1,MONTH(A744)&gt;=FYStart),1,0))</f>
        <v/>
      </c>
      <c r="T744" s="36" t="str">
        <f aca="false">IF(A744="","",MOD(MONTH(A744)-FYStart,12)+1)</f>
        <v/>
      </c>
      <c r="U744" s="37" t="str">
        <f aca="false">IF(A744="","",TEXT(A744,"mmm"))</f>
        <v/>
      </c>
      <c r="V744" s="37" t="str">
        <f aca="false">IF(Q744="","",IFERROR(INDEX(Settings!$I$11:$I$15,MATCH(Q744,Settings!$H$11:$H$15,0)),"No"))</f>
        <v/>
      </c>
      <c r="W744" s="37" t="str">
        <f aca="false">IF(Q744="","",IFERROR(INDEX(Settings!$J$11:$J$15,MATCH(Q744,Settings!$H$11:$H$15,0)),"No"))</f>
        <v/>
      </c>
    </row>
    <row r="745" customFormat="false" ht="15" hidden="false" customHeight="false" outlineLevel="0" collapsed="false">
      <c r="A745" s="30"/>
      <c r="B745" s="25"/>
      <c r="C745" s="25"/>
      <c r="D745" s="25"/>
      <c r="E745" s="25"/>
      <c r="F745" s="25"/>
      <c r="G745" s="25"/>
      <c r="H745" s="31"/>
      <c r="I745" s="32"/>
      <c r="J745" s="33"/>
      <c r="K745" s="34" t="str">
        <f aca="false">IF(OR(H745="",I745=""),"",H745*I745*(1-N(J745)))</f>
        <v/>
      </c>
      <c r="L745" s="32"/>
      <c r="M745" s="34" t="str">
        <f aca="false">IF(OR(H745="",L745=""),"",H745*L745)</f>
        <v/>
      </c>
      <c r="N745" s="34" t="str">
        <f aca="false">IF(OR(K745="",M745=""),"",K745-M745)</f>
        <v/>
      </c>
      <c r="O745" s="35" t="str">
        <f aca="false">IF(OR(N745="",K745=""),"",IF(K745=0,"",N745/K745))</f>
        <v/>
      </c>
      <c r="P745" s="25"/>
      <c r="Q745" s="25"/>
      <c r="R745" s="25"/>
      <c r="S745" s="36" t="str">
        <f aca="false">IF(A745="","",YEAR(A745)+IF(AND(FYStart&gt;1,MONTH(A745)&gt;=FYStart),1,0))</f>
        <v/>
      </c>
      <c r="T745" s="36" t="str">
        <f aca="false">IF(A745="","",MOD(MONTH(A745)-FYStart,12)+1)</f>
        <v/>
      </c>
      <c r="U745" s="37" t="str">
        <f aca="false">IF(A745="","",TEXT(A745,"mmm"))</f>
        <v/>
      </c>
      <c r="V745" s="37" t="str">
        <f aca="false">IF(Q745="","",IFERROR(INDEX(Settings!$I$11:$I$15,MATCH(Q745,Settings!$H$11:$H$15,0)),"No"))</f>
        <v/>
      </c>
      <c r="W745" s="37" t="str">
        <f aca="false">IF(Q745="","",IFERROR(INDEX(Settings!$J$11:$J$15,MATCH(Q745,Settings!$H$11:$H$15,0)),"No"))</f>
        <v/>
      </c>
    </row>
    <row r="746" customFormat="false" ht="15" hidden="false" customHeight="false" outlineLevel="0" collapsed="false">
      <c r="A746" s="30"/>
      <c r="B746" s="25"/>
      <c r="C746" s="25"/>
      <c r="D746" s="25"/>
      <c r="E746" s="25"/>
      <c r="F746" s="25"/>
      <c r="G746" s="25"/>
      <c r="H746" s="31"/>
      <c r="I746" s="32"/>
      <c r="J746" s="33"/>
      <c r="K746" s="34" t="str">
        <f aca="false">IF(OR(H746="",I746=""),"",H746*I746*(1-N(J746)))</f>
        <v/>
      </c>
      <c r="L746" s="32"/>
      <c r="M746" s="34" t="str">
        <f aca="false">IF(OR(H746="",L746=""),"",H746*L746)</f>
        <v/>
      </c>
      <c r="N746" s="34" t="str">
        <f aca="false">IF(OR(K746="",M746=""),"",K746-M746)</f>
        <v/>
      </c>
      <c r="O746" s="35" t="str">
        <f aca="false">IF(OR(N746="",K746=""),"",IF(K746=0,"",N746/K746))</f>
        <v/>
      </c>
      <c r="P746" s="25"/>
      <c r="Q746" s="25"/>
      <c r="R746" s="25"/>
      <c r="S746" s="36" t="str">
        <f aca="false">IF(A746="","",YEAR(A746)+IF(AND(FYStart&gt;1,MONTH(A746)&gt;=FYStart),1,0))</f>
        <v/>
      </c>
      <c r="T746" s="36" t="str">
        <f aca="false">IF(A746="","",MOD(MONTH(A746)-FYStart,12)+1)</f>
        <v/>
      </c>
      <c r="U746" s="37" t="str">
        <f aca="false">IF(A746="","",TEXT(A746,"mmm"))</f>
        <v/>
      </c>
      <c r="V746" s="37" t="str">
        <f aca="false">IF(Q746="","",IFERROR(INDEX(Settings!$I$11:$I$15,MATCH(Q746,Settings!$H$11:$H$15,0)),"No"))</f>
        <v/>
      </c>
      <c r="W746" s="37" t="str">
        <f aca="false">IF(Q746="","",IFERROR(INDEX(Settings!$J$11:$J$15,MATCH(Q746,Settings!$H$11:$H$15,0)),"No"))</f>
        <v/>
      </c>
    </row>
    <row r="747" customFormat="false" ht="15" hidden="false" customHeight="false" outlineLevel="0" collapsed="false">
      <c r="A747" s="30"/>
      <c r="B747" s="25"/>
      <c r="C747" s="25"/>
      <c r="D747" s="25"/>
      <c r="E747" s="25"/>
      <c r="F747" s="25"/>
      <c r="G747" s="25"/>
      <c r="H747" s="31"/>
      <c r="I747" s="32"/>
      <c r="J747" s="33"/>
      <c r="K747" s="34" t="str">
        <f aca="false">IF(OR(H747="",I747=""),"",H747*I747*(1-N(J747)))</f>
        <v/>
      </c>
      <c r="L747" s="32"/>
      <c r="M747" s="34" t="str">
        <f aca="false">IF(OR(H747="",L747=""),"",H747*L747)</f>
        <v/>
      </c>
      <c r="N747" s="34" t="str">
        <f aca="false">IF(OR(K747="",M747=""),"",K747-M747)</f>
        <v/>
      </c>
      <c r="O747" s="35" t="str">
        <f aca="false">IF(OR(N747="",K747=""),"",IF(K747=0,"",N747/K747))</f>
        <v/>
      </c>
      <c r="P747" s="25"/>
      <c r="Q747" s="25"/>
      <c r="R747" s="25"/>
      <c r="S747" s="36" t="str">
        <f aca="false">IF(A747="","",YEAR(A747)+IF(AND(FYStart&gt;1,MONTH(A747)&gt;=FYStart),1,0))</f>
        <v/>
      </c>
      <c r="T747" s="36" t="str">
        <f aca="false">IF(A747="","",MOD(MONTH(A747)-FYStart,12)+1)</f>
        <v/>
      </c>
      <c r="U747" s="37" t="str">
        <f aca="false">IF(A747="","",TEXT(A747,"mmm"))</f>
        <v/>
      </c>
      <c r="V747" s="37" t="str">
        <f aca="false">IF(Q747="","",IFERROR(INDEX(Settings!$I$11:$I$15,MATCH(Q747,Settings!$H$11:$H$15,0)),"No"))</f>
        <v/>
      </c>
      <c r="W747" s="37" t="str">
        <f aca="false">IF(Q747="","",IFERROR(INDEX(Settings!$J$11:$J$15,MATCH(Q747,Settings!$H$11:$H$15,0)),"No"))</f>
        <v/>
      </c>
    </row>
    <row r="748" customFormat="false" ht="15" hidden="false" customHeight="false" outlineLevel="0" collapsed="false">
      <c r="A748" s="30"/>
      <c r="B748" s="25"/>
      <c r="C748" s="25"/>
      <c r="D748" s="25"/>
      <c r="E748" s="25"/>
      <c r="F748" s="25"/>
      <c r="G748" s="25"/>
      <c r="H748" s="31"/>
      <c r="I748" s="32"/>
      <c r="J748" s="33"/>
      <c r="K748" s="34" t="str">
        <f aca="false">IF(OR(H748="",I748=""),"",H748*I748*(1-N(J748)))</f>
        <v/>
      </c>
      <c r="L748" s="32"/>
      <c r="M748" s="34" t="str">
        <f aca="false">IF(OR(H748="",L748=""),"",H748*L748)</f>
        <v/>
      </c>
      <c r="N748" s="34" t="str">
        <f aca="false">IF(OR(K748="",M748=""),"",K748-M748)</f>
        <v/>
      </c>
      <c r="O748" s="35" t="str">
        <f aca="false">IF(OR(N748="",K748=""),"",IF(K748=0,"",N748/K748))</f>
        <v/>
      </c>
      <c r="P748" s="25"/>
      <c r="Q748" s="25"/>
      <c r="R748" s="25"/>
      <c r="S748" s="36" t="str">
        <f aca="false">IF(A748="","",YEAR(A748)+IF(AND(FYStart&gt;1,MONTH(A748)&gt;=FYStart),1,0))</f>
        <v/>
      </c>
      <c r="T748" s="36" t="str">
        <f aca="false">IF(A748="","",MOD(MONTH(A748)-FYStart,12)+1)</f>
        <v/>
      </c>
      <c r="U748" s="37" t="str">
        <f aca="false">IF(A748="","",TEXT(A748,"mmm"))</f>
        <v/>
      </c>
      <c r="V748" s="37" t="str">
        <f aca="false">IF(Q748="","",IFERROR(INDEX(Settings!$I$11:$I$15,MATCH(Q748,Settings!$H$11:$H$15,0)),"No"))</f>
        <v/>
      </c>
      <c r="W748" s="37" t="str">
        <f aca="false">IF(Q748="","",IFERROR(INDEX(Settings!$J$11:$J$15,MATCH(Q748,Settings!$H$11:$H$15,0)),"No"))</f>
        <v/>
      </c>
    </row>
    <row r="749" customFormat="false" ht="15" hidden="false" customHeight="false" outlineLevel="0" collapsed="false">
      <c r="A749" s="30"/>
      <c r="B749" s="25"/>
      <c r="C749" s="25"/>
      <c r="D749" s="25"/>
      <c r="E749" s="25"/>
      <c r="F749" s="25"/>
      <c r="G749" s="25"/>
      <c r="H749" s="31"/>
      <c r="I749" s="32"/>
      <c r="J749" s="33"/>
      <c r="K749" s="34" t="str">
        <f aca="false">IF(OR(H749="",I749=""),"",H749*I749*(1-N(J749)))</f>
        <v/>
      </c>
      <c r="L749" s="32"/>
      <c r="M749" s="34" t="str">
        <f aca="false">IF(OR(H749="",L749=""),"",H749*L749)</f>
        <v/>
      </c>
      <c r="N749" s="34" t="str">
        <f aca="false">IF(OR(K749="",M749=""),"",K749-M749)</f>
        <v/>
      </c>
      <c r="O749" s="35" t="str">
        <f aca="false">IF(OR(N749="",K749=""),"",IF(K749=0,"",N749/K749))</f>
        <v/>
      </c>
      <c r="P749" s="25"/>
      <c r="Q749" s="25"/>
      <c r="R749" s="25"/>
      <c r="S749" s="36" t="str">
        <f aca="false">IF(A749="","",YEAR(A749)+IF(AND(FYStart&gt;1,MONTH(A749)&gt;=FYStart),1,0))</f>
        <v/>
      </c>
      <c r="T749" s="36" t="str">
        <f aca="false">IF(A749="","",MOD(MONTH(A749)-FYStart,12)+1)</f>
        <v/>
      </c>
      <c r="U749" s="37" t="str">
        <f aca="false">IF(A749="","",TEXT(A749,"mmm"))</f>
        <v/>
      </c>
      <c r="V749" s="37" t="str">
        <f aca="false">IF(Q749="","",IFERROR(INDEX(Settings!$I$11:$I$15,MATCH(Q749,Settings!$H$11:$H$15,0)),"No"))</f>
        <v/>
      </c>
      <c r="W749" s="37" t="str">
        <f aca="false">IF(Q749="","",IFERROR(INDEX(Settings!$J$11:$J$15,MATCH(Q749,Settings!$H$11:$H$15,0)),"No"))</f>
        <v/>
      </c>
    </row>
    <row r="750" customFormat="false" ht="15" hidden="false" customHeight="false" outlineLevel="0" collapsed="false">
      <c r="A750" s="30"/>
      <c r="B750" s="25"/>
      <c r="C750" s="25"/>
      <c r="D750" s="25"/>
      <c r="E750" s="25"/>
      <c r="F750" s="25"/>
      <c r="G750" s="25"/>
      <c r="H750" s="31"/>
      <c r="I750" s="32"/>
      <c r="J750" s="33"/>
      <c r="K750" s="34" t="str">
        <f aca="false">IF(OR(H750="",I750=""),"",H750*I750*(1-N(J750)))</f>
        <v/>
      </c>
      <c r="L750" s="32"/>
      <c r="M750" s="34" t="str">
        <f aca="false">IF(OR(H750="",L750=""),"",H750*L750)</f>
        <v/>
      </c>
      <c r="N750" s="34" t="str">
        <f aca="false">IF(OR(K750="",M750=""),"",K750-M750)</f>
        <v/>
      </c>
      <c r="O750" s="35" t="str">
        <f aca="false">IF(OR(N750="",K750=""),"",IF(K750=0,"",N750/K750))</f>
        <v/>
      </c>
      <c r="P750" s="25"/>
      <c r="Q750" s="25"/>
      <c r="R750" s="25"/>
      <c r="S750" s="36" t="str">
        <f aca="false">IF(A750="","",YEAR(A750)+IF(AND(FYStart&gt;1,MONTH(A750)&gt;=FYStart),1,0))</f>
        <v/>
      </c>
      <c r="T750" s="36" t="str">
        <f aca="false">IF(A750="","",MOD(MONTH(A750)-FYStart,12)+1)</f>
        <v/>
      </c>
      <c r="U750" s="37" t="str">
        <f aca="false">IF(A750="","",TEXT(A750,"mmm"))</f>
        <v/>
      </c>
      <c r="V750" s="37" t="str">
        <f aca="false">IF(Q750="","",IFERROR(INDEX(Settings!$I$11:$I$15,MATCH(Q750,Settings!$H$11:$H$15,0)),"No"))</f>
        <v/>
      </c>
      <c r="W750" s="37" t="str">
        <f aca="false">IF(Q750="","",IFERROR(INDEX(Settings!$J$11:$J$15,MATCH(Q750,Settings!$H$11:$H$15,0)),"No"))</f>
        <v/>
      </c>
    </row>
    <row r="751" customFormat="false" ht="15" hidden="false" customHeight="false" outlineLevel="0" collapsed="false">
      <c r="A751" s="30"/>
      <c r="B751" s="25"/>
      <c r="C751" s="25"/>
      <c r="D751" s="25"/>
      <c r="E751" s="25"/>
      <c r="F751" s="25"/>
      <c r="G751" s="25"/>
      <c r="H751" s="31"/>
      <c r="I751" s="32"/>
      <c r="J751" s="33"/>
      <c r="K751" s="34" t="str">
        <f aca="false">IF(OR(H751="",I751=""),"",H751*I751*(1-N(J751)))</f>
        <v/>
      </c>
      <c r="L751" s="32"/>
      <c r="M751" s="34" t="str">
        <f aca="false">IF(OR(H751="",L751=""),"",H751*L751)</f>
        <v/>
      </c>
      <c r="N751" s="34" t="str">
        <f aca="false">IF(OR(K751="",M751=""),"",K751-M751)</f>
        <v/>
      </c>
      <c r="O751" s="35" t="str">
        <f aca="false">IF(OR(N751="",K751=""),"",IF(K751=0,"",N751/K751))</f>
        <v/>
      </c>
      <c r="P751" s="25"/>
      <c r="Q751" s="25"/>
      <c r="R751" s="25"/>
      <c r="S751" s="36" t="str">
        <f aca="false">IF(A751="","",YEAR(A751)+IF(AND(FYStart&gt;1,MONTH(A751)&gt;=FYStart),1,0))</f>
        <v/>
      </c>
      <c r="T751" s="36" t="str">
        <f aca="false">IF(A751="","",MOD(MONTH(A751)-FYStart,12)+1)</f>
        <v/>
      </c>
      <c r="U751" s="37" t="str">
        <f aca="false">IF(A751="","",TEXT(A751,"mmm"))</f>
        <v/>
      </c>
      <c r="V751" s="37" t="str">
        <f aca="false">IF(Q751="","",IFERROR(INDEX(Settings!$I$11:$I$15,MATCH(Q751,Settings!$H$11:$H$15,0)),"No"))</f>
        <v/>
      </c>
      <c r="W751" s="37" t="str">
        <f aca="false">IF(Q751="","",IFERROR(INDEX(Settings!$J$11:$J$15,MATCH(Q751,Settings!$H$11:$H$15,0)),"No"))</f>
        <v/>
      </c>
    </row>
    <row r="752" customFormat="false" ht="15" hidden="false" customHeight="false" outlineLevel="0" collapsed="false">
      <c r="A752" s="30"/>
      <c r="B752" s="25"/>
      <c r="C752" s="25"/>
      <c r="D752" s="25"/>
      <c r="E752" s="25"/>
      <c r="F752" s="25"/>
      <c r="G752" s="25"/>
      <c r="H752" s="31"/>
      <c r="I752" s="32"/>
      <c r="J752" s="33"/>
      <c r="K752" s="34" t="str">
        <f aca="false">IF(OR(H752="",I752=""),"",H752*I752*(1-N(J752)))</f>
        <v/>
      </c>
      <c r="L752" s="32"/>
      <c r="M752" s="34" t="str">
        <f aca="false">IF(OR(H752="",L752=""),"",H752*L752)</f>
        <v/>
      </c>
      <c r="N752" s="34" t="str">
        <f aca="false">IF(OR(K752="",M752=""),"",K752-M752)</f>
        <v/>
      </c>
      <c r="O752" s="35" t="str">
        <f aca="false">IF(OR(N752="",K752=""),"",IF(K752=0,"",N752/K752))</f>
        <v/>
      </c>
      <c r="P752" s="25"/>
      <c r="Q752" s="25"/>
      <c r="R752" s="25"/>
      <c r="S752" s="36" t="str">
        <f aca="false">IF(A752="","",YEAR(A752)+IF(AND(FYStart&gt;1,MONTH(A752)&gt;=FYStart),1,0))</f>
        <v/>
      </c>
      <c r="T752" s="36" t="str">
        <f aca="false">IF(A752="","",MOD(MONTH(A752)-FYStart,12)+1)</f>
        <v/>
      </c>
      <c r="U752" s="37" t="str">
        <f aca="false">IF(A752="","",TEXT(A752,"mmm"))</f>
        <v/>
      </c>
      <c r="V752" s="37" t="str">
        <f aca="false">IF(Q752="","",IFERROR(INDEX(Settings!$I$11:$I$15,MATCH(Q752,Settings!$H$11:$H$15,0)),"No"))</f>
        <v/>
      </c>
      <c r="W752" s="37" t="str">
        <f aca="false">IF(Q752="","",IFERROR(INDEX(Settings!$J$11:$J$15,MATCH(Q752,Settings!$H$11:$H$15,0)),"No"))</f>
        <v/>
      </c>
    </row>
    <row r="753" customFormat="false" ht="15" hidden="false" customHeight="false" outlineLevel="0" collapsed="false">
      <c r="A753" s="30"/>
      <c r="B753" s="25"/>
      <c r="C753" s="25"/>
      <c r="D753" s="25"/>
      <c r="E753" s="25"/>
      <c r="F753" s="25"/>
      <c r="G753" s="25"/>
      <c r="H753" s="31"/>
      <c r="I753" s="32"/>
      <c r="J753" s="33"/>
      <c r="K753" s="34" t="str">
        <f aca="false">IF(OR(H753="",I753=""),"",H753*I753*(1-N(J753)))</f>
        <v/>
      </c>
      <c r="L753" s="32"/>
      <c r="M753" s="34" t="str">
        <f aca="false">IF(OR(H753="",L753=""),"",H753*L753)</f>
        <v/>
      </c>
      <c r="N753" s="34" t="str">
        <f aca="false">IF(OR(K753="",M753=""),"",K753-M753)</f>
        <v/>
      </c>
      <c r="O753" s="35" t="str">
        <f aca="false">IF(OR(N753="",K753=""),"",IF(K753=0,"",N753/K753))</f>
        <v/>
      </c>
      <c r="P753" s="25"/>
      <c r="Q753" s="25"/>
      <c r="R753" s="25"/>
      <c r="S753" s="36" t="str">
        <f aca="false">IF(A753="","",YEAR(A753)+IF(AND(FYStart&gt;1,MONTH(A753)&gt;=FYStart),1,0))</f>
        <v/>
      </c>
      <c r="T753" s="36" t="str">
        <f aca="false">IF(A753="","",MOD(MONTH(A753)-FYStart,12)+1)</f>
        <v/>
      </c>
      <c r="U753" s="37" t="str">
        <f aca="false">IF(A753="","",TEXT(A753,"mmm"))</f>
        <v/>
      </c>
      <c r="V753" s="37" t="str">
        <f aca="false">IF(Q753="","",IFERROR(INDEX(Settings!$I$11:$I$15,MATCH(Q753,Settings!$H$11:$H$15,0)),"No"))</f>
        <v/>
      </c>
      <c r="W753" s="37" t="str">
        <f aca="false">IF(Q753="","",IFERROR(INDEX(Settings!$J$11:$J$15,MATCH(Q753,Settings!$H$11:$H$15,0)),"No"))</f>
        <v/>
      </c>
    </row>
    <row r="754" customFormat="false" ht="15" hidden="false" customHeight="false" outlineLevel="0" collapsed="false">
      <c r="A754" s="30"/>
      <c r="B754" s="25"/>
      <c r="C754" s="25"/>
      <c r="D754" s="25"/>
      <c r="E754" s="25"/>
      <c r="F754" s="25"/>
      <c r="G754" s="25"/>
      <c r="H754" s="31"/>
      <c r="I754" s="32"/>
      <c r="J754" s="33"/>
      <c r="K754" s="34" t="str">
        <f aca="false">IF(OR(H754="",I754=""),"",H754*I754*(1-N(J754)))</f>
        <v/>
      </c>
      <c r="L754" s="32"/>
      <c r="M754" s="34" t="str">
        <f aca="false">IF(OR(H754="",L754=""),"",H754*L754)</f>
        <v/>
      </c>
      <c r="N754" s="34" t="str">
        <f aca="false">IF(OR(K754="",M754=""),"",K754-M754)</f>
        <v/>
      </c>
      <c r="O754" s="35" t="str">
        <f aca="false">IF(OR(N754="",K754=""),"",IF(K754=0,"",N754/K754))</f>
        <v/>
      </c>
      <c r="P754" s="25"/>
      <c r="Q754" s="25"/>
      <c r="R754" s="25"/>
      <c r="S754" s="36" t="str">
        <f aca="false">IF(A754="","",YEAR(A754)+IF(AND(FYStart&gt;1,MONTH(A754)&gt;=FYStart),1,0))</f>
        <v/>
      </c>
      <c r="T754" s="36" t="str">
        <f aca="false">IF(A754="","",MOD(MONTH(A754)-FYStart,12)+1)</f>
        <v/>
      </c>
      <c r="U754" s="37" t="str">
        <f aca="false">IF(A754="","",TEXT(A754,"mmm"))</f>
        <v/>
      </c>
      <c r="V754" s="37" t="str">
        <f aca="false">IF(Q754="","",IFERROR(INDEX(Settings!$I$11:$I$15,MATCH(Q754,Settings!$H$11:$H$15,0)),"No"))</f>
        <v/>
      </c>
      <c r="W754" s="37" t="str">
        <f aca="false">IF(Q754="","",IFERROR(INDEX(Settings!$J$11:$J$15,MATCH(Q754,Settings!$H$11:$H$15,0)),"No"))</f>
        <v/>
      </c>
    </row>
    <row r="755" customFormat="false" ht="15" hidden="false" customHeight="false" outlineLevel="0" collapsed="false">
      <c r="A755" s="30"/>
      <c r="B755" s="25"/>
      <c r="C755" s="25"/>
      <c r="D755" s="25"/>
      <c r="E755" s="25"/>
      <c r="F755" s="25"/>
      <c r="G755" s="25"/>
      <c r="H755" s="31"/>
      <c r="I755" s="32"/>
      <c r="J755" s="33"/>
      <c r="K755" s="34" t="str">
        <f aca="false">IF(OR(H755="",I755=""),"",H755*I755*(1-N(J755)))</f>
        <v/>
      </c>
      <c r="L755" s="32"/>
      <c r="M755" s="34" t="str">
        <f aca="false">IF(OR(H755="",L755=""),"",H755*L755)</f>
        <v/>
      </c>
      <c r="N755" s="34" t="str">
        <f aca="false">IF(OR(K755="",M755=""),"",K755-M755)</f>
        <v/>
      </c>
      <c r="O755" s="35" t="str">
        <f aca="false">IF(OR(N755="",K755=""),"",IF(K755=0,"",N755/K755))</f>
        <v/>
      </c>
      <c r="P755" s="25"/>
      <c r="Q755" s="25"/>
      <c r="R755" s="25"/>
      <c r="S755" s="36" t="str">
        <f aca="false">IF(A755="","",YEAR(A755)+IF(AND(FYStart&gt;1,MONTH(A755)&gt;=FYStart),1,0))</f>
        <v/>
      </c>
      <c r="T755" s="36" t="str">
        <f aca="false">IF(A755="","",MOD(MONTH(A755)-FYStart,12)+1)</f>
        <v/>
      </c>
      <c r="U755" s="37" t="str">
        <f aca="false">IF(A755="","",TEXT(A755,"mmm"))</f>
        <v/>
      </c>
      <c r="V755" s="37" t="str">
        <f aca="false">IF(Q755="","",IFERROR(INDEX(Settings!$I$11:$I$15,MATCH(Q755,Settings!$H$11:$H$15,0)),"No"))</f>
        <v/>
      </c>
      <c r="W755" s="37" t="str">
        <f aca="false">IF(Q755="","",IFERROR(INDEX(Settings!$J$11:$J$15,MATCH(Q755,Settings!$H$11:$H$15,0)),"No"))</f>
        <v/>
      </c>
    </row>
    <row r="756" customFormat="false" ht="15" hidden="false" customHeight="false" outlineLevel="0" collapsed="false">
      <c r="A756" s="30"/>
      <c r="B756" s="25"/>
      <c r="C756" s="25"/>
      <c r="D756" s="25"/>
      <c r="E756" s="25"/>
      <c r="F756" s="25"/>
      <c r="G756" s="25"/>
      <c r="H756" s="31"/>
      <c r="I756" s="32"/>
      <c r="J756" s="33"/>
      <c r="K756" s="34" t="str">
        <f aca="false">IF(OR(H756="",I756=""),"",H756*I756*(1-N(J756)))</f>
        <v/>
      </c>
      <c r="L756" s="32"/>
      <c r="M756" s="34" t="str">
        <f aca="false">IF(OR(H756="",L756=""),"",H756*L756)</f>
        <v/>
      </c>
      <c r="N756" s="34" t="str">
        <f aca="false">IF(OR(K756="",M756=""),"",K756-M756)</f>
        <v/>
      </c>
      <c r="O756" s="35" t="str">
        <f aca="false">IF(OR(N756="",K756=""),"",IF(K756=0,"",N756/K756))</f>
        <v/>
      </c>
      <c r="P756" s="25"/>
      <c r="Q756" s="25"/>
      <c r="R756" s="25"/>
      <c r="S756" s="36" t="str">
        <f aca="false">IF(A756="","",YEAR(A756)+IF(AND(FYStart&gt;1,MONTH(A756)&gt;=FYStart),1,0))</f>
        <v/>
      </c>
      <c r="T756" s="36" t="str">
        <f aca="false">IF(A756="","",MOD(MONTH(A756)-FYStart,12)+1)</f>
        <v/>
      </c>
      <c r="U756" s="37" t="str">
        <f aca="false">IF(A756="","",TEXT(A756,"mmm"))</f>
        <v/>
      </c>
      <c r="V756" s="37" t="str">
        <f aca="false">IF(Q756="","",IFERROR(INDEX(Settings!$I$11:$I$15,MATCH(Q756,Settings!$H$11:$H$15,0)),"No"))</f>
        <v/>
      </c>
      <c r="W756" s="37" t="str">
        <f aca="false">IF(Q756="","",IFERROR(INDEX(Settings!$J$11:$J$15,MATCH(Q756,Settings!$H$11:$H$15,0)),"No"))</f>
        <v/>
      </c>
    </row>
    <row r="757" customFormat="false" ht="15" hidden="false" customHeight="false" outlineLevel="0" collapsed="false">
      <c r="A757" s="30"/>
      <c r="B757" s="25"/>
      <c r="C757" s="25"/>
      <c r="D757" s="25"/>
      <c r="E757" s="25"/>
      <c r="F757" s="25"/>
      <c r="G757" s="25"/>
      <c r="H757" s="31"/>
      <c r="I757" s="32"/>
      <c r="J757" s="33"/>
      <c r="K757" s="34" t="str">
        <f aca="false">IF(OR(H757="",I757=""),"",H757*I757*(1-N(J757)))</f>
        <v/>
      </c>
      <c r="L757" s="32"/>
      <c r="M757" s="34" t="str">
        <f aca="false">IF(OR(H757="",L757=""),"",H757*L757)</f>
        <v/>
      </c>
      <c r="N757" s="34" t="str">
        <f aca="false">IF(OR(K757="",M757=""),"",K757-M757)</f>
        <v/>
      </c>
      <c r="O757" s="35" t="str">
        <f aca="false">IF(OR(N757="",K757=""),"",IF(K757=0,"",N757/K757))</f>
        <v/>
      </c>
      <c r="P757" s="25"/>
      <c r="Q757" s="25"/>
      <c r="R757" s="25"/>
      <c r="S757" s="36" t="str">
        <f aca="false">IF(A757="","",YEAR(A757)+IF(AND(FYStart&gt;1,MONTH(A757)&gt;=FYStart),1,0))</f>
        <v/>
      </c>
      <c r="T757" s="36" t="str">
        <f aca="false">IF(A757="","",MOD(MONTH(A757)-FYStart,12)+1)</f>
        <v/>
      </c>
      <c r="U757" s="37" t="str">
        <f aca="false">IF(A757="","",TEXT(A757,"mmm"))</f>
        <v/>
      </c>
      <c r="V757" s="37" t="str">
        <f aca="false">IF(Q757="","",IFERROR(INDEX(Settings!$I$11:$I$15,MATCH(Q757,Settings!$H$11:$H$15,0)),"No"))</f>
        <v/>
      </c>
      <c r="W757" s="37" t="str">
        <f aca="false">IF(Q757="","",IFERROR(INDEX(Settings!$J$11:$J$15,MATCH(Q757,Settings!$H$11:$H$15,0)),"No"))</f>
        <v/>
      </c>
    </row>
    <row r="758" customFormat="false" ht="15" hidden="false" customHeight="false" outlineLevel="0" collapsed="false">
      <c r="A758" s="30"/>
      <c r="B758" s="25"/>
      <c r="C758" s="25"/>
      <c r="D758" s="25"/>
      <c r="E758" s="25"/>
      <c r="F758" s="25"/>
      <c r="G758" s="25"/>
      <c r="H758" s="31"/>
      <c r="I758" s="32"/>
      <c r="J758" s="33"/>
      <c r="K758" s="34" t="str">
        <f aca="false">IF(OR(H758="",I758=""),"",H758*I758*(1-N(J758)))</f>
        <v/>
      </c>
      <c r="L758" s="32"/>
      <c r="M758" s="34" t="str">
        <f aca="false">IF(OR(H758="",L758=""),"",H758*L758)</f>
        <v/>
      </c>
      <c r="N758" s="34" t="str">
        <f aca="false">IF(OR(K758="",M758=""),"",K758-M758)</f>
        <v/>
      </c>
      <c r="O758" s="35" t="str">
        <f aca="false">IF(OR(N758="",K758=""),"",IF(K758=0,"",N758/K758))</f>
        <v/>
      </c>
      <c r="P758" s="25"/>
      <c r="Q758" s="25"/>
      <c r="R758" s="25"/>
      <c r="S758" s="36" t="str">
        <f aca="false">IF(A758="","",YEAR(A758)+IF(AND(FYStart&gt;1,MONTH(A758)&gt;=FYStart),1,0))</f>
        <v/>
      </c>
      <c r="T758" s="36" t="str">
        <f aca="false">IF(A758="","",MOD(MONTH(A758)-FYStart,12)+1)</f>
        <v/>
      </c>
      <c r="U758" s="37" t="str">
        <f aca="false">IF(A758="","",TEXT(A758,"mmm"))</f>
        <v/>
      </c>
      <c r="V758" s="37" t="str">
        <f aca="false">IF(Q758="","",IFERROR(INDEX(Settings!$I$11:$I$15,MATCH(Q758,Settings!$H$11:$H$15,0)),"No"))</f>
        <v/>
      </c>
      <c r="W758" s="37" t="str">
        <f aca="false">IF(Q758="","",IFERROR(INDEX(Settings!$J$11:$J$15,MATCH(Q758,Settings!$H$11:$H$15,0)),"No"))</f>
        <v/>
      </c>
    </row>
    <row r="759" customFormat="false" ht="15" hidden="false" customHeight="false" outlineLevel="0" collapsed="false">
      <c r="A759" s="30"/>
      <c r="B759" s="25"/>
      <c r="C759" s="25"/>
      <c r="D759" s="25"/>
      <c r="E759" s="25"/>
      <c r="F759" s="25"/>
      <c r="G759" s="25"/>
      <c r="H759" s="31"/>
      <c r="I759" s="32"/>
      <c r="J759" s="33"/>
      <c r="K759" s="34" t="str">
        <f aca="false">IF(OR(H759="",I759=""),"",H759*I759*(1-N(J759)))</f>
        <v/>
      </c>
      <c r="L759" s="32"/>
      <c r="M759" s="34" t="str">
        <f aca="false">IF(OR(H759="",L759=""),"",H759*L759)</f>
        <v/>
      </c>
      <c r="N759" s="34" t="str">
        <f aca="false">IF(OR(K759="",M759=""),"",K759-M759)</f>
        <v/>
      </c>
      <c r="O759" s="35" t="str">
        <f aca="false">IF(OR(N759="",K759=""),"",IF(K759=0,"",N759/K759))</f>
        <v/>
      </c>
      <c r="P759" s="25"/>
      <c r="Q759" s="25"/>
      <c r="R759" s="25"/>
      <c r="S759" s="36" t="str">
        <f aca="false">IF(A759="","",YEAR(A759)+IF(AND(FYStart&gt;1,MONTH(A759)&gt;=FYStart),1,0))</f>
        <v/>
      </c>
      <c r="T759" s="36" t="str">
        <f aca="false">IF(A759="","",MOD(MONTH(A759)-FYStart,12)+1)</f>
        <v/>
      </c>
      <c r="U759" s="37" t="str">
        <f aca="false">IF(A759="","",TEXT(A759,"mmm"))</f>
        <v/>
      </c>
      <c r="V759" s="37" t="str">
        <f aca="false">IF(Q759="","",IFERROR(INDEX(Settings!$I$11:$I$15,MATCH(Q759,Settings!$H$11:$H$15,0)),"No"))</f>
        <v/>
      </c>
      <c r="W759" s="37" t="str">
        <f aca="false">IF(Q759="","",IFERROR(INDEX(Settings!$J$11:$J$15,MATCH(Q759,Settings!$H$11:$H$15,0)),"No"))</f>
        <v/>
      </c>
    </row>
    <row r="760" customFormat="false" ht="15" hidden="false" customHeight="false" outlineLevel="0" collapsed="false">
      <c r="A760" s="30"/>
      <c r="B760" s="25"/>
      <c r="C760" s="25"/>
      <c r="D760" s="25"/>
      <c r="E760" s="25"/>
      <c r="F760" s="25"/>
      <c r="G760" s="25"/>
      <c r="H760" s="31"/>
      <c r="I760" s="32"/>
      <c r="J760" s="33"/>
      <c r="K760" s="34" t="str">
        <f aca="false">IF(OR(H760="",I760=""),"",H760*I760*(1-N(J760)))</f>
        <v/>
      </c>
      <c r="L760" s="32"/>
      <c r="M760" s="34" t="str">
        <f aca="false">IF(OR(H760="",L760=""),"",H760*L760)</f>
        <v/>
      </c>
      <c r="N760" s="34" t="str">
        <f aca="false">IF(OR(K760="",M760=""),"",K760-M760)</f>
        <v/>
      </c>
      <c r="O760" s="35" t="str">
        <f aca="false">IF(OR(N760="",K760=""),"",IF(K760=0,"",N760/K760))</f>
        <v/>
      </c>
      <c r="P760" s="25"/>
      <c r="Q760" s="25"/>
      <c r="R760" s="25"/>
      <c r="S760" s="36" t="str">
        <f aca="false">IF(A760="","",YEAR(A760)+IF(AND(FYStart&gt;1,MONTH(A760)&gt;=FYStart),1,0))</f>
        <v/>
      </c>
      <c r="T760" s="36" t="str">
        <f aca="false">IF(A760="","",MOD(MONTH(A760)-FYStart,12)+1)</f>
        <v/>
      </c>
      <c r="U760" s="37" t="str">
        <f aca="false">IF(A760="","",TEXT(A760,"mmm"))</f>
        <v/>
      </c>
      <c r="V760" s="37" t="str">
        <f aca="false">IF(Q760="","",IFERROR(INDEX(Settings!$I$11:$I$15,MATCH(Q760,Settings!$H$11:$H$15,0)),"No"))</f>
        <v/>
      </c>
      <c r="W760" s="37" t="str">
        <f aca="false">IF(Q760="","",IFERROR(INDEX(Settings!$J$11:$J$15,MATCH(Q760,Settings!$H$11:$H$15,0)),"No"))</f>
        <v/>
      </c>
    </row>
    <row r="761" customFormat="false" ht="15" hidden="false" customHeight="false" outlineLevel="0" collapsed="false">
      <c r="A761" s="30"/>
      <c r="B761" s="25"/>
      <c r="C761" s="25"/>
      <c r="D761" s="25"/>
      <c r="E761" s="25"/>
      <c r="F761" s="25"/>
      <c r="G761" s="25"/>
      <c r="H761" s="31"/>
      <c r="I761" s="32"/>
      <c r="J761" s="33"/>
      <c r="K761" s="34" t="str">
        <f aca="false">IF(OR(H761="",I761=""),"",H761*I761*(1-N(J761)))</f>
        <v/>
      </c>
      <c r="L761" s="32"/>
      <c r="M761" s="34" t="str">
        <f aca="false">IF(OR(H761="",L761=""),"",H761*L761)</f>
        <v/>
      </c>
      <c r="N761" s="34" t="str">
        <f aca="false">IF(OR(K761="",M761=""),"",K761-M761)</f>
        <v/>
      </c>
      <c r="O761" s="35" t="str">
        <f aca="false">IF(OR(N761="",K761=""),"",IF(K761=0,"",N761/K761))</f>
        <v/>
      </c>
      <c r="P761" s="25"/>
      <c r="Q761" s="25"/>
      <c r="R761" s="25"/>
      <c r="S761" s="36" t="str">
        <f aca="false">IF(A761="","",YEAR(A761)+IF(AND(FYStart&gt;1,MONTH(A761)&gt;=FYStart),1,0))</f>
        <v/>
      </c>
      <c r="T761" s="36" t="str">
        <f aca="false">IF(A761="","",MOD(MONTH(A761)-FYStart,12)+1)</f>
        <v/>
      </c>
      <c r="U761" s="37" t="str">
        <f aca="false">IF(A761="","",TEXT(A761,"mmm"))</f>
        <v/>
      </c>
      <c r="V761" s="37" t="str">
        <f aca="false">IF(Q761="","",IFERROR(INDEX(Settings!$I$11:$I$15,MATCH(Q761,Settings!$H$11:$H$15,0)),"No"))</f>
        <v/>
      </c>
      <c r="W761" s="37" t="str">
        <f aca="false">IF(Q761="","",IFERROR(INDEX(Settings!$J$11:$J$15,MATCH(Q761,Settings!$H$11:$H$15,0)),"No"))</f>
        <v/>
      </c>
    </row>
    <row r="762" customFormat="false" ht="15" hidden="false" customHeight="false" outlineLevel="0" collapsed="false">
      <c r="A762" s="30"/>
      <c r="B762" s="25"/>
      <c r="C762" s="25"/>
      <c r="D762" s="25"/>
      <c r="E762" s="25"/>
      <c r="F762" s="25"/>
      <c r="G762" s="25"/>
      <c r="H762" s="31"/>
      <c r="I762" s="32"/>
      <c r="J762" s="33"/>
      <c r="K762" s="34" t="str">
        <f aca="false">IF(OR(H762="",I762=""),"",H762*I762*(1-N(J762)))</f>
        <v/>
      </c>
      <c r="L762" s="32"/>
      <c r="M762" s="34" t="str">
        <f aca="false">IF(OR(H762="",L762=""),"",H762*L762)</f>
        <v/>
      </c>
      <c r="N762" s="34" t="str">
        <f aca="false">IF(OR(K762="",M762=""),"",K762-M762)</f>
        <v/>
      </c>
      <c r="O762" s="35" t="str">
        <f aca="false">IF(OR(N762="",K762=""),"",IF(K762=0,"",N762/K762))</f>
        <v/>
      </c>
      <c r="P762" s="25"/>
      <c r="Q762" s="25"/>
      <c r="R762" s="25"/>
      <c r="S762" s="36" t="str">
        <f aca="false">IF(A762="","",YEAR(A762)+IF(AND(FYStart&gt;1,MONTH(A762)&gt;=FYStart),1,0))</f>
        <v/>
      </c>
      <c r="T762" s="36" t="str">
        <f aca="false">IF(A762="","",MOD(MONTH(A762)-FYStart,12)+1)</f>
        <v/>
      </c>
      <c r="U762" s="37" t="str">
        <f aca="false">IF(A762="","",TEXT(A762,"mmm"))</f>
        <v/>
      </c>
      <c r="V762" s="37" t="str">
        <f aca="false">IF(Q762="","",IFERROR(INDEX(Settings!$I$11:$I$15,MATCH(Q762,Settings!$H$11:$H$15,0)),"No"))</f>
        <v/>
      </c>
      <c r="W762" s="37" t="str">
        <f aca="false">IF(Q762="","",IFERROR(INDEX(Settings!$J$11:$J$15,MATCH(Q762,Settings!$H$11:$H$15,0)),"No"))</f>
        <v/>
      </c>
    </row>
    <row r="763" customFormat="false" ht="15" hidden="false" customHeight="false" outlineLevel="0" collapsed="false">
      <c r="A763" s="30"/>
      <c r="B763" s="25"/>
      <c r="C763" s="25"/>
      <c r="D763" s="25"/>
      <c r="E763" s="25"/>
      <c r="F763" s="25"/>
      <c r="G763" s="25"/>
      <c r="H763" s="31"/>
      <c r="I763" s="32"/>
      <c r="J763" s="33"/>
      <c r="K763" s="34" t="str">
        <f aca="false">IF(OR(H763="",I763=""),"",H763*I763*(1-N(J763)))</f>
        <v/>
      </c>
      <c r="L763" s="32"/>
      <c r="M763" s="34" t="str">
        <f aca="false">IF(OR(H763="",L763=""),"",H763*L763)</f>
        <v/>
      </c>
      <c r="N763" s="34" t="str">
        <f aca="false">IF(OR(K763="",M763=""),"",K763-M763)</f>
        <v/>
      </c>
      <c r="O763" s="35" t="str">
        <f aca="false">IF(OR(N763="",K763=""),"",IF(K763=0,"",N763/K763))</f>
        <v/>
      </c>
      <c r="P763" s="25"/>
      <c r="Q763" s="25"/>
      <c r="R763" s="25"/>
      <c r="S763" s="36" t="str">
        <f aca="false">IF(A763="","",YEAR(A763)+IF(AND(FYStart&gt;1,MONTH(A763)&gt;=FYStart),1,0))</f>
        <v/>
      </c>
      <c r="T763" s="36" t="str">
        <f aca="false">IF(A763="","",MOD(MONTH(A763)-FYStart,12)+1)</f>
        <v/>
      </c>
      <c r="U763" s="37" t="str">
        <f aca="false">IF(A763="","",TEXT(A763,"mmm"))</f>
        <v/>
      </c>
      <c r="V763" s="37" t="str">
        <f aca="false">IF(Q763="","",IFERROR(INDEX(Settings!$I$11:$I$15,MATCH(Q763,Settings!$H$11:$H$15,0)),"No"))</f>
        <v/>
      </c>
      <c r="W763" s="37" t="str">
        <f aca="false">IF(Q763="","",IFERROR(INDEX(Settings!$J$11:$J$15,MATCH(Q763,Settings!$H$11:$H$15,0)),"No"))</f>
        <v/>
      </c>
    </row>
    <row r="764" customFormat="false" ht="15" hidden="false" customHeight="false" outlineLevel="0" collapsed="false">
      <c r="A764" s="30"/>
      <c r="B764" s="25"/>
      <c r="C764" s="25"/>
      <c r="D764" s="25"/>
      <c r="E764" s="25"/>
      <c r="F764" s="25"/>
      <c r="G764" s="25"/>
      <c r="H764" s="31"/>
      <c r="I764" s="32"/>
      <c r="J764" s="33"/>
      <c r="K764" s="34" t="str">
        <f aca="false">IF(OR(H764="",I764=""),"",H764*I764*(1-N(J764)))</f>
        <v/>
      </c>
      <c r="L764" s="32"/>
      <c r="M764" s="34" t="str">
        <f aca="false">IF(OR(H764="",L764=""),"",H764*L764)</f>
        <v/>
      </c>
      <c r="N764" s="34" t="str">
        <f aca="false">IF(OR(K764="",M764=""),"",K764-M764)</f>
        <v/>
      </c>
      <c r="O764" s="35" t="str">
        <f aca="false">IF(OR(N764="",K764=""),"",IF(K764=0,"",N764/K764))</f>
        <v/>
      </c>
      <c r="P764" s="25"/>
      <c r="Q764" s="25"/>
      <c r="R764" s="25"/>
      <c r="S764" s="36" t="str">
        <f aca="false">IF(A764="","",YEAR(A764)+IF(AND(FYStart&gt;1,MONTH(A764)&gt;=FYStart),1,0))</f>
        <v/>
      </c>
      <c r="T764" s="36" t="str">
        <f aca="false">IF(A764="","",MOD(MONTH(A764)-FYStart,12)+1)</f>
        <v/>
      </c>
      <c r="U764" s="37" t="str">
        <f aca="false">IF(A764="","",TEXT(A764,"mmm"))</f>
        <v/>
      </c>
      <c r="V764" s="37" t="str">
        <f aca="false">IF(Q764="","",IFERROR(INDEX(Settings!$I$11:$I$15,MATCH(Q764,Settings!$H$11:$H$15,0)),"No"))</f>
        <v/>
      </c>
      <c r="W764" s="37" t="str">
        <f aca="false">IF(Q764="","",IFERROR(INDEX(Settings!$J$11:$J$15,MATCH(Q764,Settings!$H$11:$H$15,0)),"No"))</f>
        <v/>
      </c>
    </row>
    <row r="765" customFormat="false" ht="15" hidden="false" customHeight="false" outlineLevel="0" collapsed="false">
      <c r="A765" s="30"/>
      <c r="B765" s="25"/>
      <c r="C765" s="25"/>
      <c r="D765" s="25"/>
      <c r="E765" s="25"/>
      <c r="F765" s="25"/>
      <c r="G765" s="25"/>
      <c r="H765" s="31"/>
      <c r="I765" s="32"/>
      <c r="J765" s="33"/>
      <c r="K765" s="34" t="str">
        <f aca="false">IF(OR(H765="",I765=""),"",H765*I765*(1-N(J765)))</f>
        <v/>
      </c>
      <c r="L765" s="32"/>
      <c r="M765" s="34" t="str">
        <f aca="false">IF(OR(H765="",L765=""),"",H765*L765)</f>
        <v/>
      </c>
      <c r="N765" s="34" t="str">
        <f aca="false">IF(OR(K765="",M765=""),"",K765-M765)</f>
        <v/>
      </c>
      <c r="O765" s="35" t="str">
        <f aca="false">IF(OR(N765="",K765=""),"",IF(K765=0,"",N765/K765))</f>
        <v/>
      </c>
      <c r="P765" s="25"/>
      <c r="Q765" s="25"/>
      <c r="R765" s="25"/>
      <c r="S765" s="36" t="str">
        <f aca="false">IF(A765="","",YEAR(A765)+IF(AND(FYStart&gt;1,MONTH(A765)&gt;=FYStart),1,0))</f>
        <v/>
      </c>
      <c r="T765" s="36" t="str">
        <f aca="false">IF(A765="","",MOD(MONTH(A765)-FYStart,12)+1)</f>
        <v/>
      </c>
      <c r="U765" s="37" t="str">
        <f aca="false">IF(A765="","",TEXT(A765,"mmm"))</f>
        <v/>
      </c>
      <c r="V765" s="37" t="str">
        <f aca="false">IF(Q765="","",IFERROR(INDEX(Settings!$I$11:$I$15,MATCH(Q765,Settings!$H$11:$H$15,0)),"No"))</f>
        <v/>
      </c>
      <c r="W765" s="37" t="str">
        <f aca="false">IF(Q765="","",IFERROR(INDEX(Settings!$J$11:$J$15,MATCH(Q765,Settings!$H$11:$H$15,0)),"No"))</f>
        <v/>
      </c>
    </row>
    <row r="766" customFormat="false" ht="15" hidden="false" customHeight="false" outlineLevel="0" collapsed="false">
      <c r="A766" s="30"/>
      <c r="B766" s="25"/>
      <c r="C766" s="25"/>
      <c r="D766" s="25"/>
      <c r="E766" s="25"/>
      <c r="F766" s="25"/>
      <c r="G766" s="25"/>
      <c r="H766" s="31"/>
      <c r="I766" s="32"/>
      <c r="J766" s="33"/>
      <c r="K766" s="34" t="str">
        <f aca="false">IF(OR(H766="",I766=""),"",H766*I766*(1-N(J766)))</f>
        <v/>
      </c>
      <c r="L766" s="32"/>
      <c r="M766" s="34" t="str">
        <f aca="false">IF(OR(H766="",L766=""),"",H766*L766)</f>
        <v/>
      </c>
      <c r="N766" s="34" t="str">
        <f aca="false">IF(OR(K766="",M766=""),"",K766-M766)</f>
        <v/>
      </c>
      <c r="O766" s="35" t="str">
        <f aca="false">IF(OR(N766="",K766=""),"",IF(K766=0,"",N766/K766))</f>
        <v/>
      </c>
      <c r="P766" s="25"/>
      <c r="Q766" s="25"/>
      <c r="R766" s="25"/>
      <c r="S766" s="36" t="str">
        <f aca="false">IF(A766="","",YEAR(A766)+IF(AND(FYStart&gt;1,MONTH(A766)&gt;=FYStart),1,0))</f>
        <v/>
      </c>
      <c r="T766" s="36" t="str">
        <f aca="false">IF(A766="","",MOD(MONTH(A766)-FYStart,12)+1)</f>
        <v/>
      </c>
      <c r="U766" s="37" t="str">
        <f aca="false">IF(A766="","",TEXT(A766,"mmm"))</f>
        <v/>
      </c>
      <c r="V766" s="37" t="str">
        <f aca="false">IF(Q766="","",IFERROR(INDEX(Settings!$I$11:$I$15,MATCH(Q766,Settings!$H$11:$H$15,0)),"No"))</f>
        <v/>
      </c>
      <c r="W766" s="37" t="str">
        <f aca="false">IF(Q766="","",IFERROR(INDEX(Settings!$J$11:$J$15,MATCH(Q766,Settings!$H$11:$H$15,0)),"No"))</f>
        <v/>
      </c>
    </row>
    <row r="767" customFormat="false" ht="15" hidden="false" customHeight="false" outlineLevel="0" collapsed="false">
      <c r="A767" s="30"/>
      <c r="B767" s="25"/>
      <c r="C767" s="25"/>
      <c r="D767" s="25"/>
      <c r="E767" s="25"/>
      <c r="F767" s="25"/>
      <c r="G767" s="25"/>
      <c r="H767" s="31"/>
      <c r="I767" s="32"/>
      <c r="J767" s="33"/>
      <c r="K767" s="34" t="str">
        <f aca="false">IF(OR(H767="",I767=""),"",H767*I767*(1-N(J767)))</f>
        <v/>
      </c>
      <c r="L767" s="32"/>
      <c r="M767" s="34" t="str">
        <f aca="false">IF(OR(H767="",L767=""),"",H767*L767)</f>
        <v/>
      </c>
      <c r="N767" s="34" t="str">
        <f aca="false">IF(OR(K767="",M767=""),"",K767-M767)</f>
        <v/>
      </c>
      <c r="O767" s="35" t="str">
        <f aca="false">IF(OR(N767="",K767=""),"",IF(K767=0,"",N767/K767))</f>
        <v/>
      </c>
      <c r="P767" s="25"/>
      <c r="Q767" s="25"/>
      <c r="R767" s="25"/>
      <c r="S767" s="36" t="str">
        <f aca="false">IF(A767="","",YEAR(A767)+IF(AND(FYStart&gt;1,MONTH(A767)&gt;=FYStart),1,0))</f>
        <v/>
      </c>
      <c r="T767" s="36" t="str">
        <f aca="false">IF(A767="","",MOD(MONTH(A767)-FYStart,12)+1)</f>
        <v/>
      </c>
      <c r="U767" s="37" t="str">
        <f aca="false">IF(A767="","",TEXT(A767,"mmm"))</f>
        <v/>
      </c>
      <c r="V767" s="37" t="str">
        <f aca="false">IF(Q767="","",IFERROR(INDEX(Settings!$I$11:$I$15,MATCH(Q767,Settings!$H$11:$H$15,0)),"No"))</f>
        <v/>
      </c>
      <c r="W767" s="37" t="str">
        <f aca="false">IF(Q767="","",IFERROR(INDEX(Settings!$J$11:$J$15,MATCH(Q767,Settings!$H$11:$H$15,0)),"No"))</f>
        <v/>
      </c>
    </row>
    <row r="768" customFormat="false" ht="15" hidden="false" customHeight="false" outlineLevel="0" collapsed="false">
      <c r="A768" s="30"/>
      <c r="B768" s="25"/>
      <c r="C768" s="25"/>
      <c r="D768" s="25"/>
      <c r="E768" s="25"/>
      <c r="F768" s="25"/>
      <c r="G768" s="25"/>
      <c r="H768" s="31"/>
      <c r="I768" s="32"/>
      <c r="J768" s="33"/>
      <c r="K768" s="34" t="str">
        <f aca="false">IF(OR(H768="",I768=""),"",H768*I768*(1-N(J768)))</f>
        <v/>
      </c>
      <c r="L768" s="32"/>
      <c r="M768" s="34" t="str">
        <f aca="false">IF(OR(H768="",L768=""),"",H768*L768)</f>
        <v/>
      </c>
      <c r="N768" s="34" t="str">
        <f aca="false">IF(OR(K768="",M768=""),"",K768-M768)</f>
        <v/>
      </c>
      <c r="O768" s="35" t="str">
        <f aca="false">IF(OR(N768="",K768=""),"",IF(K768=0,"",N768/K768))</f>
        <v/>
      </c>
      <c r="P768" s="25"/>
      <c r="Q768" s="25"/>
      <c r="R768" s="25"/>
      <c r="S768" s="36" t="str">
        <f aca="false">IF(A768="","",YEAR(A768)+IF(AND(FYStart&gt;1,MONTH(A768)&gt;=FYStart),1,0))</f>
        <v/>
      </c>
      <c r="T768" s="36" t="str">
        <f aca="false">IF(A768="","",MOD(MONTH(A768)-FYStart,12)+1)</f>
        <v/>
      </c>
      <c r="U768" s="37" t="str">
        <f aca="false">IF(A768="","",TEXT(A768,"mmm"))</f>
        <v/>
      </c>
      <c r="V768" s="37" t="str">
        <f aca="false">IF(Q768="","",IFERROR(INDEX(Settings!$I$11:$I$15,MATCH(Q768,Settings!$H$11:$H$15,0)),"No"))</f>
        <v/>
      </c>
      <c r="W768" s="37" t="str">
        <f aca="false">IF(Q768="","",IFERROR(INDEX(Settings!$J$11:$J$15,MATCH(Q768,Settings!$H$11:$H$15,0)),"No"))</f>
        <v/>
      </c>
    </row>
    <row r="769" customFormat="false" ht="15" hidden="false" customHeight="false" outlineLevel="0" collapsed="false">
      <c r="A769" s="30"/>
      <c r="B769" s="25"/>
      <c r="C769" s="25"/>
      <c r="D769" s="25"/>
      <c r="E769" s="25"/>
      <c r="F769" s="25"/>
      <c r="G769" s="25"/>
      <c r="H769" s="31"/>
      <c r="I769" s="32"/>
      <c r="J769" s="33"/>
      <c r="K769" s="34" t="str">
        <f aca="false">IF(OR(H769="",I769=""),"",H769*I769*(1-N(J769)))</f>
        <v/>
      </c>
      <c r="L769" s="32"/>
      <c r="M769" s="34" t="str">
        <f aca="false">IF(OR(H769="",L769=""),"",H769*L769)</f>
        <v/>
      </c>
      <c r="N769" s="34" t="str">
        <f aca="false">IF(OR(K769="",M769=""),"",K769-M769)</f>
        <v/>
      </c>
      <c r="O769" s="35" t="str">
        <f aca="false">IF(OR(N769="",K769=""),"",IF(K769=0,"",N769/K769))</f>
        <v/>
      </c>
      <c r="P769" s="25"/>
      <c r="Q769" s="25"/>
      <c r="R769" s="25"/>
      <c r="S769" s="36" t="str">
        <f aca="false">IF(A769="","",YEAR(A769)+IF(AND(FYStart&gt;1,MONTH(A769)&gt;=FYStart),1,0))</f>
        <v/>
      </c>
      <c r="T769" s="36" t="str">
        <f aca="false">IF(A769="","",MOD(MONTH(A769)-FYStart,12)+1)</f>
        <v/>
      </c>
      <c r="U769" s="37" t="str">
        <f aca="false">IF(A769="","",TEXT(A769,"mmm"))</f>
        <v/>
      </c>
      <c r="V769" s="37" t="str">
        <f aca="false">IF(Q769="","",IFERROR(INDEX(Settings!$I$11:$I$15,MATCH(Q769,Settings!$H$11:$H$15,0)),"No"))</f>
        <v/>
      </c>
      <c r="W769" s="37" t="str">
        <f aca="false">IF(Q769="","",IFERROR(INDEX(Settings!$J$11:$J$15,MATCH(Q769,Settings!$H$11:$H$15,0)),"No"))</f>
        <v/>
      </c>
    </row>
    <row r="770" customFormat="false" ht="15" hidden="false" customHeight="false" outlineLevel="0" collapsed="false">
      <c r="A770" s="30"/>
      <c r="B770" s="25"/>
      <c r="C770" s="25"/>
      <c r="D770" s="25"/>
      <c r="E770" s="25"/>
      <c r="F770" s="25"/>
      <c r="G770" s="25"/>
      <c r="H770" s="31"/>
      <c r="I770" s="32"/>
      <c r="J770" s="33"/>
      <c r="K770" s="34" t="str">
        <f aca="false">IF(OR(H770="",I770=""),"",H770*I770*(1-N(J770)))</f>
        <v/>
      </c>
      <c r="L770" s="32"/>
      <c r="M770" s="34" t="str">
        <f aca="false">IF(OR(H770="",L770=""),"",H770*L770)</f>
        <v/>
      </c>
      <c r="N770" s="34" t="str">
        <f aca="false">IF(OR(K770="",M770=""),"",K770-M770)</f>
        <v/>
      </c>
      <c r="O770" s="35" t="str">
        <f aca="false">IF(OR(N770="",K770=""),"",IF(K770=0,"",N770/K770))</f>
        <v/>
      </c>
      <c r="P770" s="25"/>
      <c r="Q770" s="25"/>
      <c r="R770" s="25"/>
      <c r="S770" s="36" t="str">
        <f aca="false">IF(A770="","",YEAR(A770)+IF(AND(FYStart&gt;1,MONTH(A770)&gt;=FYStart),1,0))</f>
        <v/>
      </c>
      <c r="T770" s="36" t="str">
        <f aca="false">IF(A770="","",MOD(MONTH(A770)-FYStart,12)+1)</f>
        <v/>
      </c>
      <c r="U770" s="37" t="str">
        <f aca="false">IF(A770="","",TEXT(A770,"mmm"))</f>
        <v/>
      </c>
      <c r="V770" s="37" t="str">
        <f aca="false">IF(Q770="","",IFERROR(INDEX(Settings!$I$11:$I$15,MATCH(Q770,Settings!$H$11:$H$15,0)),"No"))</f>
        <v/>
      </c>
      <c r="W770" s="37" t="str">
        <f aca="false">IF(Q770="","",IFERROR(INDEX(Settings!$J$11:$J$15,MATCH(Q770,Settings!$H$11:$H$15,0)),"No"))</f>
        <v/>
      </c>
    </row>
    <row r="771" customFormat="false" ht="15" hidden="false" customHeight="false" outlineLevel="0" collapsed="false">
      <c r="A771" s="30"/>
      <c r="B771" s="25"/>
      <c r="C771" s="25"/>
      <c r="D771" s="25"/>
      <c r="E771" s="25"/>
      <c r="F771" s="25"/>
      <c r="G771" s="25"/>
      <c r="H771" s="31"/>
      <c r="I771" s="32"/>
      <c r="J771" s="33"/>
      <c r="K771" s="34" t="str">
        <f aca="false">IF(OR(H771="",I771=""),"",H771*I771*(1-N(J771)))</f>
        <v/>
      </c>
      <c r="L771" s="32"/>
      <c r="M771" s="34" t="str">
        <f aca="false">IF(OR(H771="",L771=""),"",H771*L771)</f>
        <v/>
      </c>
      <c r="N771" s="34" t="str">
        <f aca="false">IF(OR(K771="",M771=""),"",K771-M771)</f>
        <v/>
      </c>
      <c r="O771" s="35" t="str">
        <f aca="false">IF(OR(N771="",K771=""),"",IF(K771=0,"",N771/K771))</f>
        <v/>
      </c>
      <c r="P771" s="25"/>
      <c r="Q771" s="25"/>
      <c r="R771" s="25"/>
      <c r="S771" s="36" t="str">
        <f aca="false">IF(A771="","",YEAR(A771)+IF(AND(FYStart&gt;1,MONTH(A771)&gt;=FYStart),1,0))</f>
        <v/>
      </c>
      <c r="T771" s="36" t="str">
        <f aca="false">IF(A771="","",MOD(MONTH(A771)-FYStart,12)+1)</f>
        <v/>
      </c>
      <c r="U771" s="37" t="str">
        <f aca="false">IF(A771="","",TEXT(A771,"mmm"))</f>
        <v/>
      </c>
      <c r="V771" s="37" t="str">
        <f aca="false">IF(Q771="","",IFERROR(INDEX(Settings!$I$11:$I$15,MATCH(Q771,Settings!$H$11:$H$15,0)),"No"))</f>
        <v/>
      </c>
      <c r="W771" s="37" t="str">
        <f aca="false">IF(Q771="","",IFERROR(INDEX(Settings!$J$11:$J$15,MATCH(Q771,Settings!$H$11:$H$15,0)),"No"))</f>
        <v/>
      </c>
    </row>
    <row r="772" customFormat="false" ht="15" hidden="false" customHeight="false" outlineLevel="0" collapsed="false">
      <c r="A772" s="30"/>
      <c r="B772" s="25"/>
      <c r="C772" s="25"/>
      <c r="D772" s="25"/>
      <c r="E772" s="25"/>
      <c r="F772" s="25"/>
      <c r="G772" s="25"/>
      <c r="H772" s="31"/>
      <c r="I772" s="32"/>
      <c r="J772" s="33"/>
      <c r="K772" s="34" t="str">
        <f aca="false">IF(OR(H772="",I772=""),"",H772*I772*(1-N(J772)))</f>
        <v/>
      </c>
      <c r="L772" s="32"/>
      <c r="M772" s="34" t="str">
        <f aca="false">IF(OR(H772="",L772=""),"",H772*L772)</f>
        <v/>
      </c>
      <c r="N772" s="34" t="str">
        <f aca="false">IF(OR(K772="",M772=""),"",K772-M772)</f>
        <v/>
      </c>
      <c r="O772" s="35" t="str">
        <f aca="false">IF(OR(N772="",K772=""),"",IF(K772=0,"",N772/K772))</f>
        <v/>
      </c>
      <c r="P772" s="25"/>
      <c r="Q772" s="25"/>
      <c r="R772" s="25"/>
      <c r="S772" s="36" t="str">
        <f aca="false">IF(A772="","",YEAR(A772)+IF(AND(FYStart&gt;1,MONTH(A772)&gt;=FYStart),1,0))</f>
        <v/>
      </c>
      <c r="T772" s="36" t="str">
        <f aca="false">IF(A772="","",MOD(MONTH(A772)-FYStart,12)+1)</f>
        <v/>
      </c>
      <c r="U772" s="37" t="str">
        <f aca="false">IF(A772="","",TEXT(A772,"mmm"))</f>
        <v/>
      </c>
      <c r="V772" s="37" t="str">
        <f aca="false">IF(Q772="","",IFERROR(INDEX(Settings!$I$11:$I$15,MATCH(Q772,Settings!$H$11:$H$15,0)),"No"))</f>
        <v/>
      </c>
      <c r="W772" s="37" t="str">
        <f aca="false">IF(Q772="","",IFERROR(INDEX(Settings!$J$11:$J$15,MATCH(Q772,Settings!$H$11:$H$15,0)),"No"))</f>
        <v/>
      </c>
    </row>
    <row r="773" customFormat="false" ht="15" hidden="false" customHeight="false" outlineLevel="0" collapsed="false">
      <c r="A773" s="30"/>
      <c r="B773" s="25"/>
      <c r="C773" s="25"/>
      <c r="D773" s="25"/>
      <c r="E773" s="25"/>
      <c r="F773" s="25"/>
      <c r="G773" s="25"/>
      <c r="H773" s="31"/>
      <c r="I773" s="32"/>
      <c r="J773" s="33"/>
      <c r="K773" s="34" t="str">
        <f aca="false">IF(OR(H773="",I773=""),"",H773*I773*(1-N(J773)))</f>
        <v/>
      </c>
      <c r="L773" s="32"/>
      <c r="M773" s="34" t="str">
        <f aca="false">IF(OR(H773="",L773=""),"",H773*L773)</f>
        <v/>
      </c>
      <c r="N773" s="34" t="str">
        <f aca="false">IF(OR(K773="",M773=""),"",K773-M773)</f>
        <v/>
      </c>
      <c r="O773" s="35" t="str">
        <f aca="false">IF(OR(N773="",K773=""),"",IF(K773=0,"",N773/K773))</f>
        <v/>
      </c>
      <c r="P773" s="25"/>
      <c r="Q773" s="25"/>
      <c r="R773" s="25"/>
      <c r="S773" s="36" t="str">
        <f aca="false">IF(A773="","",YEAR(A773)+IF(AND(FYStart&gt;1,MONTH(A773)&gt;=FYStart),1,0))</f>
        <v/>
      </c>
      <c r="T773" s="36" t="str">
        <f aca="false">IF(A773="","",MOD(MONTH(A773)-FYStart,12)+1)</f>
        <v/>
      </c>
      <c r="U773" s="37" t="str">
        <f aca="false">IF(A773="","",TEXT(A773,"mmm"))</f>
        <v/>
      </c>
      <c r="V773" s="37" t="str">
        <f aca="false">IF(Q773="","",IFERROR(INDEX(Settings!$I$11:$I$15,MATCH(Q773,Settings!$H$11:$H$15,0)),"No"))</f>
        <v/>
      </c>
      <c r="W773" s="37" t="str">
        <f aca="false">IF(Q773="","",IFERROR(INDEX(Settings!$J$11:$J$15,MATCH(Q773,Settings!$H$11:$H$15,0)),"No"))</f>
        <v/>
      </c>
    </row>
    <row r="774" customFormat="false" ht="15" hidden="false" customHeight="false" outlineLevel="0" collapsed="false">
      <c r="A774" s="30"/>
      <c r="B774" s="25"/>
      <c r="C774" s="25"/>
      <c r="D774" s="25"/>
      <c r="E774" s="25"/>
      <c r="F774" s="25"/>
      <c r="G774" s="25"/>
      <c r="H774" s="31"/>
      <c r="I774" s="32"/>
      <c r="J774" s="33"/>
      <c r="K774" s="34" t="str">
        <f aca="false">IF(OR(H774="",I774=""),"",H774*I774*(1-N(J774)))</f>
        <v/>
      </c>
      <c r="L774" s="32"/>
      <c r="M774" s="34" t="str">
        <f aca="false">IF(OR(H774="",L774=""),"",H774*L774)</f>
        <v/>
      </c>
      <c r="N774" s="34" t="str">
        <f aca="false">IF(OR(K774="",M774=""),"",K774-M774)</f>
        <v/>
      </c>
      <c r="O774" s="35" t="str">
        <f aca="false">IF(OR(N774="",K774=""),"",IF(K774=0,"",N774/K774))</f>
        <v/>
      </c>
      <c r="P774" s="25"/>
      <c r="Q774" s="25"/>
      <c r="R774" s="25"/>
      <c r="S774" s="36" t="str">
        <f aca="false">IF(A774="","",YEAR(A774)+IF(AND(FYStart&gt;1,MONTH(A774)&gt;=FYStart),1,0))</f>
        <v/>
      </c>
      <c r="T774" s="36" t="str">
        <f aca="false">IF(A774="","",MOD(MONTH(A774)-FYStart,12)+1)</f>
        <v/>
      </c>
      <c r="U774" s="37" t="str">
        <f aca="false">IF(A774="","",TEXT(A774,"mmm"))</f>
        <v/>
      </c>
      <c r="V774" s="37" t="str">
        <f aca="false">IF(Q774="","",IFERROR(INDEX(Settings!$I$11:$I$15,MATCH(Q774,Settings!$H$11:$H$15,0)),"No"))</f>
        <v/>
      </c>
      <c r="W774" s="37" t="str">
        <f aca="false">IF(Q774="","",IFERROR(INDEX(Settings!$J$11:$J$15,MATCH(Q774,Settings!$H$11:$H$15,0)),"No"))</f>
        <v/>
      </c>
    </row>
    <row r="775" customFormat="false" ht="15" hidden="false" customHeight="false" outlineLevel="0" collapsed="false">
      <c r="A775" s="30"/>
      <c r="B775" s="25"/>
      <c r="C775" s="25"/>
      <c r="D775" s="25"/>
      <c r="E775" s="25"/>
      <c r="F775" s="25"/>
      <c r="G775" s="25"/>
      <c r="H775" s="31"/>
      <c r="I775" s="32"/>
      <c r="J775" s="33"/>
      <c r="K775" s="34" t="str">
        <f aca="false">IF(OR(H775="",I775=""),"",H775*I775*(1-N(J775)))</f>
        <v/>
      </c>
      <c r="L775" s="32"/>
      <c r="M775" s="34" t="str">
        <f aca="false">IF(OR(H775="",L775=""),"",H775*L775)</f>
        <v/>
      </c>
      <c r="N775" s="34" t="str">
        <f aca="false">IF(OR(K775="",M775=""),"",K775-M775)</f>
        <v/>
      </c>
      <c r="O775" s="35" t="str">
        <f aca="false">IF(OR(N775="",K775=""),"",IF(K775=0,"",N775/K775))</f>
        <v/>
      </c>
      <c r="P775" s="25"/>
      <c r="Q775" s="25"/>
      <c r="R775" s="25"/>
      <c r="S775" s="36" t="str">
        <f aca="false">IF(A775="","",YEAR(A775)+IF(AND(FYStart&gt;1,MONTH(A775)&gt;=FYStart),1,0))</f>
        <v/>
      </c>
      <c r="T775" s="36" t="str">
        <f aca="false">IF(A775="","",MOD(MONTH(A775)-FYStart,12)+1)</f>
        <v/>
      </c>
      <c r="U775" s="37" t="str">
        <f aca="false">IF(A775="","",TEXT(A775,"mmm"))</f>
        <v/>
      </c>
      <c r="V775" s="37" t="str">
        <f aca="false">IF(Q775="","",IFERROR(INDEX(Settings!$I$11:$I$15,MATCH(Q775,Settings!$H$11:$H$15,0)),"No"))</f>
        <v/>
      </c>
      <c r="W775" s="37" t="str">
        <f aca="false">IF(Q775="","",IFERROR(INDEX(Settings!$J$11:$J$15,MATCH(Q775,Settings!$H$11:$H$15,0)),"No"))</f>
        <v/>
      </c>
    </row>
    <row r="776" customFormat="false" ht="15" hidden="false" customHeight="false" outlineLevel="0" collapsed="false">
      <c r="A776" s="30"/>
      <c r="B776" s="25"/>
      <c r="C776" s="25"/>
      <c r="D776" s="25"/>
      <c r="E776" s="25"/>
      <c r="F776" s="25"/>
      <c r="G776" s="25"/>
      <c r="H776" s="31"/>
      <c r="I776" s="32"/>
      <c r="J776" s="33"/>
      <c r="K776" s="34" t="str">
        <f aca="false">IF(OR(H776="",I776=""),"",H776*I776*(1-N(J776)))</f>
        <v/>
      </c>
      <c r="L776" s="32"/>
      <c r="M776" s="34" t="str">
        <f aca="false">IF(OR(H776="",L776=""),"",H776*L776)</f>
        <v/>
      </c>
      <c r="N776" s="34" t="str">
        <f aca="false">IF(OR(K776="",M776=""),"",K776-M776)</f>
        <v/>
      </c>
      <c r="O776" s="35" t="str">
        <f aca="false">IF(OR(N776="",K776=""),"",IF(K776=0,"",N776/K776))</f>
        <v/>
      </c>
      <c r="P776" s="25"/>
      <c r="Q776" s="25"/>
      <c r="R776" s="25"/>
      <c r="S776" s="36" t="str">
        <f aca="false">IF(A776="","",YEAR(A776)+IF(AND(FYStart&gt;1,MONTH(A776)&gt;=FYStart),1,0))</f>
        <v/>
      </c>
      <c r="T776" s="36" t="str">
        <f aca="false">IF(A776="","",MOD(MONTH(A776)-FYStart,12)+1)</f>
        <v/>
      </c>
      <c r="U776" s="37" t="str">
        <f aca="false">IF(A776="","",TEXT(A776,"mmm"))</f>
        <v/>
      </c>
      <c r="V776" s="37" t="str">
        <f aca="false">IF(Q776="","",IFERROR(INDEX(Settings!$I$11:$I$15,MATCH(Q776,Settings!$H$11:$H$15,0)),"No"))</f>
        <v/>
      </c>
      <c r="W776" s="37" t="str">
        <f aca="false">IF(Q776="","",IFERROR(INDEX(Settings!$J$11:$J$15,MATCH(Q776,Settings!$H$11:$H$15,0)),"No"))</f>
        <v/>
      </c>
    </row>
    <row r="777" customFormat="false" ht="15" hidden="false" customHeight="false" outlineLevel="0" collapsed="false">
      <c r="A777" s="30"/>
      <c r="B777" s="25"/>
      <c r="C777" s="25"/>
      <c r="D777" s="25"/>
      <c r="E777" s="25"/>
      <c r="F777" s="25"/>
      <c r="G777" s="25"/>
      <c r="H777" s="31"/>
      <c r="I777" s="32"/>
      <c r="J777" s="33"/>
      <c r="K777" s="34" t="str">
        <f aca="false">IF(OR(H777="",I777=""),"",H777*I777*(1-N(J777)))</f>
        <v/>
      </c>
      <c r="L777" s="32"/>
      <c r="M777" s="34" t="str">
        <f aca="false">IF(OR(H777="",L777=""),"",H777*L777)</f>
        <v/>
      </c>
      <c r="N777" s="34" t="str">
        <f aca="false">IF(OR(K777="",M777=""),"",K777-M777)</f>
        <v/>
      </c>
      <c r="O777" s="35" t="str">
        <f aca="false">IF(OR(N777="",K777=""),"",IF(K777=0,"",N777/K777))</f>
        <v/>
      </c>
      <c r="P777" s="25"/>
      <c r="Q777" s="25"/>
      <c r="R777" s="25"/>
      <c r="S777" s="36" t="str">
        <f aca="false">IF(A777="","",YEAR(A777)+IF(AND(FYStart&gt;1,MONTH(A777)&gt;=FYStart),1,0))</f>
        <v/>
      </c>
      <c r="T777" s="36" t="str">
        <f aca="false">IF(A777="","",MOD(MONTH(A777)-FYStart,12)+1)</f>
        <v/>
      </c>
      <c r="U777" s="37" t="str">
        <f aca="false">IF(A777="","",TEXT(A777,"mmm"))</f>
        <v/>
      </c>
      <c r="V777" s="37" t="str">
        <f aca="false">IF(Q777="","",IFERROR(INDEX(Settings!$I$11:$I$15,MATCH(Q777,Settings!$H$11:$H$15,0)),"No"))</f>
        <v/>
      </c>
      <c r="W777" s="37" t="str">
        <f aca="false">IF(Q777="","",IFERROR(INDEX(Settings!$J$11:$J$15,MATCH(Q777,Settings!$H$11:$H$15,0)),"No"))</f>
        <v/>
      </c>
    </row>
    <row r="778" customFormat="false" ht="15" hidden="false" customHeight="false" outlineLevel="0" collapsed="false">
      <c r="A778" s="30"/>
      <c r="B778" s="25"/>
      <c r="C778" s="25"/>
      <c r="D778" s="25"/>
      <c r="E778" s="25"/>
      <c r="F778" s="25"/>
      <c r="G778" s="25"/>
      <c r="H778" s="31"/>
      <c r="I778" s="32"/>
      <c r="J778" s="33"/>
      <c r="K778" s="34" t="str">
        <f aca="false">IF(OR(H778="",I778=""),"",H778*I778*(1-N(J778)))</f>
        <v/>
      </c>
      <c r="L778" s="32"/>
      <c r="M778" s="34" t="str">
        <f aca="false">IF(OR(H778="",L778=""),"",H778*L778)</f>
        <v/>
      </c>
      <c r="N778" s="34" t="str">
        <f aca="false">IF(OR(K778="",M778=""),"",K778-M778)</f>
        <v/>
      </c>
      <c r="O778" s="35" t="str">
        <f aca="false">IF(OR(N778="",K778=""),"",IF(K778=0,"",N778/K778))</f>
        <v/>
      </c>
      <c r="P778" s="25"/>
      <c r="Q778" s="25"/>
      <c r="R778" s="25"/>
      <c r="S778" s="36" t="str">
        <f aca="false">IF(A778="","",YEAR(A778)+IF(AND(FYStart&gt;1,MONTH(A778)&gt;=FYStart),1,0))</f>
        <v/>
      </c>
      <c r="T778" s="36" t="str">
        <f aca="false">IF(A778="","",MOD(MONTH(A778)-FYStart,12)+1)</f>
        <v/>
      </c>
      <c r="U778" s="37" t="str">
        <f aca="false">IF(A778="","",TEXT(A778,"mmm"))</f>
        <v/>
      </c>
      <c r="V778" s="37" t="str">
        <f aca="false">IF(Q778="","",IFERROR(INDEX(Settings!$I$11:$I$15,MATCH(Q778,Settings!$H$11:$H$15,0)),"No"))</f>
        <v/>
      </c>
      <c r="W778" s="37" t="str">
        <f aca="false">IF(Q778="","",IFERROR(INDEX(Settings!$J$11:$J$15,MATCH(Q778,Settings!$H$11:$H$15,0)),"No"))</f>
        <v/>
      </c>
    </row>
    <row r="779" customFormat="false" ht="15" hidden="false" customHeight="false" outlineLevel="0" collapsed="false">
      <c r="A779" s="30"/>
      <c r="B779" s="25"/>
      <c r="C779" s="25"/>
      <c r="D779" s="25"/>
      <c r="E779" s="25"/>
      <c r="F779" s="25"/>
      <c r="G779" s="25"/>
      <c r="H779" s="31"/>
      <c r="I779" s="32"/>
      <c r="J779" s="33"/>
      <c r="K779" s="34" t="str">
        <f aca="false">IF(OR(H779="",I779=""),"",H779*I779*(1-N(J779)))</f>
        <v/>
      </c>
      <c r="L779" s="32"/>
      <c r="M779" s="34" t="str">
        <f aca="false">IF(OR(H779="",L779=""),"",H779*L779)</f>
        <v/>
      </c>
      <c r="N779" s="34" t="str">
        <f aca="false">IF(OR(K779="",M779=""),"",K779-M779)</f>
        <v/>
      </c>
      <c r="O779" s="35" t="str">
        <f aca="false">IF(OR(N779="",K779=""),"",IF(K779=0,"",N779/K779))</f>
        <v/>
      </c>
      <c r="P779" s="25"/>
      <c r="Q779" s="25"/>
      <c r="R779" s="25"/>
      <c r="S779" s="36" t="str">
        <f aca="false">IF(A779="","",YEAR(A779)+IF(AND(FYStart&gt;1,MONTH(A779)&gt;=FYStart),1,0))</f>
        <v/>
      </c>
      <c r="T779" s="36" t="str">
        <f aca="false">IF(A779="","",MOD(MONTH(A779)-FYStart,12)+1)</f>
        <v/>
      </c>
      <c r="U779" s="37" t="str">
        <f aca="false">IF(A779="","",TEXT(A779,"mmm"))</f>
        <v/>
      </c>
      <c r="V779" s="37" t="str">
        <f aca="false">IF(Q779="","",IFERROR(INDEX(Settings!$I$11:$I$15,MATCH(Q779,Settings!$H$11:$H$15,0)),"No"))</f>
        <v/>
      </c>
      <c r="W779" s="37" t="str">
        <f aca="false">IF(Q779="","",IFERROR(INDEX(Settings!$J$11:$J$15,MATCH(Q779,Settings!$H$11:$H$15,0)),"No"))</f>
        <v/>
      </c>
    </row>
    <row r="780" customFormat="false" ht="15" hidden="false" customHeight="false" outlineLevel="0" collapsed="false">
      <c r="A780" s="30"/>
      <c r="B780" s="25"/>
      <c r="C780" s="25"/>
      <c r="D780" s="25"/>
      <c r="E780" s="25"/>
      <c r="F780" s="25"/>
      <c r="G780" s="25"/>
      <c r="H780" s="31"/>
      <c r="I780" s="32"/>
      <c r="J780" s="33"/>
      <c r="K780" s="34" t="str">
        <f aca="false">IF(OR(H780="",I780=""),"",H780*I780*(1-N(J780)))</f>
        <v/>
      </c>
      <c r="L780" s="32"/>
      <c r="M780" s="34" t="str">
        <f aca="false">IF(OR(H780="",L780=""),"",H780*L780)</f>
        <v/>
      </c>
      <c r="N780" s="34" t="str">
        <f aca="false">IF(OR(K780="",M780=""),"",K780-M780)</f>
        <v/>
      </c>
      <c r="O780" s="35" t="str">
        <f aca="false">IF(OR(N780="",K780=""),"",IF(K780=0,"",N780/K780))</f>
        <v/>
      </c>
      <c r="P780" s="25"/>
      <c r="Q780" s="25"/>
      <c r="R780" s="25"/>
      <c r="S780" s="36" t="str">
        <f aca="false">IF(A780="","",YEAR(A780)+IF(AND(FYStart&gt;1,MONTH(A780)&gt;=FYStart),1,0))</f>
        <v/>
      </c>
      <c r="T780" s="36" t="str">
        <f aca="false">IF(A780="","",MOD(MONTH(A780)-FYStart,12)+1)</f>
        <v/>
      </c>
      <c r="U780" s="37" t="str">
        <f aca="false">IF(A780="","",TEXT(A780,"mmm"))</f>
        <v/>
      </c>
      <c r="V780" s="37" t="str">
        <f aca="false">IF(Q780="","",IFERROR(INDEX(Settings!$I$11:$I$15,MATCH(Q780,Settings!$H$11:$H$15,0)),"No"))</f>
        <v/>
      </c>
      <c r="W780" s="37" t="str">
        <f aca="false">IF(Q780="","",IFERROR(INDEX(Settings!$J$11:$J$15,MATCH(Q780,Settings!$H$11:$H$15,0)),"No"))</f>
        <v/>
      </c>
    </row>
    <row r="781" customFormat="false" ht="15" hidden="false" customHeight="false" outlineLevel="0" collapsed="false">
      <c r="A781" s="30"/>
      <c r="B781" s="25"/>
      <c r="C781" s="25"/>
      <c r="D781" s="25"/>
      <c r="E781" s="25"/>
      <c r="F781" s="25"/>
      <c r="G781" s="25"/>
      <c r="H781" s="31"/>
      <c r="I781" s="32"/>
      <c r="J781" s="33"/>
      <c r="K781" s="34" t="str">
        <f aca="false">IF(OR(H781="",I781=""),"",H781*I781*(1-N(J781)))</f>
        <v/>
      </c>
      <c r="L781" s="32"/>
      <c r="M781" s="34" t="str">
        <f aca="false">IF(OR(H781="",L781=""),"",H781*L781)</f>
        <v/>
      </c>
      <c r="N781" s="34" t="str">
        <f aca="false">IF(OR(K781="",M781=""),"",K781-M781)</f>
        <v/>
      </c>
      <c r="O781" s="35" t="str">
        <f aca="false">IF(OR(N781="",K781=""),"",IF(K781=0,"",N781/K781))</f>
        <v/>
      </c>
      <c r="P781" s="25"/>
      <c r="Q781" s="25"/>
      <c r="R781" s="25"/>
      <c r="S781" s="36" t="str">
        <f aca="false">IF(A781="","",YEAR(A781)+IF(AND(FYStart&gt;1,MONTH(A781)&gt;=FYStart),1,0))</f>
        <v/>
      </c>
      <c r="T781" s="36" t="str">
        <f aca="false">IF(A781="","",MOD(MONTH(A781)-FYStart,12)+1)</f>
        <v/>
      </c>
      <c r="U781" s="37" t="str">
        <f aca="false">IF(A781="","",TEXT(A781,"mmm"))</f>
        <v/>
      </c>
      <c r="V781" s="37" t="str">
        <f aca="false">IF(Q781="","",IFERROR(INDEX(Settings!$I$11:$I$15,MATCH(Q781,Settings!$H$11:$H$15,0)),"No"))</f>
        <v/>
      </c>
      <c r="W781" s="37" t="str">
        <f aca="false">IF(Q781="","",IFERROR(INDEX(Settings!$J$11:$J$15,MATCH(Q781,Settings!$H$11:$H$15,0)),"No"))</f>
        <v/>
      </c>
    </row>
    <row r="782" customFormat="false" ht="15" hidden="false" customHeight="false" outlineLevel="0" collapsed="false">
      <c r="A782" s="30"/>
      <c r="B782" s="25"/>
      <c r="C782" s="25"/>
      <c r="D782" s="25"/>
      <c r="E782" s="25"/>
      <c r="F782" s="25"/>
      <c r="G782" s="25"/>
      <c r="H782" s="31"/>
      <c r="I782" s="32"/>
      <c r="J782" s="33"/>
      <c r="K782" s="34" t="str">
        <f aca="false">IF(OR(H782="",I782=""),"",H782*I782*(1-N(J782)))</f>
        <v/>
      </c>
      <c r="L782" s="32"/>
      <c r="M782" s="34" t="str">
        <f aca="false">IF(OR(H782="",L782=""),"",H782*L782)</f>
        <v/>
      </c>
      <c r="N782" s="34" t="str">
        <f aca="false">IF(OR(K782="",M782=""),"",K782-M782)</f>
        <v/>
      </c>
      <c r="O782" s="35" t="str">
        <f aca="false">IF(OR(N782="",K782=""),"",IF(K782=0,"",N782/K782))</f>
        <v/>
      </c>
      <c r="P782" s="25"/>
      <c r="Q782" s="25"/>
      <c r="R782" s="25"/>
      <c r="S782" s="36" t="str">
        <f aca="false">IF(A782="","",YEAR(A782)+IF(AND(FYStart&gt;1,MONTH(A782)&gt;=FYStart),1,0))</f>
        <v/>
      </c>
      <c r="T782" s="36" t="str">
        <f aca="false">IF(A782="","",MOD(MONTH(A782)-FYStart,12)+1)</f>
        <v/>
      </c>
      <c r="U782" s="37" t="str">
        <f aca="false">IF(A782="","",TEXT(A782,"mmm"))</f>
        <v/>
      </c>
      <c r="V782" s="37" t="str">
        <f aca="false">IF(Q782="","",IFERROR(INDEX(Settings!$I$11:$I$15,MATCH(Q782,Settings!$H$11:$H$15,0)),"No"))</f>
        <v/>
      </c>
      <c r="W782" s="37" t="str">
        <f aca="false">IF(Q782="","",IFERROR(INDEX(Settings!$J$11:$J$15,MATCH(Q782,Settings!$H$11:$H$15,0)),"No"))</f>
        <v/>
      </c>
    </row>
    <row r="783" customFormat="false" ht="15" hidden="false" customHeight="false" outlineLevel="0" collapsed="false">
      <c r="A783" s="30"/>
      <c r="B783" s="25"/>
      <c r="C783" s="25"/>
      <c r="D783" s="25"/>
      <c r="E783" s="25"/>
      <c r="F783" s="25"/>
      <c r="G783" s="25"/>
      <c r="H783" s="31"/>
      <c r="I783" s="32"/>
      <c r="J783" s="33"/>
      <c r="K783" s="34" t="str">
        <f aca="false">IF(OR(H783="",I783=""),"",H783*I783*(1-N(J783)))</f>
        <v/>
      </c>
      <c r="L783" s="32"/>
      <c r="M783" s="34" t="str">
        <f aca="false">IF(OR(H783="",L783=""),"",H783*L783)</f>
        <v/>
      </c>
      <c r="N783" s="34" t="str">
        <f aca="false">IF(OR(K783="",M783=""),"",K783-M783)</f>
        <v/>
      </c>
      <c r="O783" s="35" t="str">
        <f aca="false">IF(OR(N783="",K783=""),"",IF(K783=0,"",N783/K783))</f>
        <v/>
      </c>
      <c r="P783" s="25"/>
      <c r="Q783" s="25"/>
      <c r="R783" s="25"/>
      <c r="S783" s="36" t="str">
        <f aca="false">IF(A783="","",YEAR(A783)+IF(AND(FYStart&gt;1,MONTH(A783)&gt;=FYStart),1,0))</f>
        <v/>
      </c>
      <c r="T783" s="36" t="str">
        <f aca="false">IF(A783="","",MOD(MONTH(A783)-FYStart,12)+1)</f>
        <v/>
      </c>
      <c r="U783" s="37" t="str">
        <f aca="false">IF(A783="","",TEXT(A783,"mmm"))</f>
        <v/>
      </c>
      <c r="V783" s="37" t="str">
        <f aca="false">IF(Q783="","",IFERROR(INDEX(Settings!$I$11:$I$15,MATCH(Q783,Settings!$H$11:$H$15,0)),"No"))</f>
        <v/>
      </c>
      <c r="W783" s="37" t="str">
        <f aca="false">IF(Q783="","",IFERROR(INDEX(Settings!$J$11:$J$15,MATCH(Q783,Settings!$H$11:$H$15,0)),"No"))</f>
        <v/>
      </c>
    </row>
    <row r="784" customFormat="false" ht="15" hidden="false" customHeight="false" outlineLevel="0" collapsed="false">
      <c r="A784" s="30"/>
      <c r="B784" s="25"/>
      <c r="C784" s="25"/>
      <c r="D784" s="25"/>
      <c r="E784" s="25"/>
      <c r="F784" s="25"/>
      <c r="G784" s="25"/>
      <c r="H784" s="31"/>
      <c r="I784" s="32"/>
      <c r="J784" s="33"/>
      <c r="K784" s="34" t="str">
        <f aca="false">IF(OR(H784="",I784=""),"",H784*I784*(1-N(J784)))</f>
        <v/>
      </c>
      <c r="L784" s="32"/>
      <c r="M784" s="34" t="str">
        <f aca="false">IF(OR(H784="",L784=""),"",H784*L784)</f>
        <v/>
      </c>
      <c r="N784" s="34" t="str">
        <f aca="false">IF(OR(K784="",M784=""),"",K784-M784)</f>
        <v/>
      </c>
      <c r="O784" s="35" t="str">
        <f aca="false">IF(OR(N784="",K784=""),"",IF(K784=0,"",N784/K784))</f>
        <v/>
      </c>
      <c r="P784" s="25"/>
      <c r="Q784" s="25"/>
      <c r="R784" s="25"/>
      <c r="S784" s="36" t="str">
        <f aca="false">IF(A784="","",YEAR(A784)+IF(AND(FYStart&gt;1,MONTH(A784)&gt;=FYStart),1,0))</f>
        <v/>
      </c>
      <c r="T784" s="36" t="str">
        <f aca="false">IF(A784="","",MOD(MONTH(A784)-FYStart,12)+1)</f>
        <v/>
      </c>
      <c r="U784" s="37" t="str">
        <f aca="false">IF(A784="","",TEXT(A784,"mmm"))</f>
        <v/>
      </c>
      <c r="V784" s="37" t="str">
        <f aca="false">IF(Q784="","",IFERROR(INDEX(Settings!$I$11:$I$15,MATCH(Q784,Settings!$H$11:$H$15,0)),"No"))</f>
        <v/>
      </c>
      <c r="W784" s="37" t="str">
        <f aca="false">IF(Q784="","",IFERROR(INDEX(Settings!$J$11:$J$15,MATCH(Q784,Settings!$H$11:$H$15,0)),"No"))</f>
        <v/>
      </c>
    </row>
    <row r="785" customFormat="false" ht="15" hidden="false" customHeight="false" outlineLevel="0" collapsed="false">
      <c r="A785" s="30"/>
      <c r="B785" s="25"/>
      <c r="C785" s="25"/>
      <c r="D785" s="25"/>
      <c r="E785" s="25"/>
      <c r="F785" s="25"/>
      <c r="G785" s="25"/>
      <c r="H785" s="31"/>
      <c r="I785" s="32"/>
      <c r="J785" s="33"/>
      <c r="K785" s="34" t="str">
        <f aca="false">IF(OR(H785="",I785=""),"",H785*I785*(1-N(J785)))</f>
        <v/>
      </c>
      <c r="L785" s="32"/>
      <c r="M785" s="34" t="str">
        <f aca="false">IF(OR(H785="",L785=""),"",H785*L785)</f>
        <v/>
      </c>
      <c r="N785" s="34" t="str">
        <f aca="false">IF(OR(K785="",M785=""),"",K785-M785)</f>
        <v/>
      </c>
      <c r="O785" s="35" t="str">
        <f aca="false">IF(OR(N785="",K785=""),"",IF(K785=0,"",N785/K785))</f>
        <v/>
      </c>
      <c r="P785" s="25"/>
      <c r="Q785" s="25"/>
      <c r="R785" s="25"/>
      <c r="S785" s="36" t="str">
        <f aca="false">IF(A785="","",YEAR(A785)+IF(AND(FYStart&gt;1,MONTH(A785)&gt;=FYStart),1,0))</f>
        <v/>
      </c>
      <c r="T785" s="36" t="str">
        <f aca="false">IF(A785="","",MOD(MONTH(A785)-FYStart,12)+1)</f>
        <v/>
      </c>
      <c r="U785" s="37" t="str">
        <f aca="false">IF(A785="","",TEXT(A785,"mmm"))</f>
        <v/>
      </c>
      <c r="V785" s="37" t="str">
        <f aca="false">IF(Q785="","",IFERROR(INDEX(Settings!$I$11:$I$15,MATCH(Q785,Settings!$H$11:$H$15,0)),"No"))</f>
        <v/>
      </c>
      <c r="W785" s="37" t="str">
        <f aca="false">IF(Q785="","",IFERROR(INDEX(Settings!$J$11:$J$15,MATCH(Q785,Settings!$H$11:$H$15,0)),"No"))</f>
        <v/>
      </c>
    </row>
    <row r="786" customFormat="false" ht="15" hidden="false" customHeight="false" outlineLevel="0" collapsed="false">
      <c r="A786" s="30"/>
      <c r="B786" s="25"/>
      <c r="C786" s="25"/>
      <c r="D786" s="25"/>
      <c r="E786" s="25"/>
      <c r="F786" s="25"/>
      <c r="G786" s="25"/>
      <c r="H786" s="31"/>
      <c r="I786" s="32"/>
      <c r="J786" s="33"/>
      <c r="K786" s="34" t="str">
        <f aca="false">IF(OR(H786="",I786=""),"",H786*I786*(1-N(J786)))</f>
        <v/>
      </c>
      <c r="L786" s="32"/>
      <c r="M786" s="34" t="str">
        <f aca="false">IF(OR(H786="",L786=""),"",H786*L786)</f>
        <v/>
      </c>
      <c r="N786" s="34" t="str">
        <f aca="false">IF(OR(K786="",M786=""),"",K786-M786)</f>
        <v/>
      </c>
      <c r="O786" s="35" t="str">
        <f aca="false">IF(OR(N786="",K786=""),"",IF(K786=0,"",N786/K786))</f>
        <v/>
      </c>
      <c r="P786" s="25"/>
      <c r="Q786" s="25"/>
      <c r="R786" s="25"/>
      <c r="S786" s="36" t="str">
        <f aca="false">IF(A786="","",YEAR(A786)+IF(AND(FYStart&gt;1,MONTH(A786)&gt;=FYStart),1,0))</f>
        <v/>
      </c>
      <c r="T786" s="36" t="str">
        <f aca="false">IF(A786="","",MOD(MONTH(A786)-FYStart,12)+1)</f>
        <v/>
      </c>
      <c r="U786" s="37" t="str">
        <f aca="false">IF(A786="","",TEXT(A786,"mmm"))</f>
        <v/>
      </c>
      <c r="V786" s="37" t="str">
        <f aca="false">IF(Q786="","",IFERROR(INDEX(Settings!$I$11:$I$15,MATCH(Q786,Settings!$H$11:$H$15,0)),"No"))</f>
        <v/>
      </c>
      <c r="W786" s="37" t="str">
        <f aca="false">IF(Q786="","",IFERROR(INDEX(Settings!$J$11:$J$15,MATCH(Q786,Settings!$H$11:$H$15,0)),"No"))</f>
        <v/>
      </c>
    </row>
    <row r="787" customFormat="false" ht="15" hidden="false" customHeight="false" outlineLevel="0" collapsed="false">
      <c r="A787" s="30"/>
      <c r="B787" s="25"/>
      <c r="C787" s="25"/>
      <c r="D787" s="25"/>
      <c r="E787" s="25"/>
      <c r="F787" s="25"/>
      <c r="G787" s="25"/>
      <c r="H787" s="31"/>
      <c r="I787" s="32"/>
      <c r="J787" s="33"/>
      <c r="K787" s="34" t="str">
        <f aca="false">IF(OR(H787="",I787=""),"",H787*I787*(1-N(J787)))</f>
        <v/>
      </c>
      <c r="L787" s="32"/>
      <c r="M787" s="34" t="str">
        <f aca="false">IF(OR(H787="",L787=""),"",H787*L787)</f>
        <v/>
      </c>
      <c r="N787" s="34" t="str">
        <f aca="false">IF(OR(K787="",M787=""),"",K787-M787)</f>
        <v/>
      </c>
      <c r="O787" s="35" t="str">
        <f aca="false">IF(OR(N787="",K787=""),"",IF(K787=0,"",N787/K787))</f>
        <v/>
      </c>
      <c r="P787" s="25"/>
      <c r="Q787" s="25"/>
      <c r="R787" s="25"/>
      <c r="S787" s="36" t="str">
        <f aca="false">IF(A787="","",YEAR(A787)+IF(AND(FYStart&gt;1,MONTH(A787)&gt;=FYStart),1,0))</f>
        <v/>
      </c>
      <c r="T787" s="36" t="str">
        <f aca="false">IF(A787="","",MOD(MONTH(A787)-FYStart,12)+1)</f>
        <v/>
      </c>
      <c r="U787" s="37" t="str">
        <f aca="false">IF(A787="","",TEXT(A787,"mmm"))</f>
        <v/>
      </c>
      <c r="V787" s="37" t="str">
        <f aca="false">IF(Q787="","",IFERROR(INDEX(Settings!$I$11:$I$15,MATCH(Q787,Settings!$H$11:$H$15,0)),"No"))</f>
        <v/>
      </c>
      <c r="W787" s="37" t="str">
        <f aca="false">IF(Q787="","",IFERROR(INDEX(Settings!$J$11:$J$15,MATCH(Q787,Settings!$H$11:$H$15,0)),"No"))</f>
        <v/>
      </c>
    </row>
    <row r="788" customFormat="false" ht="15" hidden="false" customHeight="false" outlineLevel="0" collapsed="false">
      <c r="A788" s="30"/>
      <c r="B788" s="25"/>
      <c r="C788" s="25"/>
      <c r="D788" s="25"/>
      <c r="E788" s="25"/>
      <c r="F788" s="25"/>
      <c r="G788" s="25"/>
      <c r="H788" s="31"/>
      <c r="I788" s="32"/>
      <c r="J788" s="33"/>
      <c r="K788" s="34" t="str">
        <f aca="false">IF(OR(H788="",I788=""),"",H788*I788*(1-N(J788)))</f>
        <v/>
      </c>
      <c r="L788" s="32"/>
      <c r="M788" s="34" t="str">
        <f aca="false">IF(OR(H788="",L788=""),"",H788*L788)</f>
        <v/>
      </c>
      <c r="N788" s="34" t="str">
        <f aca="false">IF(OR(K788="",M788=""),"",K788-M788)</f>
        <v/>
      </c>
      <c r="O788" s="35" t="str">
        <f aca="false">IF(OR(N788="",K788=""),"",IF(K788=0,"",N788/K788))</f>
        <v/>
      </c>
      <c r="P788" s="25"/>
      <c r="Q788" s="25"/>
      <c r="R788" s="25"/>
      <c r="S788" s="36" t="str">
        <f aca="false">IF(A788="","",YEAR(A788)+IF(AND(FYStart&gt;1,MONTH(A788)&gt;=FYStart),1,0))</f>
        <v/>
      </c>
      <c r="T788" s="36" t="str">
        <f aca="false">IF(A788="","",MOD(MONTH(A788)-FYStart,12)+1)</f>
        <v/>
      </c>
      <c r="U788" s="37" t="str">
        <f aca="false">IF(A788="","",TEXT(A788,"mmm"))</f>
        <v/>
      </c>
      <c r="V788" s="37" t="str">
        <f aca="false">IF(Q788="","",IFERROR(INDEX(Settings!$I$11:$I$15,MATCH(Q788,Settings!$H$11:$H$15,0)),"No"))</f>
        <v/>
      </c>
      <c r="W788" s="37" t="str">
        <f aca="false">IF(Q788="","",IFERROR(INDEX(Settings!$J$11:$J$15,MATCH(Q788,Settings!$H$11:$H$15,0)),"No"))</f>
        <v/>
      </c>
    </row>
    <row r="789" customFormat="false" ht="15" hidden="false" customHeight="false" outlineLevel="0" collapsed="false">
      <c r="A789" s="30"/>
      <c r="B789" s="25"/>
      <c r="C789" s="25"/>
      <c r="D789" s="25"/>
      <c r="E789" s="25"/>
      <c r="F789" s="25"/>
      <c r="G789" s="25"/>
      <c r="H789" s="31"/>
      <c r="I789" s="32"/>
      <c r="J789" s="33"/>
      <c r="K789" s="34" t="str">
        <f aca="false">IF(OR(H789="",I789=""),"",H789*I789*(1-N(J789)))</f>
        <v/>
      </c>
      <c r="L789" s="32"/>
      <c r="M789" s="34" t="str">
        <f aca="false">IF(OR(H789="",L789=""),"",H789*L789)</f>
        <v/>
      </c>
      <c r="N789" s="34" t="str">
        <f aca="false">IF(OR(K789="",M789=""),"",K789-M789)</f>
        <v/>
      </c>
      <c r="O789" s="35" t="str">
        <f aca="false">IF(OR(N789="",K789=""),"",IF(K789=0,"",N789/K789))</f>
        <v/>
      </c>
      <c r="P789" s="25"/>
      <c r="Q789" s="25"/>
      <c r="R789" s="25"/>
      <c r="S789" s="36" t="str">
        <f aca="false">IF(A789="","",YEAR(A789)+IF(AND(FYStart&gt;1,MONTH(A789)&gt;=FYStart),1,0))</f>
        <v/>
      </c>
      <c r="T789" s="36" t="str">
        <f aca="false">IF(A789="","",MOD(MONTH(A789)-FYStart,12)+1)</f>
        <v/>
      </c>
      <c r="U789" s="37" t="str">
        <f aca="false">IF(A789="","",TEXT(A789,"mmm"))</f>
        <v/>
      </c>
      <c r="V789" s="37" t="str">
        <f aca="false">IF(Q789="","",IFERROR(INDEX(Settings!$I$11:$I$15,MATCH(Q789,Settings!$H$11:$H$15,0)),"No"))</f>
        <v/>
      </c>
      <c r="W789" s="37" t="str">
        <f aca="false">IF(Q789="","",IFERROR(INDEX(Settings!$J$11:$J$15,MATCH(Q789,Settings!$H$11:$H$15,0)),"No"))</f>
        <v/>
      </c>
    </row>
    <row r="790" customFormat="false" ht="15" hidden="false" customHeight="false" outlineLevel="0" collapsed="false">
      <c r="A790" s="30"/>
      <c r="B790" s="25"/>
      <c r="C790" s="25"/>
      <c r="D790" s="25"/>
      <c r="E790" s="25"/>
      <c r="F790" s="25"/>
      <c r="G790" s="25"/>
      <c r="H790" s="31"/>
      <c r="I790" s="32"/>
      <c r="J790" s="33"/>
      <c r="K790" s="34" t="str">
        <f aca="false">IF(OR(H790="",I790=""),"",H790*I790*(1-N(J790)))</f>
        <v/>
      </c>
      <c r="L790" s="32"/>
      <c r="M790" s="34" t="str">
        <f aca="false">IF(OR(H790="",L790=""),"",H790*L790)</f>
        <v/>
      </c>
      <c r="N790" s="34" t="str">
        <f aca="false">IF(OR(K790="",M790=""),"",K790-M790)</f>
        <v/>
      </c>
      <c r="O790" s="35" t="str">
        <f aca="false">IF(OR(N790="",K790=""),"",IF(K790=0,"",N790/K790))</f>
        <v/>
      </c>
      <c r="P790" s="25"/>
      <c r="Q790" s="25"/>
      <c r="R790" s="25"/>
      <c r="S790" s="36" t="str">
        <f aca="false">IF(A790="","",YEAR(A790)+IF(AND(FYStart&gt;1,MONTH(A790)&gt;=FYStart),1,0))</f>
        <v/>
      </c>
      <c r="T790" s="36" t="str">
        <f aca="false">IF(A790="","",MOD(MONTH(A790)-FYStart,12)+1)</f>
        <v/>
      </c>
      <c r="U790" s="37" t="str">
        <f aca="false">IF(A790="","",TEXT(A790,"mmm"))</f>
        <v/>
      </c>
      <c r="V790" s="37" t="str">
        <f aca="false">IF(Q790="","",IFERROR(INDEX(Settings!$I$11:$I$15,MATCH(Q790,Settings!$H$11:$H$15,0)),"No"))</f>
        <v/>
      </c>
      <c r="W790" s="37" t="str">
        <f aca="false">IF(Q790="","",IFERROR(INDEX(Settings!$J$11:$J$15,MATCH(Q790,Settings!$H$11:$H$15,0)),"No"))</f>
        <v/>
      </c>
    </row>
    <row r="791" customFormat="false" ht="15" hidden="false" customHeight="false" outlineLevel="0" collapsed="false">
      <c r="A791" s="30"/>
      <c r="B791" s="25"/>
      <c r="C791" s="25"/>
      <c r="D791" s="25"/>
      <c r="E791" s="25"/>
      <c r="F791" s="25"/>
      <c r="G791" s="25"/>
      <c r="H791" s="31"/>
      <c r="I791" s="32"/>
      <c r="J791" s="33"/>
      <c r="K791" s="34" t="str">
        <f aca="false">IF(OR(H791="",I791=""),"",H791*I791*(1-N(J791)))</f>
        <v/>
      </c>
      <c r="L791" s="32"/>
      <c r="M791" s="34" t="str">
        <f aca="false">IF(OR(H791="",L791=""),"",H791*L791)</f>
        <v/>
      </c>
      <c r="N791" s="34" t="str">
        <f aca="false">IF(OR(K791="",M791=""),"",K791-M791)</f>
        <v/>
      </c>
      <c r="O791" s="35" t="str">
        <f aca="false">IF(OR(N791="",K791=""),"",IF(K791=0,"",N791/K791))</f>
        <v/>
      </c>
      <c r="P791" s="25"/>
      <c r="Q791" s="25"/>
      <c r="R791" s="25"/>
      <c r="S791" s="36" t="str">
        <f aca="false">IF(A791="","",YEAR(A791)+IF(AND(FYStart&gt;1,MONTH(A791)&gt;=FYStart),1,0))</f>
        <v/>
      </c>
      <c r="T791" s="36" t="str">
        <f aca="false">IF(A791="","",MOD(MONTH(A791)-FYStart,12)+1)</f>
        <v/>
      </c>
      <c r="U791" s="37" t="str">
        <f aca="false">IF(A791="","",TEXT(A791,"mmm"))</f>
        <v/>
      </c>
      <c r="V791" s="37" t="str">
        <f aca="false">IF(Q791="","",IFERROR(INDEX(Settings!$I$11:$I$15,MATCH(Q791,Settings!$H$11:$H$15,0)),"No"))</f>
        <v/>
      </c>
      <c r="W791" s="37" t="str">
        <f aca="false">IF(Q791="","",IFERROR(INDEX(Settings!$J$11:$J$15,MATCH(Q791,Settings!$H$11:$H$15,0)),"No"))</f>
        <v/>
      </c>
    </row>
    <row r="792" customFormat="false" ht="15" hidden="false" customHeight="false" outlineLevel="0" collapsed="false">
      <c r="A792" s="30"/>
      <c r="B792" s="25"/>
      <c r="C792" s="25"/>
      <c r="D792" s="25"/>
      <c r="E792" s="25"/>
      <c r="F792" s="25"/>
      <c r="G792" s="25"/>
      <c r="H792" s="31"/>
      <c r="I792" s="32"/>
      <c r="J792" s="33"/>
      <c r="K792" s="34" t="str">
        <f aca="false">IF(OR(H792="",I792=""),"",H792*I792*(1-N(J792)))</f>
        <v/>
      </c>
      <c r="L792" s="32"/>
      <c r="M792" s="34" t="str">
        <f aca="false">IF(OR(H792="",L792=""),"",H792*L792)</f>
        <v/>
      </c>
      <c r="N792" s="34" t="str">
        <f aca="false">IF(OR(K792="",M792=""),"",K792-M792)</f>
        <v/>
      </c>
      <c r="O792" s="35" t="str">
        <f aca="false">IF(OR(N792="",K792=""),"",IF(K792=0,"",N792/K792))</f>
        <v/>
      </c>
      <c r="P792" s="25"/>
      <c r="Q792" s="25"/>
      <c r="R792" s="25"/>
      <c r="S792" s="36" t="str">
        <f aca="false">IF(A792="","",YEAR(A792)+IF(AND(FYStart&gt;1,MONTH(A792)&gt;=FYStart),1,0))</f>
        <v/>
      </c>
      <c r="T792" s="36" t="str">
        <f aca="false">IF(A792="","",MOD(MONTH(A792)-FYStart,12)+1)</f>
        <v/>
      </c>
      <c r="U792" s="37" t="str">
        <f aca="false">IF(A792="","",TEXT(A792,"mmm"))</f>
        <v/>
      </c>
      <c r="V792" s="37" t="str">
        <f aca="false">IF(Q792="","",IFERROR(INDEX(Settings!$I$11:$I$15,MATCH(Q792,Settings!$H$11:$H$15,0)),"No"))</f>
        <v/>
      </c>
      <c r="W792" s="37" t="str">
        <f aca="false">IF(Q792="","",IFERROR(INDEX(Settings!$J$11:$J$15,MATCH(Q792,Settings!$H$11:$H$15,0)),"No"))</f>
        <v/>
      </c>
    </row>
    <row r="793" customFormat="false" ht="15" hidden="false" customHeight="false" outlineLevel="0" collapsed="false">
      <c r="A793" s="30"/>
      <c r="B793" s="25"/>
      <c r="C793" s="25"/>
      <c r="D793" s="25"/>
      <c r="E793" s="25"/>
      <c r="F793" s="25"/>
      <c r="G793" s="25"/>
      <c r="H793" s="31"/>
      <c r="I793" s="32"/>
      <c r="J793" s="33"/>
      <c r="K793" s="34" t="str">
        <f aca="false">IF(OR(H793="",I793=""),"",H793*I793*(1-N(J793)))</f>
        <v/>
      </c>
      <c r="L793" s="32"/>
      <c r="M793" s="34" t="str">
        <f aca="false">IF(OR(H793="",L793=""),"",H793*L793)</f>
        <v/>
      </c>
      <c r="N793" s="34" t="str">
        <f aca="false">IF(OR(K793="",M793=""),"",K793-M793)</f>
        <v/>
      </c>
      <c r="O793" s="35" t="str">
        <f aca="false">IF(OR(N793="",K793=""),"",IF(K793=0,"",N793/K793))</f>
        <v/>
      </c>
      <c r="P793" s="25"/>
      <c r="Q793" s="25"/>
      <c r="R793" s="25"/>
      <c r="S793" s="36" t="str">
        <f aca="false">IF(A793="","",YEAR(A793)+IF(AND(FYStart&gt;1,MONTH(A793)&gt;=FYStart),1,0))</f>
        <v/>
      </c>
      <c r="T793" s="36" t="str">
        <f aca="false">IF(A793="","",MOD(MONTH(A793)-FYStart,12)+1)</f>
        <v/>
      </c>
      <c r="U793" s="37" t="str">
        <f aca="false">IF(A793="","",TEXT(A793,"mmm"))</f>
        <v/>
      </c>
      <c r="V793" s="37" t="str">
        <f aca="false">IF(Q793="","",IFERROR(INDEX(Settings!$I$11:$I$15,MATCH(Q793,Settings!$H$11:$H$15,0)),"No"))</f>
        <v/>
      </c>
      <c r="W793" s="37" t="str">
        <f aca="false">IF(Q793="","",IFERROR(INDEX(Settings!$J$11:$J$15,MATCH(Q793,Settings!$H$11:$H$15,0)),"No"))</f>
        <v/>
      </c>
    </row>
    <row r="794" customFormat="false" ht="15" hidden="false" customHeight="false" outlineLevel="0" collapsed="false">
      <c r="A794" s="30"/>
      <c r="B794" s="25"/>
      <c r="C794" s="25"/>
      <c r="D794" s="25"/>
      <c r="E794" s="25"/>
      <c r="F794" s="25"/>
      <c r="G794" s="25"/>
      <c r="H794" s="31"/>
      <c r="I794" s="32"/>
      <c r="J794" s="33"/>
      <c r="K794" s="34" t="str">
        <f aca="false">IF(OR(H794="",I794=""),"",H794*I794*(1-N(J794)))</f>
        <v/>
      </c>
      <c r="L794" s="32"/>
      <c r="M794" s="34" t="str">
        <f aca="false">IF(OR(H794="",L794=""),"",H794*L794)</f>
        <v/>
      </c>
      <c r="N794" s="34" t="str">
        <f aca="false">IF(OR(K794="",M794=""),"",K794-M794)</f>
        <v/>
      </c>
      <c r="O794" s="35" t="str">
        <f aca="false">IF(OR(N794="",K794=""),"",IF(K794=0,"",N794/K794))</f>
        <v/>
      </c>
      <c r="P794" s="25"/>
      <c r="Q794" s="25"/>
      <c r="R794" s="25"/>
      <c r="S794" s="36" t="str">
        <f aca="false">IF(A794="","",YEAR(A794)+IF(AND(FYStart&gt;1,MONTH(A794)&gt;=FYStart),1,0))</f>
        <v/>
      </c>
      <c r="T794" s="36" t="str">
        <f aca="false">IF(A794="","",MOD(MONTH(A794)-FYStart,12)+1)</f>
        <v/>
      </c>
      <c r="U794" s="37" t="str">
        <f aca="false">IF(A794="","",TEXT(A794,"mmm"))</f>
        <v/>
      </c>
      <c r="V794" s="37" t="str">
        <f aca="false">IF(Q794="","",IFERROR(INDEX(Settings!$I$11:$I$15,MATCH(Q794,Settings!$H$11:$H$15,0)),"No"))</f>
        <v/>
      </c>
      <c r="W794" s="37" t="str">
        <f aca="false">IF(Q794="","",IFERROR(INDEX(Settings!$J$11:$J$15,MATCH(Q794,Settings!$H$11:$H$15,0)),"No"))</f>
        <v/>
      </c>
    </row>
    <row r="795" customFormat="false" ht="15" hidden="false" customHeight="false" outlineLevel="0" collapsed="false">
      <c r="A795" s="30"/>
      <c r="B795" s="25"/>
      <c r="C795" s="25"/>
      <c r="D795" s="25"/>
      <c r="E795" s="25"/>
      <c r="F795" s="25"/>
      <c r="G795" s="25"/>
      <c r="H795" s="31"/>
      <c r="I795" s="32"/>
      <c r="J795" s="33"/>
      <c r="K795" s="34" t="str">
        <f aca="false">IF(OR(H795="",I795=""),"",H795*I795*(1-N(J795)))</f>
        <v/>
      </c>
      <c r="L795" s="32"/>
      <c r="M795" s="34" t="str">
        <f aca="false">IF(OR(H795="",L795=""),"",H795*L795)</f>
        <v/>
      </c>
      <c r="N795" s="34" t="str">
        <f aca="false">IF(OR(K795="",M795=""),"",K795-M795)</f>
        <v/>
      </c>
      <c r="O795" s="35" t="str">
        <f aca="false">IF(OR(N795="",K795=""),"",IF(K795=0,"",N795/K795))</f>
        <v/>
      </c>
      <c r="P795" s="25"/>
      <c r="Q795" s="25"/>
      <c r="R795" s="25"/>
      <c r="S795" s="36" t="str">
        <f aca="false">IF(A795="","",YEAR(A795)+IF(AND(FYStart&gt;1,MONTH(A795)&gt;=FYStart),1,0))</f>
        <v/>
      </c>
      <c r="T795" s="36" t="str">
        <f aca="false">IF(A795="","",MOD(MONTH(A795)-FYStart,12)+1)</f>
        <v/>
      </c>
      <c r="U795" s="37" t="str">
        <f aca="false">IF(A795="","",TEXT(A795,"mmm"))</f>
        <v/>
      </c>
      <c r="V795" s="37" t="str">
        <f aca="false">IF(Q795="","",IFERROR(INDEX(Settings!$I$11:$I$15,MATCH(Q795,Settings!$H$11:$H$15,0)),"No"))</f>
        <v/>
      </c>
      <c r="W795" s="37" t="str">
        <f aca="false">IF(Q795="","",IFERROR(INDEX(Settings!$J$11:$J$15,MATCH(Q795,Settings!$H$11:$H$15,0)),"No"))</f>
        <v/>
      </c>
    </row>
    <row r="796" customFormat="false" ht="15" hidden="false" customHeight="false" outlineLevel="0" collapsed="false">
      <c r="A796" s="30"/>
      <c r="B796" s="25"/>
      <c r="C796" s="25"/>
      <c r="D796" s="25"/>
      <c r="E796" s="25"/>
      <c r="F796" s="25"/>
      <c r="G796" s="25"/>
      <c r="H796" s="31"/>
      <c r="I796" s="32"/>
      <c r="J796" s="33"/>
      <c r="K796" s="34" t="str">
        <f aca="false">IF(OR(H796="",I796=""),"",H796*I796*(1-N(J796)))</f>
        <v/>
      </c>
      <c r="L796" s="32"/>
      <c r="M796" s="34" t="str">
        <f aca="false">IF(OR(H796="",L796=""),"",H796*L796)</f>
        <v/>
      </c>
      <c r="N796" s="34" t="str">
        <f aca="false">IF(OR(K796="",M796=""),"",K796-M796)</f>
        <v/>
      </c>
      <c r="O796" s="35" t="str">
        <f aca="false">IF(OR(N796="",K796=""),"",IF(K796=0,"",N796/K796))</f>
        <v/>
      </c>
      <c r="P796" s="25"/>
      <c r="Q796" s="25"/>
      <c r="R796" s="25"/>
      <c r="S796" s="36" t="str">
        <f aca="false">IF(A796="","",YEAR(A796)+IF(AND(FYStart&gt;1,MONTH(A796)&gt;=FYStart),1,0))</f>
        <v/>
      </c>
      <c r="T796" s="36" t="str">
        <f aca="false">IF(A796="","",MOD(MONTH(A796)-FYStart,12)+1)</f>
        <v/>
      </c>
      <c r="U796" s="37" t="str">
        <f aca="false">IF(A796="","",TEXT(A796,"mmm"))</f>
        <v/>
      </c>
      <c r="V796" s="37" t="str">
        <f aca="false">IF(Q796="","",IFERROR(INDEX(Settings!$I$11:$I$15,MATCH(Q796,Settings!$H$11:$H$15,0)),"No"))</f>
        <v/>
      </c>
      <c r="W796" s="37" t="str">
        <f aca="false">IF(Q796="","",IFERROR(INDEX(Settings!$J$11:$J$15,MATCH(Q796,Settings!$H$11:$H$15,0)),"No"))</f>
        <v/>
      </c>
    </row>
    <row r="797" customFormat="false" ht="15" hidden="false" customHeight="false" outlineLevel="0" collapsed="false">
      <c r="A797" s="30"/>
      <c r="B797" s="25"/>
      <c r="C797" s="25"/>
      <c r="D797" s="25"/>
      <c r="E797" s="25"/>
      <c r="F797" s="25"/>
      <c r="G797" s="25"/>
      <c r="H797" s="31"/>
      <c r="I797" s="32"/>
      <c r="J797" s="33"/>
      <c r="K797" s="34" t="str">
        <f aca="false">IF(OR(H797="",I797=""),"",H797*I797*(1-N(J797)))</f>
        <v/>
      </c>
      <c r="L797" s="32"/>
      <c r="M797" s="34" t="str">
        <f aca="false">IF(OR(H797="",L797=""),"",H797*L797)</f>
        <v/>
      </c>
      <c r="N797" s="34" t="str">
        <f aca="false">IF(OR(K797="",M797=""),"",K797-M797)</f>
        <v/>
      </c>
      <c r="O797" s="35" t="str">
        <f aca="false">IF(OR(N797="",K797=""),"",IF(K797=0,"",N797/K797))</f>
        <v/>
      </c>
      <c r="P797" s="25"/>
      <c r="Q797" s="25"/>
      <c r="R797" s="25"/>
      <c r="S797" s="36" t="str">
        <f aca="false">IF(A797="","",YEAR(A797)+IF(AND(FYStart&gt;1,MONTH(A797)&gt;=FYStart),1,0))</f>
        <v/>
      </c>
      <c r="T797" s="36" t="str">
        <f aca="false">IF(A797="","",MOD(MONTH(A797)-FYStart,12)+1)</f>
        <v/>
      </c>
      <c r="U797" s="37" t="str">
        <f aca="false">IF(A797="","",TEXT(A797,"mmm"))</f>
        <v/>
      </c>
      <c r="V797" s="37" t="str">
        <f aca="false">IF(Q797="","",IFERROR(INDEX(Settings!$I$11:$I$15,MATCH(Q797,Settings!$H$11:$H$15,0)),"No"))</f>
        <v/>
      </c>
      <c r="W797" s="37" t="str">
        <f aca="false">IF(Q797="","",IFERROR(INDEX(Settings!$J$11:$J$15,MATCH(Q797,Settings!$H$11:$H$15,0)),"No"))</f>
        <v/>
      </c>
    </row>
    <row r="798" customFormat="false" ht="15" hidden="false" customHeight="false" outlineLevel="0" collapsed="false">
      <c r="A798" s="30"/>
      <c r="B798" s="25"/>
      <c r="C798" s="25"/>
      <c r="D798" s="25"/>
      <c r="E798" s="25"/>
      <c r="F798" s="25"/>
      <c r="G798" s="25"/>
      <c r="H798" s="31"/>
      <c r="I798" s="32"/>
      <c r="J798" s="33"/>
      <c r="K798" s="34" t="str">
        <f aca="false">IF(OR(H798="",I798=""),"",H798*I798*(1-N(J798)))</f>
        <v/>
      </c>
      <c r="L798" s="32"/>
      <c r="M798" s="34" t="str">
        <f aca="false">IF(OR(H798="",L798=""),"",H798*L798)</f>
        <v/>
      </c>
      <c r="N798" s="34" t="str">
        <f aca="false">IF(OR(K798="",M798=""),"",K798-M798)</f>
        <v/>
      </c>
      <c r="O798" s="35" t="str">
        <f aca="false">IF(OR(N798="",K798=""),"",IF(K798=0,"",N798/K798))</f>
        <v/>
      </c>
      <c r="P798" s="25"/>
      <c r="Q798" s="25"/>
      <c r="R798" s="25"/>
      <c r="S798" s="36" t="str">
        <f aca="false">IF(A798="","",YEAR(A798)+IF(AND(FYStart&gt;1,MONTH(A798)&gt;=FYStart),1,0))</f>
        <v/>
      </c>
      <c r="T798" s="36" t="str">
        <f aca="false">IF(A798="","",MOD(MONTH(A798)-FYStart,12)+1)</f>
        <v/>
      </c>
      <c r="U798" s="37" t="str">
        <f aca="false">IF(A798="","",TEXT(A798,"mmm"))</f>
        <v/>
      </c>
      <c r="V798" s="37" t="str">
        <f aca="false">IF(Q798="","",IFERROR(INDEX(Settings!$I$11:$I$15,MATCH(Q798,Settings!$H$11:$H$15,0)),"No"))</f>
        <v/>
      </c>
      <c r="W798" s="37" t="str">
        <f aca="false">IF(Q798="","",IFERROR(INDEX(Settings!$J$11:$J$15,MATCH(Q798,Settings!$H$11:$H$15,0)),"No"))</f>
        <v/>
      </c>
    </row>
    <row r="799" customFormat="false" ht="15" hidden="false" customHeight="false" outlineLevel="0" collapsed="false">
      <c r="A799" s="30"/>
      <c r="B799" s="25"/>
      <c r="C799" s="25"/>
      <c r="D799" s="25"/>
      <c r="E799" s="25"/>
      <c r="F799" s="25"/>
      <c r="G799" s="25"/>
      <c r="H799" s="31"/>
      <c r="I799" s="32"/>
      <c r="J799" s="33"/>
      <c r="K799" s="34" t="str">
        <f aca="false">IF(OR(H799="",I799=""),"",H799*I799*(1-N(J799)))</f>
        <v/>
      </c>
      <c r="L799" s="32"/>
      <c r="M799" s="34" t="str">
        <f aca="false">IF(OR(H799="",L799=""),"",H799*L799)</f>
        <v/>
      </c>
      <c r="N799" s="34" t="str">
        <f aca="false">IF(OR(K799="",M799=""),"",K799-M799)</f>
        <v/>
      </c>
      <c r="O799" s="35" t="str">
        <f aca="false">IF(OR(N799="",K799=""),"",IF(K799=0,"",N799/K799))</f>
        <v/>
      </c>
      <c r="P799" s="25"/>
      <c r="Q799" s="25"/>
      <c r="R799" s="25"/>
      <c r="S799" s="36" t="str">
        <f aca="false">IF(A799="","",YEAR(A799)+IF(AND(FYStart&gt;1,MONTH(A799)&gt;=FYStart),1,0))</f>
        <v/>
      </c>
      <c r="T799" s="36" t="str">
        <f aca="false">IF(A799="","",MOD(MONTH(A799)-FYStart,12)+1)</f>
        <v/>
      </c>
      <c r="U799" s="37" t="str">
        <f aca="false">IF(A799="","",TEXT(A799,"mmm"))</f>
        <v/>
      </c>
      <c r="V799" s="37" t="str">
        <f aca="false">IF(Q799="","",IFERROR(INDEX(Settings!$I$11:$I$15,MATCH(Q799,Settings!$H$11:$H$15,0)),"No"))</f>
        <v/>
      </c>
      <c r="W799" s="37" t="str">
        <f aca="false">IF(Q799="","",IFERROR(INDEX(Settings!$J$11:$J$15,MATCH(Q799,Settings!$H$11:$H$15,0)),"No"))</f>
        <v/>
      </c>
    </row>
    <row r="800" customFormat="false" ht="15" hidden="false" customHeight="false" outlineLevel="0" collapsed="false">
      <c r="A800" s="30"/>
      <c r="B800" s="25"/>
      <c r="C800" s="25"/>
      <c r="D800" s="25"/>
      <c r="E800" s="25"/>
      <c r="F800" s="25"/>
      <c r="G800" s="25"/>
      <c r="H800" s="31"/>
      <c r="I800" s="32"/>
      <c r="J800" s="33"/>
      <c r="K800" s="34" t="str">
        <f aca="false">IF(OR(H800="",I800=""),"",H800*I800*(1-N(J800)))</f>
        <v/>
      </c>
      <c r="L800" s="32"/>
      <c r="M800" s="34" t="str">
        <f aca="false">IF(OR(H800="",L800=""),"",H800*L800)</f>
        <v/>
      </c>
      <c r="N800" s="34" t="str">
        <f aca="false">IF(OR(K800="",M800=""),"",K800-M800)</f>
        <v/>
      </c>
      <c r="O800" s="35" t="str">
        <f aca="false">IF(OR(N800="",K800=""),"",IF(K800=0,"",N800/K800))</f>
        <v/>
      </c>
      <c r="P800" s="25"/>
      <c r="Q800" s="25"/>
      <c r="R800" s="25"/>
      <c r="S800" s="36" t="str">
        <f aca="false">IF(A800="","",YEAR(A800)+IF(AND(FYStart&gt;1,MONTH(A800)&gt;=FYStart),1,0))</f>
        <v/>
      </c>
      <c r="T800" s="36" t="str">
        <f aca="false">IF(A800="","",MOD(MONTH(A800)-FYStart,12)+1)</f>
        <v/>
      </c>
      <c r="U800" s="37" t="str">
        <f aca="false">IF(A800="","",TEXT(A800,"mmm"))</f>
        <v/>
      </c>
      <c r="V800" s="37" t="str">
        <f aca="false">IF(Q800="","",IFERROR(INDEX(Settings!$I$11:$I$15,MATCH(Q800,Settings!$H$11:$H$15,0)),"No"))</f>
        <v/>
      </c>
      <c r="W800" s="37" t="str">
        <f aca="false">IF(Q800="","",IFERROR(INDEX(Settings!$J$11:$J$15,MATCH(Q800,Settings!$H$11:$H$15,0)),"No"))</f>
        <v/>
      </c>
    </row>
    <row r="801" customFormat="false" ht="15" hidden="false" customHeight="false" outlineLevel="0" collapsed="false">
      <c r="A801" s="30"/>
      <c r="B801" s="25"/>
      <c r="C801" s="25"/>
      <c r="D801" s="25"/>
      <c r="E801" s="25"/>
      <c r="F801" s="25"/>
      <c r="G801" s="25"/>
      <c r="H801" s="31"/>
      <c r="I801" s="32"/>
      <c r="J801" s="33"/>
      <c r="K801" s="34" t="str">
        <f aca="false">IF(OR(H801="",I801=""),"",H801*I801*(1-N(J801)))</f>
        <v/>
      </c>
      <c r="L801" s="32"/>
      <c r="M801" s="34" t="str">
        <f aca="false">IF(OR(H801="",L801=""),"",H801*L801)</f>
        <v/>
      </c>
      <c r="N801" s="34" t="str">
        <f aca="false">IF(OR(K801="",M801=""),"",K801-M801)</f>
        <v/>
      </c>
      <c r="O801" s="35" t="str">
        <f aca="false">IF(OR(N801="",K801=""),"",IF(K801=0,"",N801/K801))</f>
        <v/>
      </c>
      <c r="P801" s="25"/>
      <c r="Q801" s="25"/>
      <c r="R801" s="25"/>
      <c r="S801" s="36" t="str">
        <f aca="false">IF(A801="","",YEAR(A801)+IF(AND(FYStart&gt;1,MONTH(A801)&gt;=FYStart),1,0))</f>
        <v/>
      </c>
      <c r="T801" s="36" t="str">
        <f aca="false">IF(A801="","",MOD(MONTH(A801)-FYStart,12)+1)</f>
        <v/>
      </c>
      <c r="U801" s="37" t="str">
        <f aca="false">IF(A801="","",TEXT(A801,"mmm"))</f>
        <v/>
      </c>
      <c r="V801" s="37" t="str">
        <f aca="false">IF(Q801="","",IFERROR(INDEX(Settings!$I$11:$I$15,MATCH(Q801,Settings!$H$11:$H$15,0)),"No"))</f>
        <v/>
      </c>
      <c r="W801" s="37" t="str">
        <f aca="false">IF(Q801="","",IFERROR(INDEX(Settings!$J$11:$J$15,MATCH(Q801,Settings!$H$11:$H$15,0)),"No"))</f>
        <v/>
      </c>
    </row>
    <row r="802" customFormat="false" ht="15" hidden="false" customHeight="false" outlineLevel="0" collapsed="false">
      <c r="A802" s="30"/>
      <c r="B802" s="25"/>
      <c r="C802" s="25"/>
      <c r="D802" s="25"/>
      <c r="E802" s="25"/>
      <c r="F802" s="25"/>
      <c r="G802" s="25"/>
      <c r="H802" s="31"/>
      <c r="I802" s="32"/>
      <c r="J802" s="33"/>
      <c r="K802" s="34" t="str">
        <f aca="false">IF(OR(H802="",I802=""),"",H802*I802*(1-N(J802)))</f>
        <v/>
      </c>
      <c r="L802" s="32"/>
      <c r="M802" s="34" t="str">
        <f aca="false">IF(OR(H802="",L802=""),"",H802*L802)</f>
        <v/>
      </c>
      <c r="N802" s="34" t="str">
        <f aca="false">IF(OR(K802="",M802=""),"",K802-M802)</f>
        <v/>
      </c>
      <c r="O802" s="35" t="str">
        <f aca="false">IF(OR(N802="",K802=""),"",IF(K802=0,"",N802/K802))</f>
        <v/>
      </c>
      <c r="P802" s="25"/>
      <c r="Q802" s="25"/>
      <c r="R802" s="25"/>
      <c r="S802" s="36" t="str">
        <f aca="false">IF(A802="","",YEAR(A802)+IF(AND(FYStart&gt;1,MONTH(A802)&gt;=FYStart),1,0))</f>
        <v/>
      </c>
      <c r="T802" s="36" t="str">
        <f aca="false">IF(A802="","",MOD(MONTH(A802)-FYStart,12)+1)</f>
        <v/>
      </c>
      <c r="U802" s="37" t="str">
        <f aca="false">IF(A802="","",TEXT(A802,"mmm"))</f>
        <v/>
      </c>
      <c r="V802" s="37" t="str">
        <f aca="false">IF(Q802="","",IFERROR(INDEX(Settings!$I$11:$I$15,MATCH(Q802,Settings!$H$11:$H$15,0)),"No"))</f>
        <v/>
      </c>
      <c r="W802" s="37" t="str">
        <f aca="false">IF(Q802="","",IFERROR(INDEX(Settings!$J$11:$J$15,MATCH(Q802,Settings!$H$11:$H$15,0)),"No"))</f>
        <v/>
      </c>
    </row>
    <row r="803" customFormat="false" ht="15" hidden="false" customHeight="false" outlineLevel="0" collapsed="false">
      <c r="A803" s="30"/>
      <c r="B803" s="25"/>
      <c r="C803" s="25"/>
      <c r="D803" s="25"/>
      <c r="E803" s="25"/>
      <c r="F803" s="25"/>
      <c r="G803" s="25"/>
      <c r="H803" s="31"/>
      <c r="I803" s="32"/>
      <c r="J803" s="33"/>
      <c r="K803" s="34" t="str">
        <f aca="false">IF(OR(H803="",I803=""),"",H803*I803*(1-N(J803)))</f>
        <v/>
      </c>
      <c r="L803" s="32"/>
      <c r="M803" s="34" t="str">
        <f aca="false">IF(OR(H803="",L803=""),"",H803*L803)</f>
        <v/>
      </c>
      <c r="N803" s="34" t="str">
        <f aca="false">IF(OR(K803="",M803=""),"",K803-M803)</f>
        <v/>
      </c>
      <c r="O803" s="35" t="str">
        <f aca="false">IF(OR(N803="",K803=""),"",IF(K803=0,"",N803/K803))</f>
        <v/>
      </c>
      <c r="P803" s="25"/>
      <c r="Q803" s="25"/>
      <c r="R803" s="25"/>
      <c r="S803" s="36" t="str">
        <f aca="false">IF(A803="","",YEAR(A803)+IF(AND(FYStart&gt;1,MONTH(A803)&gt;=FYStart),1,0))</f>
        <v/>
      </c>
      <c r="T803" s="36" t="str">
        <f aca="false">IF(A803="","",MOD(MONTH(A803)-FYStart,12)+1)</f>
        <v/>
      </c>
      <c r="U803" s="37" t="str">
        <f aca="false">IF(A803="","",TEXT(A803,"mmm"))</f>
        <v/>
      </c>
      <c r="V803" s="37" t="str">
        <f aca="false">IF(Q803="","",IFERROR(INDEX(Settings!$I$11:$I$15,MATCH(Q803,Settings!$H$11:$H$15,0)),"No"))</f>
        <v/>
      </c>
      <c r="W803" s="37" t="str">
        <f aca="false">IF(Q803="","",IFERROR(INDEX(Settings!$J$11:$J$15,MATCH(Q803,Settings!$H$11:$H$15,0)),"No"))</f>
        <v/>
      </c>
    </row>
    <row r="804" customFormat="false" ht="15" hidden="false" customHeight="false" outlineLevel="0" collapsed="false">
      <c r="A804" s="30"/>
      <c r="B804" s="25"/>
      <c r="C804" s="25"/>
      <c r="D804" s="25"/>
      <c r="E804" s="25"/>
      <c r="F804" s="25"/>
      <c r="G804" s="25"/>
      <c r="H804" s="31"/>
      <c r="I804" s="32"/>
      <c r="J804" s="33"/>
      <c r="K804" s="34" t="str">
        <f aca="false">IF(OR(H804="",I804=""),"",H804*I804*(1-N(J804)))</f>
        <v/>
      </c>
      <c r="L804" s="32"/>
      <c r="M804" s="34" t="str">
        <f aca="false">IF(OR(H804="",L804=""),"",H804*L804)</f>
        <v/>
      </c>
      <c r="N804" s="34" t="str">
        <f aca="false">IF(OR(K804="",M804=""),"",K804-M804)</f>
        <v/>
      </c>
      <c r="O804" s="35" t="str">
        <f aca="false">IF(OR(N804="",K804=""),"",IF(K804=0,"",N804/K804))</f>
        <v/>
      </c>
      <c r="P804" s="25"/>
      <c r="Q804" s="25"/>
      <c r="R804" s="25"/>
      <c r="S804" s="36" t="str">
        <f aca="false">IF(A804="","",YEAR(A804)+IF(AND(FYStart&gt;1,MONTH(A804)&gt;=FYStart),1,0))</f>
        <v/>
      </c>
      <c r="T804" s="36" t="str">
        <f aca="false">IF(A804="","",MOD(MONTH(A804)-FYStart,12)+1)</f>
        <v/>
      </c>
      <c r="U804" s="37" t="str">
        <f aca="false">IF(A804="","",TEXT(A804,"mmm"))</f>
        <v/>
      </c>
      <c r="V804" s="37" t="str">
        <f aca="false">IF(Q804="","",IFERROR(INDEX(Settings!$I$11:$I$15,MATCH(Q804,Settings!$H$11:$H$15,0)),"No"))</f>
        <v/>
      </c>
      <c r="W804" s="37" t="str">
        <f aca="false">IF(Q804="","",IFERROR(INDEX(Settings!$J$11:$J$15,MATCH(Q804,Settings!$H$11:$H$15,0)),"No"))</f>
        <v/>
      </c>
    </row>
    <row r="805" customFormat="false" ht="15" hidden="false" customHeight="false" outlineLevel="0" collapsed="false">
      <c r="A805" s="30"/>
      <c r="B805" s="25"/>
      <c r="C805" s="25"/>
      <c r="D805" s="25"/>
      <c r="E805" s="25"/>
      <c r="F805" s="25"/>
      <c r="G805" s="25"/>
      <c r="H805" s="31"/>
      <c r="I805" s="32"/>
      <c r="J805" s="33"/>
      <c r="K805" s="34" t="str">
        <f aca="false">IF(OR(H805="",I805=""),"",H805*I805*(1-N(J805)))</f>
        <v/>
      </c>
      <c r="L805" s="32"/>
      <c r="M805" s="34" t="str">
        <f aca="false">IF(OR(H805="",L805=""),"",H805*L805)</f>
        <v/>
      </c>
      <c r="N805" s="34" t="str">
        <f aca="false">IF(OR(K805="",M805=""),"",K805-M805)</f>
        <v/>
      </c>
      <c r="O805" s="35" t="str">
        <f aca="false">IF(OR(N805="",K805=""),"",IF(K805=0,"",N805/K805))</f>
        <v/>
      </c>
      <c r="P805" s="25"/>
      <c r="Q805" s="25"/>
      <c r="R805" s="25"/>
      <c r="S805" s="36" t="str">
        <f aca="false">IF(A805="","",YEAR(A805)+IF(AND(FYStart&gt;1,MONTH(A805)&gt;=FYStart),1,0))</f>
        <v/>
      </c>
      <c r="T805" s="36" t="str">
        <f aca="false">IF(A805="","",MOD(MONTH(A805)-FYStart,12)+1)</f>
        <v/>
      </c>
      <c r="U805" s="37" t="str">
        <f aca="false">IF(A805="","",TEXT(A805,"mmm"))</f>
        <v/>
      </c>
      <c r="V805" s="37" t="str">
        <f aca="false">IF(Q805="","",IFERROR(INDEX(Settings!$I$11:$I$15,MATCH(Q805,Settings!$H$11:$H$15,0)),"No"))</f>
        <v/>
      </c>
      <c r="W805" s="37" t="str">
        <f aca="false">IF(Q805="","",IFERROR(INDEX(Settings!$J$11:$J$15,MATCH(Q805,Settings!$H$11:$H$15,0)),"No"))</f>
        <v/>
      </c>
    </row>
    <row r="806" customFormat="false" ht="15" hidden="false" customHeight="false" outlineLevel="0" collapsed="false">
      <c r="A806" s="30"/>
      <c r="B806" s="25"/>
      <c r="C806" s="25"/>
      <c r="D806" s="25"/>
      <c r="E806" s="25"/>
      <c r="F806" s="25"/>
      <c r="G806" s="25"/>
      <c r="H806" s="31"/>
      <c r="I806" s="32"/>
      <c r="J806" s="33"/>
      <c r="K806" s="34" t="str">
        <f aca="false">IF(OR(H806="",I806=""),"",H806*I806*(1-N(J806)))</f>
        <v/>
      </c>
      <c r="L806" s="32"/>
      <c r="M806" s="34" t="str">
        <f aca="false">IF(OR(H806="",L806=""),"",H806*L806)</f>
        <v/>
      </c>
      <c r="N806" s="34" t="str">
        <f aca="false">IF(OR(K806="",M806=""),"",K806-M806)</f>
        <v/>
      </c>
      <c r="O806" s="35" t="str">
        <f aca="false">IF(OR(N806="",K806=""),"",IF(K806=0,"",N806/K806))</f>
        <v/>
      </c>
      <c r="P806" s="25"/>
      <c r="Q806" s="25"/>
      <c r="R806" s="25"/>
      <c r="S806" s="36" t="str">
        <f aca="false">IF(A806="","",YEAR(A806)+IF(AND(FYStart&gt;1,MONTH(A806)&gt;=FYStart),1,0))</f>
        <v/>
      </c>
      <c r="T806" s="36" t="str">
        <f aca="false">IF(A806="","",MOD(MONTH(A806)-FYStart,12)+1)</f>
        <v/>
      </c>
      <c r="U806" s="37" t="str">
        <f aca="false">IF(A806="","",TEXT(A806,"mmm"))</f>
        <v/>
      </c>
      <c r="V806" s="37" t="str">
        <f aca="false">IF(Q806="","",IFERROR(INDEX(Settings!$I$11:$I$15,MATCH(Q806,Settings!$H$11:$H$15,0)),"No"))</f>
        <v/>
      </c>
      <c r="W806" s="37" t="str">
        <f aca="false">IF(Q806="","",IFERROR(INDEX(Settings!$J$11:$J$15,MATCH(Q806,Settings!$H$11:$H$15,0)),"No"))</f>
        <v/>
      </c>
    </row>
    <row r="807" customFormat="false" ht="15" hidden="false" customHeight="false" outlineLevel="0" collapsed="false">
      <c r="A807" s="30"/>
      <c r="B807" s="25"/>
      <c r="C807" s="25"/>
      <c r="D807" s="25"/>
      <c r="E807" s="25"/>
      <c r="F807" s="25"/>
      <c r="G807" s="25"/>
      <c r="H807" s="31"/>
      <c r="I807" s="32"/>
      <c r="J807" s="33"/>
      <c r="K807" s="34" t="str">
        <f aca="false">IF(OR(H807="",I807=""),"",H807*I807*(1-N(J807)))</f>
        <v/>
      </c>
      <c r="L807" s="32"/>
      <c r="M807" s="34" t="str">
        <f aca="false">IF(OR(H807="",L807=""),"",H807*L807)</f>
        <v/>
      </c>
      <c r="N807" s="34" t="str">
        <f aca="false">IF(OR(K807="",M807=""),"",K807-M807)</f>
        <v/>
      </c>
      <c r="O807" s="35" t="str">
        <f aca="false">IF(OR(N807="",K807=""),"",IF(K807=0,"",N807/K807))</f>
        <v/>
      </c>
      <c r="P807" s="25"/>
      <c r="Q807" s="25"/>
      <c r="R807" s="25"/>
      <c r="S807" s="36" t="str">
        <f aca="false">IF(A807="","",YEAR(A807)+IF(AND(FYStart&gt;1,MONTH(A807)&gt;=FYStart),1,0))</f>
        <v/>
      </c>
      <c r="T807" s="36" t="str">
        <f aca="false">IF(A807="","",MOD(MONTH(A807)-FYStart,12)+1)</f>
        <v/>
      </c>
      <c r="U807" s="37" t="str">
        <f aca="false">IF(A807="","",TEXT(A807,"mmm"))</f>
        <v/>
      </c>
      <c r="V807" s="37" t="str">
        <f aca="false">IF(Q807="","",IFERROR(INDEX(Settings!$I$11:$I$15,MATCH(Q807,Settings!$H$11:$H$15,0)),"No"))</f>
        <v/>
      </c>
      <c r="W807" s="37" t="str">
        <f aca="false">IF(Q807="","",IFERROR(INDEX(Settings!$J$11:$J$15,MATCH(Q807,Settings!$H$11:$H$15,0)),"No"))</f>
        <v/>
      </c>
    </row>
    <row r="808" customFormat="false" ht="15" hidden="false" customHeight="false" outlineLevel="0" collapsed="false">
      <c r="A808" s="30"/>
      <c r="B808" s="25"/>
      <c r="C808" s="25"/>
      <c r="D808" s="25"/>
      <c r="E808" s="25"/>
      <c r="F808" s="25"/>
      <c r="G808" s="25"/>
      <c r="H808" s="31"/>
      <c r="I808" s="32"/>
      <c r="J808" s="33"/>
      <c r="K808" s="34" t="str">
        <f aca="false">IF(OR(H808="",I808=""),"",H808*I808*(1-N(J808)))</f>
        <v/>
      </c>
      <c r="L808" s="32"/>
      <c r="M808" s="34" t="str">
        <f aca="false">IF(OR(H808="",L808=""),"",H808*L808)</f>
        <v/>
      </c>
      <c r="N808" s="34" t="str">
        <f aca="false">IF(OR(K808="",M808=""),"",K808-M808)</f>
        <v/>
      </c>
      <c r="O808" s="35" t="str">
        <f aca="false">IF(OR(N808="",K808=""),"",IF(K808=0,"",N808/K808))</f>
        <v/>
      </c>
      <c r="P808" s="25"/>
      <c r="Q808" s="25"/>
      <c r="R808" s="25"/>
      <c r="S808" s="36" t="str">
        <f aca="false">IF(A808="","",YEAR(A808)+IF(AND(FYStart&gt;1,MONTH(A808)&gt;=FYStart),1,0))</f>
        <v/>
      </c>
      <c r="T808" s="36" t="str">
        <f aca="false">IF(A808="","",MOD(MONTH(A808)-FYStart,12)+1)</f>
        <v/>
      </c>
      <c r="U808" s="37" t="str">
        <f aca="false">IF(A808="","",TEXT(A808,"mmm"))</f>
        <v/>
      </c>
      <c r="V808" s="37" t="str">
        <f aca="false">IF(Q808="","",IFERROR(INDEX(Settings!$I$11:$I$15,MATCH(Q808,Settings!$H$11:$H$15,0)),"No"))</f>
        <v/>
      </c>
      <c r="W808" s="37" t="str">
        <f aca="false">IF(Q808="","",IFERROR(INDEX(Settings!$J$11:$J$15,MATCH(Q808,Settings!$H$11:$H$15,0)),"No"))</f>
        <v/>
      </c>
    </row>
    <row r="809" customFormat="false" ht="15" hidden="false" customHeight="false" outlineLevel="0" collapsed="false">
      <c r="A809" s="30"/>
      <c r="B809" s="25"/>
      <c r="C809" s="25"/>
      <c r="D809" s="25"/>
      <c r="E809" s="25"/>
      <c r="F809" s="25"/>
      <c r="G809" s="25"/>
      <c r="H809" s="31"/>
      <c r="I809" s="32"/>
      <c r="J809" s="33"/>
      <c r="K809" s="34" t="str">
        <f aca="false">IF(OR(H809="",I809=""),"",H809*I809*(1-N(J809)))</f>
        <v/>
      </c>
      <c r="L809" s="32"/>
      <c r="M809" s="34" t="str">
        <f aca="false">IF(OR(H809="",L809=""),"",H809*L809)</f>
        <v/>
      </c>
      <c r="N809" s="34" t="str">
        <f aca="false">IF(OR(K809="",M809=""),"",K809-M809)</f>
        <v/>
      </c>
      <c r="O809" s="35" t="str">
        <f aca="false">IF(OR(N809="",K809=""),"",IF(K809=0,"",N809/K809))</f>
        <v/>
      </c>
      <c r="P809" s="25"/>
      <c r="Q809" s="25"/>
      <c r="R809" s="25"/>
      <c r="S809" s="36" t="str">
        <f aca="false">IF(A809="","",YEAR(A809)+IF(AND(FYStart&gt;1,MONTH(A809)&gt;=FYStart),1,0))</f>
        <v/>
      </c>
      <c r="T809" s="36" t="str">
        <f aca="false">IF(A809="","",MOD(MONTH(A809)-FYStart,12)+1)</f>
        <v/>
      </c>
      <c r="U809" s="37" t="str">
        <f aca="false">IF(A809="","",TEXT(A809,"mmm"))</f>
        <v/>
      </c>
      <c r="V809" s="37" t="str">
        <f aca="false">IF(Q809="","",IFERROR(INDEX(Settings!$I$11:$I$15,MATCH(Q809,Settings!$H$11:$H$15,0)),"No"))</f>
        <v/>
      </c>
      <c r="W809" s="37" t="str">
        <f aca="false">IF(Q809="","",IFERROR(INDEX(Settings!$J$11:$J$15,MATCH(Q809,Settings!$H$11:$H$15,0)),"No"))</f>
        <v/>
      </c>
    </row>
    <row r="810" customFormat="false" ht="15" hidden="false" customHeight="false" outlineLevel="0" collapsed="false">
      <c r="A810" s="30"/>
      <c r="B810" s="25"/>
      <c r="C810" s="25"/>
      <c r="D810" s="25"/>
      <c r="E810" s="25"/>
      <c r="F810" s="25"/>
      <c r="G810" s="25"/>
      <c r="H810" s="31"/>
      <c r="I810" s="32"/>
      <c r="J810" s="33"/>
      <c r="K810" s="34" t="str">
        <f aca="false">IF(OR(H810="",I810=""),"",H810*I810*(1-N(J810)))</f>
        <v/>
      </c>
      <c r="L810" s="32"/>
      <c r="M810" s="34" t="str">
        <f aca="false">IF(OR(H810="",L810=""),"",H810*L810)</f>
        <v/>
      </c>
      <c r="N810" s="34" t="str">
        <f aca="false">IF(OR(K810="",M810=""),"",K810-M810)</f>
        <v/>
      </c>
      <c r="O810" s="35" t="str">
        <f aca="false">IF(OR(N810="",K810=""),"",IF(K810=0,"",N810/K810))</f>
        <v/>
      </c>
      <c r="P810" s="25"/>
      <c r="Q810" s="25"/>
      <c r="R810" s="25"/>
      <c r="S810" s="36" t="str">
        <f aca="false">IF(A810="","",YEAR(A810)+IF(AND(FYStart&gt;1,MONTH(A810)&gt;=FYStart),1,0))</f>
        <v/>
      </c>
      <c r="T810" s="36" t="str">
        <f aca="false">IF(A810="","",MOD(MONTH(A810)-FYStart,12)+1)</f>
        <v/>
      </c>
      <c r="U810" s="37" t="str">
        <f aca="false">IF(A810="","",TEXT(A810,"mmm"))</f>
        <v/>
      </c>
      <c r="V810" s="37" t="str">
        <f aca="false">IF(Q810="","",IFERROR(INDEX(Settings!$I$11:$I$15,MATCH(Q810,Settings!$H$11:$H$15,0)),"No"))</f>
        <v/>
      </c>
      <c r="W810" s="37" t="str">
        <f aca="false">IF(Q810="","",IFERROR(INDEX(Settings!$J$11:$J$15,MATCH(Q810,Settings!$H$11:$H$15,0)),"No"))</f>
        <v/>
      </c>
    </row>
    <row r="811" customFormat="false" ht="15" hidden="false" customHeight="false" outlineLevel="0" collapsed="false">
      <c r="A811" s="30"/>
      <c r="B811" s="25"/>
      <c r="C811" s="25"/>
      <c r="D811" s="25"/>
      <c r="E811" s="25"/>
      <c r="F811" s="25"/>
      <c r="G811" s="25"/>
      <c r="H811" s="31"/>
      <c r="I811" s="32"/>
      <c r="J811" s="33"/>
      <c r="K811" s="34" t="str">
        <f aca="false">IF(OR(H811="",I811=""),"",H811*I811*(1-N(J811)))</f>
        <v/>
      </c>
      <c r="L811" s="32"/>
      <c r="M811" s="34" t="str">
        <f aca="false">IF(OR(H811="",L811=""),"",H811*L811)</f>
        <v/>
      </c>
      <c r="N811" s="34" t="str">
        <f aca="false">IF(OR(K811="",M811=""),"",K811-M811)</f>
        <v/>
      </c>
      <c r="O811" s="35" t="str">
        <f aca="false">IF(OR(N811="",K811=""),"",IF(K811=0,"",N811/K811))</f>
        <v/>
      </c>
      <c r="P811" s="25"/>
      <c r="Q811" s="25"/>
      <c r="R811" s="25"/>
      <c r="S811" s="36" t="str">
        <f aca="false">IF(A811="","",YEAR(A811)+IF(AND(FYStart&gt;1,MONTH(A811)&gt;=FYStart),1,0))</f>
        <v/>
      </c>
      <c r="T811" s="36" t="str">
        <f aca="false">IF(A811="","",MOD(MONTH(A811)-FYStart,12)+1)</f>
        <v/>
      </c>
      <c r="U811" s="37" t="str">
        <f aca="false">IF(A811="","",TEXT(A811,"mmm"))</f>
        <v/>
      </c>
      <c r="V811" s="37" t="str">
        <f aca="false">IF(Q811="","",IFERROR(INDEX(Settings!$I$11:$I$15,MATCH(Q811,Settings!$H$11:$H$15,0)),"No"))</f>
        <v/>
      </c>
      <c r="W811" s="37" t="str">
        <f aca="false">IF(Q811="","",IFERROR(INDEX(Settings!$J$11:$J$15,MATCH(Q811,Settings!$H$11:$H$15,0)),"No"))</f>
        <v/>
      </c>
    </row>
    <row r="812" customFormat="false" ht="15" hidden="false" customHeight="false" outlineLevel="0" collapsed="false">
      <c r="A812" s="30"/>
      <c r="B812" s="25"/>
      <c r="C812" s="25"/>
      <c r="D812" s="25"/>
      <c r="E812" s="25"/>
      <c r="F812" s="25"/>
      <c r="G812" s="25"/>
      <c r="H812" s="31"/>
      <c r="I812" s="32"/>
      <c r="J812" s="33"/>
      <c r="K812" s="34" t="str">
        <f aca="false">IF(OR(H812="",I812=""),"",H812*I812*(1-N(J812)))</f>
        <v/>
      </c>
      <c r="L812" s="32"/>
      <c r="M812" s="34" t="str">
        <f aca="false">IF(OR(H812="",L812=""),"",H812*L812)</f>
        <v/>
      </c>
      <c r="N812" s="34" t="str">
        <f aca="false">IF(OR(K812="",M812=""),"",K812-M812)</f>
        <v/>
      </c>
      <c r="O812" s="35" t="str">
        <f aca="false">IF(OR(N812="",K812=""),"",IF(K812=0,"",N812/K812))</f>
        <v/>
      </c>
      <c r="P812" s="25"/>
      <c r="Q812" s="25"/>
      <c r="R812" s="25"/>
      <c r="S812" s="36" t="str">
        <f aca="false">IF(A812="","",YEAR(A812)+IF(AND(FYStart&gt;1,MONTH(A812)&gt;=FYStart),1,0))</f>
        <v/>
      </c>
      <c r="T812" s="36" t="str">
        <f aca="false">IF(A812="","",MOD(MONTH(A812)-FYStart,12)+1)</f>
        <v/>
      </c>
      <c r="U812" s="37" t="str">
        <f aca="false">IF(A812="","",TEXT(A812,"mmm"))</f>
        <v/>
      </c>
      <c r="V812" s="37" t="str">
        <f aca="false">IF(Q812="","",IFERROR(INDEX(Settings!$I$11:$I$15,MATCH(Q812,Settings!$H$11:$H$15,0)),"No"))</f>
        <v/>
      </c>
      <c r="W812" s="37" t="str">
        <f aca="false">IF(Q812="","",IFERROR(INDEX(Settings!$J$11:$J$15,MATCH(Q812,Settings!$H$11:$H$15,0)),"No"))</f>
        <v/>
      </c>
    </row>
    <row r="813" customFormat="false" ht="15" hidden="false" customHeight="false" outlineLevel="0" collapsed="false">
      <c r="A813" s="30"/>
      <c r="B813" s="25"/>
      <c r="C813" s="25"/>
      <c r="D813" s="25"/>
      <c r="E813" s="25"/>
      <c r="F813" s="25"/>
      <c r="G813" s="25"/>
      <c r="H813" s="31"/>
      <c r="I813" s="32"/>
      <c r="J813" s="33"/>
      <c r="K813" s="34" t="str">
        <f aca="false">IF(OR(H813="",I813=""),"",H813*I813*(1-N(J813)))</f>
        <v/>
      </c>
      <c r="L813" s="32"/>
      <c r="M813" s="34" t="str">
        <f aca="false">IF(OR(H813="",L813=""),"",H813*L813)</f>
        <v/>
      </c>
      <c r="N813" s="34" t="str">
        <f aca="false">IF(OR(K813="",M813=""),"",K813-M813)</f>
        <v/>
      </c>
      <c r="O813" s="35" t="str">
        <f aca="false">IF(OR(N813="",K813=""),"",IF(K813=0,"",N813/K813))</f>
        <v/>
      </c>
      <c r="P813" s="25"/>
      <c r="Q813" s="25"/>
      <c r="R813" s="25"/>
      <c r="S813" s="36" t="str">
        <f aca="false">IF(A813="","",YEAR(A813)+IF(AND(FYStart&gt;1,MONTH(A813)&gt;=FYStart),1,0))</f>
        <v/>
      </c>
      <c r="T813" s="36" t="str">
        <f aca="false">IF(A813="","",MOD(MONTH(A813)-FYStart,12)+1)</f>
        <v/>
      </c>
      <c r="U813" s="37" t="str">
        <f aca="false">IF(A813="","",TEXT(A813,"mmm"))</f>
        <v/>
      </c>
      <c r="V813" s="37" t="str">
        <f aca="false">IF(Q813="","",IFERROR(INDEX(Settings!$I$11:$I$15,MATCH(Q813,Settings!$H$11:$H$15,0)),"No"))</f>
        <v/>
      </c>
      <c r="W813" s="37" t="str">
        <f aca="false">IF(Q813="","",IFERROR(INDEX(Settings!$J$11:$J$15,MATCH(Q813,Settings!$H$11:$H$15,0)),"No"))</f>
        <v/>
      </c>
    </row>
    <row r="814" customFormat="false" ht="15" hidden="false" customHeight="false" outlineLevel="0" collapsed="false">
      <c r="A814" s="30"/>
      <c r="B814" s="25"/>
      <c r="C814" s="25"/>
      <c r="D814" s="25"/>
      <c r="E814" s="25"/>
      <c r="F814" s="25"/>
      <c r="G814" s="25"/>
      <c r="H814" s="31"/>
      <c r="I814" s="32"/>
      <c r="J814" s="33"/>
      <c r="K814" s="34" t="str">
        <f aca="false">IF(OR(H814="",I814=""),"",H814*I814*(1-N(J814)))</f>
        <v/>
      </c>
      <c r="L814" s="32"/>
      <c r="M814" s="34" t="str">
        <f aca="false">IF(OR(H814="",L814=""),"",H814*L814)</f>
        <v/>
      </c>
      <c r="N814" s="34" t="str">
        <f aca="false">IF(OR(K814="",M814=""),"",K814-M814)</f>
        <v/>
      </c>
      <c r="O814" s="35" t="str">
        <f aca="false">IF(OR(N814="",K814=""),"",IF(K814=0,"",N814/K814))</f>
        <v/>
      </c>
      <c r="P814" s="25"/>
      <c r="Q814" s="25"/>
      <c r="R814" s="25"/>
      <c r="S814" s="36" t="str">
        <f aca="false">IF(A814="","",YEAR(A814)+IF(AND(FYStart&gt;1,MONTH(A814)&gt;=FYStart),1,0))</f>
        <v/>
      </c>
      <c r="T814" s="36" t="str">
        <f aca="false">IF(A814="","",MOD(MONTH(A814)-FYStart,12)+1)</f>
        <v/>
      </c>
      <c r="U814" s="37" t="str">
        <f aca="false">IF(A814="","",TEXT(A814,"mmm"))</f>
        <v/>
      </c>
      <c r="V814" s="37" t="str">
        <f aca="false">IF(Q814="","",IFERROR(INDEX(Settings!$I$11:$I$15,MATCH(Q814,Settings!$H$11:$H$15,0)),"No"))</f>
        <v/>
      </c>
      <c r="W814" s="37" t="str">
        <f aca="false">IF(Q814="","",IFERROR(INDEX(Settings!$J$11:$J$15,MATCH(Q814,Settings!$H$11:$H$15,0)),"No"))</f>
        <v/>
      </c>
    </row>
    <row r="815" customFormat="false" ht="15" hidden="false" customHeight="false" outlineLevel="0" collapsed="false">
      <c r="A815" s="30"/>
      <c r="B815" s="25"/>
      <c r="C815" s="25"/>
      <c r="D815" s="25"/>
      <c r="E815" s="25"/>
      <c r="F815" s="25"/>
      <c r="G815" s="25"/>
      <c r="H815" s="31"/>
      <c r="I815" s="32"/>
      <c r="J815" s="33"/>
      <c r="K815" s="34" t="str">
        <f aca="false">IF(OR(H815="",I815=""),"",H815*I815*(1-N(J815)))</f>
        <v/>
      </c>
      <c r="L815" s="32"/>
      <c r="M815" s="34" t="str">
        <f aca="false">IF(OR(H815="",L815=""),"",H815*L815)</f>
        <v/>
      </c>
      <c r="N815" s="34" t="str">
        <f aca="false">IF(OR(K815="",M815=""),"",K815-M815)</f>
        <v/>
      </c>
      <c r="O815" s="35" t="str">
        <f aca="false">IF(OR(N815="",K815=""),"",IF(K815=0,"",N815/K815))</f>
        <v/>
      </c>
      <c r="P815" s="25"/>
      <c r="Q815" s="25"/>
      <c r="R815" s="25"/>
      <c r="S815" s="36" t="str">
        <f aca="false">IF(A815="","",YEAR(A815)+IF(AND(FYStart&gt;1,MONTH(A815)&gt;=FYStart),1,0))</f>
        <v/>
      </c>
      <c r="T815" s="36" t="str">
        <f aca="false">IF(A815="","",MOD(MONTH(A815)-FYStart,12)+1)</f>
        <v/>
      </c>
      <c r="U815" s="37" t="str">
        <f aca="false">IF(A815="","",TEXT(A815,"mmm"))</f>
        <v/>
      </c>
      <c r="V815" s="37" t="str">
        <f aca="false">IF(Q815="","",IFERROR(INDEX(Settings!$I$11:$I$15,MATCH(Q815,Settings!$H$11:$H$15,0)),"No"))</f>
        <v/>
      </c>
      <c r="W815" s="37" t="str">
        <f aca="false">IF(Q815="","",IFERROR(INDEX(Settings!$J$11:$J$15,MATCH(Q815,Settings!$H$11:$H$15,0)),"No"))</f>
        <v/>
      </c>
    </row>
    <row r="816" customFormat="false" ht="15" hidden="false" customHeight="false" outlineLevel="0" collapsed="false">
      <c r="A816" s="30"/>
      <c r="B816" s="25"/>
      <c r="C816" s="25"/>
      <c r="D816" s="25"/>
      <c r="E816" s="25"/>
      <c r="F816" s="25"/>
      <c r="G816" s="25"/>
      <c r="H816" s="31"/>
      <c r="I816" s="32"/>
      <c r="J816" s="33"/>
      <c r="K816" s="34" t="str">
        <f aca="false">IF(OR(H816="",I816=""),"",H816*I816*(1-N(J816)))</f>
        <v/>
      </c>
      <c r="L816" s="32"/>
      <c r="M816" s="34" t="str">
        <f aca="false">IF(OR(H816="",L816=""),"",H816*L816)</f>
        <v/>
      </c>
      <c r="N816" s="34" t="str">
        <f aca="false">IF(OR(K816="",M816=""),"",K816-M816)</f>
        <v/>
      </c>
      <c r="O816" s="35" t="str">
        <f aca="false">IF(OR(N816="",K816=""),"",IF(K816=0,"",N816/K816))</f>
        <v/>
      </c>
      <c r="P816" s="25"/>
      <c r="Q816" s="25"/>
      <c r="R816" s="25"/>
      <c r="S816" s="36" t="str">
        <f aca="false">IF(A816="","",YEAR(A816)+IF(AND(FYStart&gt;1,MONTH(A816)&gt;=FYStart),1,0))</f>
        <v/>
      </c>
      <c r="T816" s="36" t="str">
        <f aca="false">IF(A816="","",MOD(MONTH(A816)-FYStart,12)+1)</f>
        <v/>
      </c>
      <c r="U816" s="37" t="str">
        <f aca="false">IF(A816="","",TEXT(A816,"mmm"))</f>
        <v/>
      </c>
      <c r="V816" s="37" t="str">
        <f aca="false">IF(Q816="","",IFERROR(INDEX(Settings!$I$11:$I$15,MATCH(Q816,Settings!$H$11:$H$15,0)),"No"))</f>
        <v/>
      </c>
      <c r="W816" s="37" t="str">
        <f aca="false">IF(Q816="","",IFERROR(INDEX(Settings!$J$11:$J$15,MATCH(Q816,Settings!$H$11:$H$15,0)),"No"))</f>
        <v/>
      </c>
    </row>
    <row r="817" customFormat="false" ht="15" hidden="false" customHeight="false" outlineLevel="0" collapsed="false">
      <c r="A817" s="30"/>
      <c r="B817" s="25"/>
      <c r="C817" s="25"/>
      <c r="D817" s="25"/>
      <c r="E817" s="25"/>
      <c r="F817" s="25"/>
      <c r="G817" s="25"/>
      <c r="H817" s="31"/>
      <c r="I817" s="32"/>
      <c r="J817" s="33"/>
      <c r="K817" s="34" t="str">
        <f aca="false">IF(OR(H817="",I817=""),"",H817*I817*(1-N(J817)))</f>
        <v/>
      </c>
      <c r="L817" s="32"/>
      <c r="M817" s="34" t="str">
        <f aca="false">IF(OR(H817="",L817=""),"",H817*L817)</f>
        <v/>
      </c>
      <c r="N817" s="34" t="str">
        <f aca="false">IF(OR(K817="",M817=""),"",K817-M817)</f>
        <v/>
      </c>
      <c r="O817" s="35" t="str">
        <f aca="false">IF(OR(N817="",K817=""),"",IF(K817=0,"",N817/K817))</f>
        <v/>
      </c>
      <c r="P817" s="25"/>
      <c r="Q817" s="25"/>
      <c r="R817" s="25"/>
      <c r="S817" s="36" t="str">
        <f aca="false">IF(A817="","",YEAR(A817)+IF(AND(FYStart&gt;1,MONTH(A817)&gt;=FYStart),1,0))</f>
        <v/>
      </c>
      <c r="T817" s="36" t="str">
        <f aca="false">IF(A817="","",MOD(MONTH(A817)-FYStart,12)+1)</f>
        <v/>
      </c>
      <c r="U817" s="37" t="str">
        <f aca="false">IF(A817="","",TEXT(A817,"mmm"))</f>
        <v/>
      </c>
      <c r="V817" s="37" t="str">
        <f aca="false">IF(Q817="","",IFERROR(INDEX(Settings!$I$11:$I$15,MATCH(Q817,Settings!$H$11:$H$15,0)),"No"))</f>
        <v/>
      </c>
      <c r="W817" s="37" t="str">
        <f aca="false">IF(Q817="","",IFERROR(INDEX(Settings!$J$11:$J$15,MATCH(Q817,Settings!$H$11:$H$15,0)),"No"))</f>
        <v/>
      </c>
    </row>
    <row r="818" customFormat="false" ht="15" hidden="false" customHeight="false" outlineLevel="0" collapsed="false">
      <c r="A818" s="30"/>
      <c r="B818" s="25"/>
      <c r="C818" s="25"/>
      <c r="D818" s="25"/>
      <c r="E818" s="25"/>
      <c r="F818" s="25"/>
      <c r="G818" s="25"/>
      <c r="H818" s="31"/>
      <c r="I818" s="32"/>
      <c r="J818" s="33"/>
      <c r="K818" s="34" t="str">
        <f aca="false">IF(OR(H818="",I818=""),"",H818*I818*(1-N(J818)))</f>
        <v/>
      </c>
      <c r="L818" s="32"/>
      <c r="M818" s="34" t="str">
        <f aca="false">IF(OR(H818="",L818=""),"",H818*L818)</f>
        <v/>
      </c>
      <c r="N818" s="34" t="str">
        <f aca="false">IF(OR(K818="",M818=""),"",K818-M818)</f>
        <v/>
      </c>
      <c r="O818" s="35" t="str">
        <f aca="false">IF(OR(N818="",K818=""),"",IF(K818=0,"",N818/K818))</f>
        <v/>
      </c>
      <c r="P818" s="25"/>
      <c r="Q818" s="25"/>
      <c r="R818" s="25"/>
      <c r="S818" s="36" t="str">
        <f aca="false">IF(A818="","",YEAR(A818)+IF(AND(FYStart&gt;1,MONTH(A818)&gt;=FYStart),1,0))</f>
        <v/>
      </c>
      <c r="T818" s="36" t="str">
        <f aca="false">IF(A818="","",MOD(MONTH(A818)-FYStart,12)+1)</f>
        <v/>
      </c>
      <c r="U818" s="37" t="str">
        <f aca="false">IF(A818="","",TEXT(A818,"mmm"))</f>
        <v/>
      </c>
      <c r="V818" s="37" t="str">
        <f aca="false">IF(Q818="","",IFERROR(INDEX(Settings!$I$11:$I$15,MATCH(Q818,Settings!$H$11:$H$15,0)),"No"))</f>
        <v/>
      </c>
      <c r="W818" s="37" t="str">
        <f aca="false">IF(Q818="","",IFERROR(INDEX(Settings!$J$11:$J$15,MATCH(Q818,Settings!$H$11:$H$15,0)),"No"))</f>
        <v/>
      </c>
    </row>
    <row r="819" customFormat="false" ht="15" hidden="false" customHeight="false" outlineLevel="0" collapsed="false">
      <c r="A819" s="30"/>
      <c r="B819" s="25"/>
      <c r="C819" s="25"/>
      <c r="D819" s="25"/>
      <c r="E819" s="25"/>
      <c r="F819" s="25"/>
      <c r="G819" s="25"/>
      <c r="H819" s="31"/>
      <c r="I819" s="32"/>
      <c r="J819" s="33"/>
      <c r="K819" s="34" t="str">
        <f aca="false">IF(OR(H819="",I819=""),"",H819*I819*(1-N(J819)))</f>
        <v/>
      </c>
      <c r="L819" s="32"/>
      <c r="M819" s="34" t="str">
        <f aca="false">IF(OR(H819="",L819=""),"",H819*L819)</f>
        <v/>
      </c>
      <c r="N819" s="34" t="str">
        <f aca="false">IF(OR(K819="",M819=""),"",K819-M819)</f>
        <v/>
      </c>
      <c r="O819" s="35" t="str">
        <f aca="false">IF(OR(N819="",K819=""),"",IF(K819=0,"",N819/K819))</f>
        <v/>
      </c>
      <c r="P819" s="25"/>
      <c r="Q819" s="25"/>
      <c r="R819" s="25"/>
      <c r="S819" s="36" t="str">
        <f aca="false">IF(A819="","",YEAR(A819)+IF(AND(FYStart&gt;1,MONTH(A819)&gt;=FYStart),1,0))</f>
        <v/>
      </c>
      <c r="T819" s="36" t="str">
        <f aca="false">IF(A819="","",MOD(MONTH(A819)-FYStart,12)+1)</f>
        <v/>
      </c>
      <c r="U819" s="37" t="str">
        <f aca="false">IF(A819="","",TEXT(A819,"mmm"))</f>
        <v/>
      </c>
      <c r="V819" s="37" t="str">
        <f aca="false">IF(Q819="","",IFERROR(INDEX(Settings!$I$11:$I$15,MATCH(Q819,Settings!$H$11:$H$15,0)),"No"))</f>
        <v/>
      </c>
      <c r="W819" s="37" t="str">
        <f aca="false">IF(Q819="","",IFERROR(INDEX(Settings!$J$11:$J$15,MATCH(Q819,Settings!$H$11:$H$15,0)),"No"))</f>
        <v/>
      </c>
    </row>
    <row r="820" customFormat="false" ht="15" hidden="false" customHeight="false" outlineLevel="0" collapsed="false">
      <c r="A820" s="30"/>
      <c r="B820" s="25"/>
      <c r="C820" s="25"/>
      <c r="D820" s="25"/>
      <c r="E820" s="25"/>
      <c r="F820" s="25"/>
      <c r="G820" s="25"/>
      <c r="H820" s="31"/>
      <c r="I820" s="32"/>
      <c r="J820" s="33"/>
      <c r="K820" s="34" t="str">
        <f aca="false">IF(OR(H820="",I820=""),"",H820*I820*(1-N(J820)))</f>
        <v/>
      </c>
      <c r="L820" s="32"/>
      <c r="M820" s="34" t="str">
        <f aca="false">IF(OR(H820="",L820=""),"",H820*L820)</f>
        <v/>
      </c>
      <c r="N820" s="34" t="str">
        <f aca="false">IF(OR(K820="",M820=""),"",K820-M820)</f>
        <v/>
      </c>
      <c r="O820" s="35" t="str">
        <f aca="false">IF(OR(N820="",K820=""),"",IF(K820=0,"",N820/K820))</f>
        <v/>
      </c>
      <c r="P820" s="25"/>
      <c r="Q820" s="25"/>
      <c r="R820" s="25"/>
      <c r="S820" s="36" t="str">
        <f aca="false">IF(A820="","",YEAR(A820)+IF(AND(FYStart&gt;1,MONTH(A820)&gt;=FYStart),1,0))</f>
        <v/>
      </c>
      <c r="T820" s="36" t="str">
        <f aca="false">IF(A820="","",MOD(MONTH(A820)-FYStart,12)+1)</f>
        <v/>
      </c>
      <c r="U820" s="37" t="str">
        <f aca="false">IF(A820="","",TEXT(A820,"mmm"))</f>
        <v/>
      </c>
      <c r="V820" s="37" t="str">
        <f aca="false">IF(Q820="","",IFERROR(INDEX(Settings!$I$11:$I$15,MATCH(Q820,Settings!$H$11:$H$15,0)),"No"))</f>
        <v/>
      </c>
      <c r="W820" s="37" t="str">
        <f aca="false">IF(Q820="","",IFERROR(INDEX(Settings!$J$11:$J$15,MATCH(Q820,Settings!$H$11:$H$15,0)),"No"))</f>
        <v/>
      </c>
    </row>
    <row r="821" customFormat="false" ht="15" hidden="false" customHeight="false" outlineLevel="0" collapsed="false">
      <c r="A821" s="30"/>
      <c r="B821" s="25"/>
      <c r="C821" s="25"/>
      <c r="D821" s="25"/>
      <c r="E821" s="25"/>
      <c r="F821" s="25"/>
      <c r="G821" s="25"/>
      <c r="H821" s="31"/>
      <c r="I821" s="32"/>
      <c r="J821" s="33"/>
      <c r="K821" s="34" t="str">
        <f aca="false">IF(OR(H821="",I821=""),"",H821*I821*(1-N(J821)))</f>
        <v/>
      </c>
      <c r="L821" s="32"/>
      <c r="M821" s="34" t="str">
        <f aca="false">IF(OR(H821="",L821=""),"",H821*L821)</f>
        <v/>
      </c>
      <c r="N821" s="34" t="str">
        <f aca="false">IF(OR(K821="",M821=""),"",K821-M821)</f>
        <v/>
      </c>
      <c r="O821" s="35" t="str">
        <f aca="false">IF(OR(N821="",K821=""),"",IF(K821=0,"",N821/K821))</f>
        <v/>
      </c>
      <c r="P821" s="25"/>
      <c r="Q821" s="25"/>
      <c r="R821" s="25"/>
      <c r="S821" s="36" t="str">
        <f aca="false">IF(A821="","",YEAR(A821)+IF(AND(FYStart&gt;1,MONTH(A821)&gt;=FYStart),1,0))</f>
        <v/>
      </c>
      <c r="T821" s="36" t="str">
        <f aca="false">IF(A821="","",MOD(MONTH(A821)-FYStart,12)+1)</f>
        <v/>
      </c>
      <c r="U821" s="37" t="str">
        <f aca="false">IF(A821="","",TEXT(A821,"mmm"))</f>
        <v/>
      </c>
      <c r="V821" s="37" t="str">
        <f aca="false">IF(Q821="","",IFERROR(INDEX(Settings!$I$11:$I$15,MATCH(Q821,Settings!$H$11:$H$15,0)),"No"))</f>
        <v/>
      </c>
      <c r="W821" s="37" t="str">
        <f aca="false">IF(Q821="","",IFERROR(INDEX(Settings!$J$11:$J$15,MATCH(Q821,Settings!$H$11:$H$15,0)),"No"))</f>
        <v/>
      </c>
    </row>
    <row r="822" customFormat="false" ht="15" hidden="false" customHeight="false" outlineLevel="0" collapsed="false">
      <c r="A822" s="30"/>
      <c r="B822" s="25"/>
      <c r="C822" s="25"/>
      <c r="D822" s="25"/>
      <c r="E822" s="25"/>
      <c r="F822" s="25"/>
      <c r="G822" s="25"/>
      <c r="H822" s="31"/>
      <c r="I822" s="32"/>
      <c r="J822" s="33"/>
      <c r="K822" s="34" t="str">
        <f aca="false">IF(OR(H822="",I822=""),"",H822*I822*(1-N(J822)))</f>
        <v/>
      </c>
      <c r="L822" s="32"/>
      <c r="M822" s="34" t="str">
        <f aca="false">IF(OR(H822="",L822=""),"",H822*L822)</f>
        <v/>
      </c>
      <c r="N822" s="34" t="str">
        <f aca="false">IF(OR(K822="",M822=""),"",K822-M822)</f>
        <v/>
      </c>
      <c r="O822" s="35" t="str">
        <f aca="false">IF(OR(N822="",K822=""),"",IF(K822=0,"",N822/K822))</f>
        <v/>
      </c>
      <c r="P822" s="25"/>
      <c r="Q822" s="25"/>
      <c r="R822" s="25"/>
      <c r="S822" s="36" t="str">
        <f aca="false">IF(A822="","",YEAR(A822)+IF(AND(FYStart&gt;1,MONTH(A822)&gt;=FYStart),1,0))</f>
        <v/>
      </c>
      <c r="T822" s="36" t="str">
        <f aca="false">IF(A822="","",MOD(MONTH(A822)-FYStart,12)+1)</f>
        <v/>
      </c>
      <c r="U822" s="37" t="str">
        <f aca="false">IF(A822="","",TEXT(A822,"mmm"))</f>
        <v/>
      </c>
      <c r="V822" s="37" t="str">
        <f aca="false">IF(Q822="","",IFERROR(INDEX(Settings!$I$11:$I$15,MATCH(Q822,Settings!$H$11:$H$15,0)),"No"))</f>
        <v/>
      </c>
      <c r="W822" s="37" t="str">
        <f aca="false">IF(Q822="","",IFERROR(INDEX(Settings!$J$11:$J$15,MATCH(Q822,Settings!$H$11:$H$15,0)),"No"))</f>
        <v/>
      </c>
    </row>
    <row r="823" customFormat="false" ht="15" hidden="false" customHeight="false" outlineLevel="0" collapsed="false">
      <c r="A823" s="30"/>
      <c r="B823" s="25"/>
      <c r="C823" s="25"/>
      <c r="D823" s="25"/>
      <c r="E823" s="25"/>
      <c r="F823" s="25"/>
      <c r="G823" s="25"/>
      <c r="H823" s="31"/>
      <c r="I823" s="32"/>
      <c r="J823" s="33"/>
      <c r="K823" s="34" t="str">
        <f aca="false">IF(OR(H823="",I823=""),"",H823*I823*(1-N(J823)))</f>
        <v/>
      </c>
      <c r="L823" s="32"/>
      <c r="M823" s="34" t="str">
        <f aca="false">IF(OR(H823="",L823=""),"",H823*L823)</f>
        <v/>
      </c>
      <c r="N823" s="34" t="str">
        <f aca="false">IF(OR(K823="",M823=""),"",K823-M823)</f>
        <v/>
      </c>
      <c r="O823" s="35" t="str">
        <f aca="false">IF(OR(N823="",K823=""),"",IF(K823=0,"",N823/K823))</f>
        <v/>
      </c>
      <c r="P823" s="25"/>
      <c r="Q823" s="25"/>
      <c r="R823" s="25"/>
      <c r="S823" s="36" t="str">
        <f aca="false">IF(A823="","",YEAR(A823)+IF(AND(FYStart&gt;1,MONTH(A823)&gt;=FYStart),1,0))</f>
        <v/>
      </c>
      <c r="T823" s="36" t="str">
        <f aca="false">IF(A823="","",MOD(MONTH(A823)-FYStart,12)+1)</f>
        <v/>
      </c>
      <c r="U823" s="37" t="str">
        <f aca="false">IF(A823="","",TEXT(A823,"mmm"))</f>
        <v/>
      </c>
      <c r="V823" s="37" t="str">
        <f aca="false">IF(Q823="","",IFERROR(INDEX(Settings!$I$11:$I$15,MATCH(Q823,Settings!$H$11:$H$15,0)),"No"))</f>
        <v/>
      </c>
      <c r="W823" s="37" t="str">
        <f aca="false">IF(Q823="","",IFERROR(INDEX(Settings!$J$11:$J$15,MATCH(Q823,Settings!$H$11:$H$15,0)),"No"))</f>
        <v/>
      </c>
    </row>
    <row r="824" customFormat="false" ht="15" hidden="false" customHeight="false" outlineLevel="0" collapsed="false">
      <c r="A824" s="30"/>
      <c r="B824" s="25"/>
      <c r="C824" s="25"/>
      <c r="D824" s="25"/>
      <c r="E824" s="25"/>
      <c r="F824" s="25"/>
      <c r="G824" s="25"/>
      <c r="H824" s="31"/>
      <c r="I824" s="32"/>
      <c r="J824" s="33"/>
      <c r="K824" s="34" t="str">
        <f aca="false">IF(OR(H824="",I824=""),"",H824*I824*(1-N(J824)))</f>
        <v/>
      </c>
      <c r="L824" s="32"/>
      <c r="M824" s="34" t="str">
        <f aca="false">IF(OR(H824="",L824=""),"",H824*L824)</f>
        <v/>
      </c>
      <c r="N824" s="34" t="str">
        <f aca="false">IF(OR(K824="",M824=""),"",K824-M824)</f>
        <v/>
      </c>
      <c r="O824" s="35" t="str">
        <f aca="false">IF(OR(N824="",K824=""),"",IF(K824=0,"",N824/K824))</f>
        <v/>
      </c>
      <c r="P824" s="25"/>
      <c r="Q824" s="25"/>
      <c r="R824" s="25"/>
      <c r="S824" s="36" t="str">
        <f aca="false">IF(A824="","",YEAR(A824)+IF(AND(FYStart&gt;1,MONTH(A824)&gt;=FYStart),1,0))</f>
        <v/>
      </c>
      <c r="T824" s="36" t="str">
        <f aca="false">IF(A824="","",MOD(MONTH(A824)-FYStart,12)+1)</f>
        <v/>
      </c>
      <c r="U824" s="37" t="str">
        <f aca="false">IF(A824="","",TEXT(A824,"mmm"))</f>
        <v/>
      </c>
      <c r="V824" s="37" t="str">
        <f aca="false">IF(Q824="","",IFERROR(INDEX(Settings!$I$11:$I$15,MATCH(Q824,Settings!$H$11:$H$15,0)),"No"))</f>
        <v/>
      </c>
      <c r="W824" s="37" t="str">
        <f aca="false">IF(Q824="","",IFERROR(INDEX(Settings!$J$11:$J$15,MATCH(Q824,Settings!$H$11:$H$15,0)),"No"))</f>
        <v/>
      </c>
    </row>
    <row r="825" customFormat="false" ht="15" hidden="false" customHeight="false" outlineLevel="0" collapsed="false">
      <c r="A825" s="30"/>
      <c r="B825" s="25"/>
      <c r="C825" s="25"/>
      <c r="D825" s="25"/>
      <c r="E825" s="25"/>
      <c r="F825" s="25"/>
      <c r="G825" s="25"/>
      <c r="H825" s="31"/>
      <c r="I825" s="32"/>
      <c r="J825" s="33"/>
      <c r="K825" s="34" t="str">
        <f aca="false">IF(OR(H825="",I825=""),"",H825*I825*(1-N(J825)))</f>
        <v/>
      </c>
      <c r="L825" s="32"/>
      <c r="M825" s="34" t="str">
        <f aca="false">IF(OR(H825="",L825=""),"",H825*L825)</f>
        <v/>
      </c>
      <c r="N825" s="34" t="str">
        <f aca="false">IF(OR(K825="",M825=""),"",K825-M825)</f>
        <v/>
      </c>
      <c r="O825" s="35" t="str">
        <f aca="false">IF(OR(N825="",K825=""),"",IF(K825=0,"",N825/K825))</f>
        <v/>
      </c>
      <c r="P825" s="25"/>
      <c r="Q825" s="25"/>
      <c r="R825" s="25"/>
      <c r="S825" s="36" t="str">
        <f aca="false">IF(A825="","",YEAR(A825)+IF(AND(FYStart&gt;1,MONTH(A825)&gt;=FYStart),1,0))</f>
        <v/>
      </c>
      <c r="T825" s="36" t="str">
        <f aca="false">IF(A825="","",MOD(MONTH(A825)-FYStart,12)+1)</f>
        <v/>
      </c>
      <c r="U825" s="37" t="str">
        <f aca="false">IF(A825="","",TEXT(A825,"mmm"))</f>
        <v/>
      </c>
      <c r="V825" s="37" t="str">
        <f aca="false">IF(Q825="","",IFERROR(INDEX(Settings!$I$11:$I$15,MATCH(Q825,Settings!$H$11:$H$15,0)),"No"))</f>
        <v/>
      </c>
      <c r="W825" s="37" t="str">
        <f aca="false">IF(Q825="","",IFERROR(INDEX(Settings!$J$11:$J$15,MATCH(Q825,Settings!$H$11:$H$15,0)),"No"))</f>
        <v/>
      </c>
    </row>
    <row r="826" customFormat="false" ht="15" hidden="false" customHeight="false" outlineLevel="0" collapsed="false">
      <c r="A826" s="30"/>
      <c r="B826" s="25"/>
      <c r="C826" s="25"/>
      <c r="D826" s="25"/>
      <c r="E826" s="25"/>
      <c r="F826" s="25"/>
      <c r="G826" s="25"/>
      <c r="H826" s="31"/>
      <c r="I826" s="32"/>
      <c r="J826" s="33"/>
      <c r="K826" s="34" t="str">
        <f aca="false">IF(OR(H826="",I826=""),"",H826*I826*(1-N(J826)))</f>
        <v/>
      </c>
      <c r="L826" s="32"/>
      <c r="M826" s="34" t="str">
        <f aca="false">IF(OR(H826="",L826=""),"",H826*L826)</f>
        <v/>
      </c>
      <c r="N826" s="34" t="str">
        <f aca="false">IF(OR(K826="",M826=""),"",K826-M826)</f>
        <v/>
      </c>
      <c r="O826" s="35" t="str">
        <f aca="false">IF(OR(N826="",K826=""),"",IF(K826=0,"",N826/K826))</f>
        <v/>
      </c>
      <c r="P826" s="25"/>
      <c r="Q826" s="25"/>
      <c r="R826" s="25"/>
      <c r="S826" s="36" t="str">
        <f aca="false">IF(A826="","",YEAR(A826)+IF(AND(FYStart&gt;1,MONTH(A826)&gt;=FYStart),1,0))</f>
        <v/>
      </c>
      <c r="T826" s="36" t="str">
        <f aca="false">IF(A826="","",MOD(MONTH(A826)-FYStart,12)+1)</f>
        <v/>
      </c>
      <c r="U826" s="37" t="str">
        <f aca="false">IF(A826="","",TEXT(A826,"mmm"))</f>
        <v/>
      </c>
      <c r="V826" s="37" t="str">
        <f aca="false">IF(Q826="","",IFERROR(INDEX(Settings!$I$11:$I$15,MATCH(Q826,Settings!$H$11:$H$15,0)),"No"))</f>
        <v/>
      </c>
      <c r="W826" s="37" t="str">
        <f aca="false">IF(Q826="","",IFERROR(INDEX(Settings!$J$11:$J$15,MATCH(Q826,Settings!$H$11:$H$15,0)),"No"))</f>
        <v/>
      </c>
    </row>
    <row r="827" customFormat="false" ht="15" hidden="false" customHeight="false" outlineLevel="0" collapsed="false">
      <c r="A827" s="30"/>
      <c r="B827" s="25"/>
      <c r="C827" s="25"/>
      <c r="D827" s="25"/>
      <c r="E827" s="25"/>
      <c r="F827" s="25"/>
      <c r="G827" s="25"/>
      <c r="H827" s="31"/>
      <c r="I827" s="32"/>
      <c r="J827" s="33"/>
      <c r="K827" s="34" t="str">
        <f aca="false">IF(OR(H827="",I827=""),"",H827*I827*(1-N(J827)))</f>
        <v/>
      </c>
      <c r="L827" s="32"/>
      <c r="M827" s="34" t="str">
        <f aca="false">IF(OR(H827="",L827=""),"",H827*L827)</f>
        <v/>
      </c>
      <c r="N827" s="34" t="str">
        <f aca="false">IF(OR(K827="",M827=""),"",K827-M827)</f>
        <v/>
      </c>
      <c r="O827" s="35" t="str">
        <f aca="false">IF(OR(N827="",K827=""),"",IF(K827=0,"",N827/K827))</f>
        <v/>
      </c>
      <c r="P827" s="25"/>
      <c r="Q827" s="25"/>
      <c r="R827" s="25"/>
      <c r="S827" s="36" t="str">
        <f aca="false">IF(A827="","",YEAR(A827)+IF(AND(FYStart&gt;1,MONTH(A827)&gt;=FYStart),1,0))</f>
        <v/>
      </c>
      <c r="T827" s="36" t="str">
        <f aca="false">IF(A827="","",MOD(MONTH(A827)-FYStart,12)+1)</f>
        <v/>
      </c>
      <c r="U827" s="37" t="str">
        <f aca="false">IF(A827="","",TEXT(A827,"mmm"))</f>
        <v/>
      </c>
      <c r="V827" s="37" t="str">
        <f aca="false">IF(Q827="","",IFERROR(INDEX(Settings!$I$11:$I$15,MATCH(Q827,Settings!$H$11:$H$15,0)),"No"))</f>
        <v/>
      </c>
      <c r="W827" s="37" t="str">
        <f aca="false">IF(Q827="","",IFERROR(INDEX(Settings!$J$11:$J$15,MATCH(Q827,Settings!$H$11:$H$15,0)),"No"))</f>
        <v/>
      </c>
    </row>
    <row r="828" customFormat="false" ht="15" hidden="false" customHeight="false" outlineLevel="0" collapsed="false">
      <c r="A828" s="30"/>
      <c r="B828" s="25"/>
      <c r="C828" s="25"/>
      <c r="D828" s="25"/>
      <c r="E828" s="25"/>
      <c r="F828" s="25"/>
      <c r="G828" s="25"/>
      <c r="H828" s="31"/>
      <c r="I828" s="32"/>
      <c r="J828" s="33"/>
      <c r="K828" s="34" t="str">
        <f aca="false">IF(OR(H828="",I828=""),"",H828*I828*(1-N(J828)))</f>
        <v/>
      </c>
      <c r="L828" s="32"/>
      <c r="M828" s="34" t="str">
        <f aca="false">IF(OR(H828="",L828=""),"",H828*L828)</f>
        <v/>
      </c>
      <c r="N828" s="34" t="str">
        <f aca="false">IF(OR(K828="",M828=""),"",K828-M828)</f>
        <v/>
      </c>
      <c r="O828" s="35" t="str">
        <f aca="false">IF(OR(N828="",K828=""),"",IF(K828=0,"",N828/K828))</f>
        <v/>
      </c>
      <c r="P828" s="25"/>
      <c r="Q828" s="25"/>
      <c r="R828" s="25"/>
      <c r="S828" s="36" t="str">
        <f aca="false">IF(A828="","",YEAR(A828)+IF(AND(FYStart&gt;1,MONTH(A828)&gt;=FYStart),1,0))</f>
        <v/>
      </c>
      <c r="T828" s="36" t="str">
        <f aca="false">IF(A828="","",MOD(MONTH(A828)-FYStart,12)+1)</f>
        <v/>
      </c>
      <c r="U828" s="37" t="str">
        <f aca="false">IF(A828="","",TEXT(A828,"mmm"))</f>
        <v/>
      </c>
      <c r="V828" s="37" t="str">
        <f aca="false">IF(Q828="","",IFERROR(INDEX(Settings!$I$11:$I$15,MATCH(Q828,Settings!$H$11:$H$15,0)),"No"))</f>
        <v/>
      </c>
      <c r="W828" s="37" t="str">
        <f aca="false">IF(Q828="","",IFERROR(INDEX(Settings!$J$11:$J$15,MATCH(Q828,Settings!$H$11:$H$15,0)),"No"))</f>
        <v/>
      </c>
    </row>
    <row r="829" customFormat="false" ht="15" hidden="false" customHeight="false" outlineLevel="0" collapsed="false">
      <c r="A829" s="30"/>
      <c r="B829" s="25"/>
      <c r="C829" s="25"/>
      <c r="D829" s="25"/>
      <c r="E829" s="25"/>
      <c r="F829" s="25"/>
      <c r="G829" s="25"/>
      <c r="H829" s="31"/>
      <c r="I829" s="32"/>
      <c r="J829" s="33"/>
      <c r="K829" s="34" t="str">
        <f aca="false">IF(OR(H829="",I829=""),"",H829*I829*(1-N(J829)))</f>
        <v/>
      </c>
      <c r="L829" s="32"/>
      <c r="M829" s="34" t="str">
        <f aca="false">IF(OR(H829="",L829=""),"",H829*L829)</f>
        <v/>
      </c>
      <c r="N829" s="34" t="str">
        <f aca="false">IF(OR(K829="",M829=""),"",K829-M829)</f>
        <v/>
      </c>
      <c r="O829" s="35" t="str">
        <f aca="false">IF(OR(N829="",K829=""),"",IF(K829=0,"",N829/K829))</f>
        <v/>
      </c>
      <c r="P829" s="25"/>
      <c r="Q829" s="25"/>
      <c r="R829" s="25"/>
      <c r="S829" s="36" t="str">
        <f aca="false">IF(A829="","",YEAR(A829)+IF(AND(FYStart&gt;1,MONTH(A829)&gt;=FYStart),1,0))</f>
        <v/>
      </c>
      <c r="T829" s="36" t="str">
        <f aca="false">IF(A829="","",MOD(MONTH(A829)-FYStart,12)+1)</f>
        <v/>
      </c>
      <c r="U829" s="37" t="str">
        <f aca="false">IF(A829="","",TEXT(A829,"mmm"))</f>
        <v/>
      </c>
      <c r="V829" s="37" t="str">
        <f aca="false">IF(Q829="","",IFERROR(INDEX(Settings!$I$11:$I$15,MATCH(Q829,Settings!$H$11:$H$15,0)),"No"))</f>
        <v/>
      </c>
      <c r="W829" s="37" t="str">
        <f aca="false">IF(Q829="","",IFERROR(INDEX(Settings!$J$11:$J$15,MATCH(Q829,Settings!$H$11:$H$15,0)),"No"))</f>
        <v/>
      </c>
    </row>
    <row r="830" customFormat="false" ht="15" hidden="false" customHeight="false" outlineLevel="0" collapsed="false">
      <c r="A830" s="30"/>
      <c r="B830" s="25"/>
      <c r="C830" s="25"/>
      <c r="D830" s="25"/>
      <c r="E830" s="25"/>
      <c r="F830" s="25"/>
      <c r="G830" s="25"/>
      <c r="H830" s="31"/>
      <c r="I830" s="32"/>
      <c r="J830" s="33"/>
      <c r="K830" s="34" t="str">
        <f aca="false">IF(OR(H830="",I830=""),"",H830*I830*(1-N(J830)))</f>
        <v/>
      </c>
      <c r="L830" s="32"/>
      <c r="M830" s="34" t="str">
        <f aca="false">IF(OR(H830="",L830=""),"",H830*L830)</f>
        <v/>
      </c>
      <c r="N830" s="34" t="str">
        <f aca="false">IF(OR(K830="",M830=""),"",K830-M830)</f>
        <v/>
      </c>
      <c r="O830" s="35" t="str">
        <f aca="false">IF(OR(N830="",K830=""),"",IF(K830=0,"",N830/K830))</f>
        <v/>
      </c>
      <c r="P830" s="25"/>
      <c r="Q830" s="25"/>
      <c r="R830" s="25"/>
      <c r="S830" s="36" t="str">
        <f aca="false">IF(A830="","",YEAR(A830)+IF(AND(FYStart&gt;1,MONTH(A830)&gt;=FYStart),1,0))</f>
        <v/>
      </c>
      <c r="T830" s="36" t="str">
        <f aca="false">IF(A830="","",MOD(MONTH(A830)-FYStart,12)+1)</f>
        <v/>
      </c>
      <c r="U830" s="37" t="str">
        <f aca="false">IF(A830="","",TEXT(A830,"mmm"))</f>
        <v/>
      </c>
      <c r="V830" s="37" t="str">
        <f aca="false">IF(Q830="","",IFERROR(INDEX(Settings!$I$11:$I$15,MATCH(Q830,Settings!$H$11:$H$15,0)),"No"))</f>
        <v/>
      </c>
      <c r="W830" s="37" t="str">
        <f aca="false">IF(Q830="","",IFERROR(INDEX(Settings!$J$11:$J$15,MATCH(Q830,Settings!$H$11:$H$15,0)),"No"))</f>
        <v/>
      </c>
    </row>
    <row r="831" customFormat="false" ht="15" hidden="false" customHeight="false" outlineLevel="0" collapsed="false">
      <c r="A831" s="30"/>
      <c r="B831" s="25"/>
      <c r="C831" s="25"/>
      <c r="D831" s="25"/>
      <c r="E831" s="25"/>
      <c r="F831" s="25"/>
      <c r="G831" s="25"/>
      <c r="H831" s="31"/>
      <c r="I831" s="32"/>
      <c r="J831" s="33"/>
      <c r="K831" s="34" t="str">
        <f aca="false">IF(OR(H831="",I831=""),"",H831*I831*(1-N(J831)))</f>
        <v/>
      </c>
      <c r="L831" s="32"/>
      <c r="M831" s="34" t="str">
        <f aca="false">IF(OR(H831="",L831=""),"",H831*L831)</f>
        <v/>
      </c>
      <c r="N831" s="34" t="str">
        <f aca="false">IF(OR(K831="",M831=""),"",K831-M831)</f>
        <v/>
      </c>
      <c r="O831" s="35" t="str">
        <f aca="false">IF(OR(N831="",K831=""),"",IF(K831=0,"",N831/K831))</f>
        <v/>
      </c>
      <c r="P831" s="25"/>
      <c r="Q831" s="25"/>
      <c r="R831" s="25"/>
      <c r="S831" s="36" t="str">
        <f aca="false">IF(A831="","",YEAR(A831)+IF(AND(FYStart&gt;1,MONTH(A831)&gt;=FYStart),1,0))</f>
        <v/>
      </c>
      <c r="T831" s="36" t="str">
        <f aca="false">IF(A831="","",MOD(MONTH(A831)-FYStart,12)+1)</f>
        <v/>
      </c>
      <c r="U831" s="37" t="str">
        <f aca="false">IF(A831="","",TEXT(A831,"mmm"))</f>
        <v/>
      </c>
      <c r="V831" s="37" t="str">
        <f aca="false">IF(Q831="","",IFERROR(INDEX(Settings!$I$11:$I$15,MATCH(Q831,Settings!$H$11:$H$15,0)),"No"))</f>
        <v/>
      </c>
      <c r="W831" s="37" t="str">
        <f aca="false">IF(Q831="","",IFERROR(INDEX(Settings!$J$11:$J$15,MATCH(Q831,Settings!$H$11:$H$15,0)),"No"))</f>
        <v/>
      </c>
    </row>
    <row r="832" customFormat="false" ht="15" hidden="false" customHeight="false" outlineLevel="0" collapsed="false">
      <c r="A832" s="30"/>
      <c r="B832" s="25"/>
      <c r="C832" s="25"/>
      <c r="D832" s="25"/>
      <c r="E832" s="25"/>
      <c r="F832" s="25"/>
      <c r="G832" s="25"/>
      <c r="H832" s="31"/>
      <c r="I832" s="32"/>
      <c r="J832" s="33"/>
      <c r="K832" s="34" t="str">
        <f aca="false">IF(OR(H832="",I832=""),"",H832*I832*(1-N(J832)))</f>
        <v/>
      </c>
      <c r="L832" s="32"/>
      <c r="M832" s="34" t="str">
        <f aca="false">IF(OR(H832="",L832=""),"",H832*L832)</f>
        <v/>
      </c>
      <c r="N832" s="34" t="str">
        <f aca="false">IF(OR(K832="",M832=""),"",K832-M832)</f>
        <v/>
      </c>
      <c r="O832" s="35" t="str">
        <f aca="false">IF(OR(N832="",K832=""),"",IF(K832=0,"",N832/K832))</f>
        <v/>
      </c>
      <c r="P832" s="25"/>
      <c r="Q832" s="25"/>
      <c r="R832" s="25"/>
      <c r="S832" s="36" t="str">
        <f aca="false">IF(A832="","",YEAR(A832)+IF(AND(FYStart&gt;1,MONTH(A832)&gt;=FYStart),1,0))</f>
        <v/>
      </c>
      <c r="T832" s="36" t="str">
        <f aca="false">IF(A832="","",MOD(MONTH(A832)-FYStart,12)+1)</f>
        <v/>
      </c>
      <c r="U832" s="37" t="str">
        <f aca="false">IF(A832="","",TEXT(A832,"mmm"))</f>
        <v/>
      </c>
      <c r="V832" s="37" t="str">
        <f aca="false">IF(Q832="","",IFERROR(INDEX(Settings!$I$11:$I$15,MATCH(Q832,Settings!$H$11:$H$15,0)),"No"))</f>
        <v/>
      </c>
      <c r="W832" s="37" t="str">
        <f aca="false">IF(Q832="","",IFERROR(INDEX(Settings!$J$11:$J$15,MATCH(Q832,Settings!$H$11:$H$15,0)),"No"))</f>
        <v/>
      </c>
    </row>
    <row r="833" customFormat="false" ht="15" hidden="false" customHeight="false" outlineLevel="0" collapsed="false">
      <c r="A833" s="30"/>
      <c r="B833" s="25"/>
      <c r="C833" s="25"/>
      <c r="D833" s="25"/>
      <c r="E833" s="25"/>
      <c r="F833" s="25"/>
      <c r="G833" s="25"/>
      <c r="H833" s="31"/>
      <c r="I833" s="32"/>
      <c r="J833" s="33"/>
      <c r="K833" s="34" t="str">
        <f aca="false">IF(OR(H833="",I833=""),"",H833*I833*(1-N(J833)))</f>
        <v/>
      </c>
      <c r="L833" s="32"/>
      <c r="M833" s="34" t="str">
        <f aca="false">IF(OR(H833="",L833=""),"",H833*L833)</f>
        <v/>
      </c>
      <c r="N833" s="34" t="str">
        <f aca="false">IF(OR(K833="",M833=""),"",K833-M833)</f>
        <v/>
      </c>
      <c r="O833" s="35" t="str">
        <f aca="false">IF(OR(N833="",K833=""),"",IF(K833=0,"",N833/K833))</f>
        <v/>
      </c>
      <c r="P833" s="25"/>
      <c r="Q833" s="25"/>
      <c r="R833" s="25"/>
      <c r="S833" s="36" t="str">
        <f aca="false">IF(A833="","",YEAR(A833)+IF(AND(FYStart&gt;1,MONTH(A833)&gt;=FYStart),1,0))</f>
        <v/>
      </c>
      <c r="T833" s="36" t="str">
        <f aca="false">IF(A833="","",MOD(MONTH(A833)-FYStart,12)+1)</f>
        <v/>
      </c>
      <c r="U833" s="37" t="str">
        <f aca="false">IF(A833="","",TEXT(A833,"mmm"))</f>
        <v/>
      </c>
      <c r="V833" s="37" t="str">
        <f aca="false">IF(Q833="","",IFERROR(INDEX(Settings!$I$11:$I$15,MATCH(Q833,Settings!$H$11:$H$15,0)),"No"))</f>
        <v/>
      </c>
      <c r="W833" s="37" t="str">
        <f aca="false">IF(Q833="","",IFERROR(INDEX(Settings!$J$11:$J$15,MATCH(Q833,Settings!$H$11:$H$15,0)),"No"))</f>
        <v/>
      </c>
    </row>
    <row r="834" customFormat="false" ht="15" hidden="false" customHeight="false" outlineLevel="0" collapsed="false">
      <c r="A834" s="30"/>
      <c r="B834" s="25"/>
      <c r="C834" s="25"/>
      <c r="D834" s="25"/>
      <c r="E834" s="25"/>
      <c r="F834" s="25"/>
      <c r="G834" s="25"/>
      <c r="H834" s="31"/>
      <c r="I834" s="32"/>
      <c r="J834" s="33"/>
      <c r="K834" s="34" t="str">
        <f aca="false">IF(OR(H834="",I834=""),"",H834*I834*(1-N(J834)))</f>
        <v/>
      </c>
      <c r="L834" s="32"/>
      <c r="M834" s="34" t="str">
        <f aca="false">IF(OR(H834="",L834=""),"",H834*L834)</f>
        <v/>
      </c>
      <c r="N834" s="34" t="str">
        <f aca="false">IF(OR(K834="",M834=""),"",K834-M834)</f>
        <v/>
      </c>
      <c r="O834" s="35" t="str">
        <f aca="false">IF(OR(N834="",K834=""),"",IF(K834=0,"",N834/K834))</f>
        <v/>
      </c>
      <c r="P834" s="25"/>
      <c r="Q834" s="25"/>
      <c r="R834" s="25"/>
      <c r="S834" s="36" t="str">
        <f aca="false">IF(A834="","",YEAR(A834)+IF(AND(FYStart&gt;1,MONTH(A834)&gt;=FYStart),1,0))</f>
        <v/>
      </c>
      <c r="T834" s="36" t="str">
        <f aca="false">IF(A834="","",MOD(MONTH(A834)-FYStart,12)+1)</f>
        <v/>
      </c>
      <c r="U834" s="37" t="str">
        <f aca="false">IF(A834="","",TEXT(A834,"mmm"))</f>
        <v/>
      </c>
      <c r="V834" s="37" t="str">
        <f aca="false">IF(Q834="","",IFERROR(INDEX(Settings!$I$11:$I$15,MATCH(Q834,Settings!$H$11:$H$15,0)),"No"))</f>
        <v/>
      </c>
      <c r="W834" s="37" t="str">
        <f aca="false">IF(Q834="","",IFERROR(INDEX(Settings!$J$11:$J$15,MATCH(Q834,Settings!$H$11:$H$15,0)),"No"))</f>
        <v/>
      </c>
    </row>
    <row r="835" customFormat="false" ht="15" hidden="false" customHeight="false" outlineLevel="0" collapsed="false">
      <c r="A835" s="30"/>
      <c r="B835" s="25"/>
      <c r="C835" s="25"/>
      <c r="D835" s="25"/>
      <c r="E835" s="25"/>
      <c r="F835" s="25"/>
      <c r="G835" s="25"/>
      <c r="H835" s="31"/>
      <c r="I835" s="32"/>
      <c r="J835" s="33"/>
      <c r="K835" s="34" t="str">
        <f aca="false">IF(OR(H835="",I835=""),"",H835*I835*(1-N(J835)))</f>
        <v/>
      </c>
      <c r="L835" s="32"/>
      <c r="M835" s="34" t="str">
        <f aca="false">IF(OR(H835="",L835=""),"",H835*L835)</f>
        <v/>
      </c>
      <c r="N835" s="34" t="str">
        <f aca="false">IF(OR(K835="",M835=""),"",K835-M835)</f>
        <v/>
      </c>
      <c r="O835" s="35" t="str">
        <f aca="false">IF(OR(N835="",K835=""),"",IF(K835=0,"",N835/K835))</f>
        <v/>
      </c>
      <c r="P835" s="25"/>
      <c r="Q835" s="25"/>
      <c r="R835" s="25"/>
      <c r="S835" s="36" t="str">
        <f aca="false">IF(A835="","",YEAR(A835)+IF(AND(FYStart&gt;1,MONTH(A835)&gt;=FYStart),1,0))</f>
        <v/>
      </c>
      <c r="T835" s="36" t="str">
        <f aca="false">IF(A835="","",MOD(MONTH(A835)-FYStart,12)+1)</f>
        <v/>
      </c>
      <c r="U835" s="37" t="str">
        <f aca="false">IF(A835="","",TEXT(A835,"mmm"))</f>
        <v/>
      </c>
      <c r="V835" s="37" t="str">
        <f aca="false">IF(Q835="","",IFERROR(INDEX(Settings!$I$11:$I$15,MATCH(Q835,Settings!$H$11:$H$15,0)),"No"))</f>
        <v/>
      </c>
      <c r="W835" s="37" t="str">
        <f aca="false">IF(Q835="","",IFERROR(INDEX(Settings!$J$11:$J$15,MATCH(Q835,Settings!$H$11:$H$15,0)),"No"))</f>
        <v/>
      </c>
    </row>
    <row r="836" customFormat="false" ht="15" hidden="false" customHeight="false" outlineLevel="0" collapsed="false">
      <c r="A836" s="30"/>
      <c r="B836" s="25"/>
      <c r="C836" s="25"/>
      <c r="D836" s="25"/>
      <c r="E836" s="25"/>
      <c r="F836" s="25"/>
      <c r="G836" s="25"/>
      <c r="H836" s="31"/>
      <c r="I836" s="32"/>
      <c r="J836" s="33"/>
      <c r="K836" s="34" t="str">
        <f aca="false">IF(OR(H836="",I836=""),"",H836*I836*(1-N(J836)))</f>
        <v/>
      </c>
      <c r="L836" s="32"/>
      <c r="M836" s="34" t="str">
        <f aca="false">IF(OR(H836="",L836=""),"",H836*L836)</f>
        <v/>
      </c>
      <c r="N836" s="34" t="str">
        <f aca="false">IF(OR(K836="",M836=""),"",K836-M836)</f>
        <v/>
      </c>
      <c r="O836" s="35" t="str">
        <f aca="false">IF(OR(N836="",K836=""),"",IF(K836=0,"",N836/K836))</f>
        <v/>
      </c>
      <c r="P836" s="25"/>
      <c r="Q836" s="25"/>
      <c r="R836" s="25"/>
      <c r="S836" s="36" t="str">
        <f aca="false">IF(A836="","",YEAR(A836)+IF(AND(FYStart&gt;1,MONTH(A836)&gt;=FYStart),1,0))</f>
        <v/>
      </c>
      <c r="T836" s="36" t="str">
        <f aca="false">IF(A836="","",MOD(MONTH(A836)-FYStart,12)+1)</f>
        <v/>
      </c>
      <c r="U836" s="37" t="str">
        <f aca="false">IF(A836="","",TEXT(A836,"mmm"))</f>
        <v/>
      </c>
      <c r="V836" s="37" t="str">
        <f aca="false">IF(Q836="","",IFERROR(INDEX(Settings!$I$11:$I$15,MATCH(Q836,Settings!$H$11:$H$15,0)),"No"))</f>
        <v/>
      </c>
      <c r="W836" s="37" t="str">
        <f aca="false">IF(Q836="","",IFERROR(INDEX(Settings!$J$11:$J$15,MATCH(Q836,Settings!$H$11:$H$15,0)),"No"))</f>
        <v/>
      </c>
    </row>
    <row r="837" customFormat="false" ht="15" hidden="false" customHeight="false" outlineLevel="0" collapsed="false">
      <c r="A837" s="30"/>
      <c r="B837" s="25"/>
      <c r="C837" s="25"/>
      <c r="D837" s="25"/>
      <c r="E837" s="25"/>
      <c r="F837" s="25"/>
      <c r="G837" s="25"/>
      <c r="H837" s="31"/>
      <c r="I837" s="32"/>
      <c r="J837" s="33"/>
      <c r="K837" s="34" t="str">
        <f aca="false">IF(OR(H837="",I837=""),"",H837*I837*(1-N(J837)))</f>
        <v/>
      </c>
      <c r="L837" s="32"/>
      <c r="M837" s="34" t="str">
        <f aca="false">IF(OR(H837="",L837=""),"",H837*L837)</f>
        <v/>
      </c>
      <c r="N837" s="34" t="str">
        <f aca="false">IF(OR(K837="",M837=""),"",K837-M837)</f>
        <v/>
      </c>
      <c r="O837" s="35" t="str">
        <f aca="false">IF(OR(N837="",K837=""),"",IF(K837=0,"",N837/K837))</f>
        <v/>
      </c>
      <c r="P837" s="25"/>
      <c r="Q837" s="25"/>
      <c r="R837" s="25"/>
      <c r="S837" s="36" t="str">
        <f aca="false">IF(A837="","",YEAR(A837)+IF(AND(FYStart&gt;1,MONTH(A837)&gt;=FYStart),1,0))</f>
        <v/>
      </c>
      <c r="T837" s="36" t="str">
        <f aca="false">IF(A837="","",MOD(MONTH(A837)-FYStart,12)+1)</f>
        <v/>
      </c>
      <c r="U837" s="37" t="str">
        <f aca="false">IF(A837="","",TEXT(A837,"mmm"))</f>
        <v/>
      </c>
      <c r="V837" s="37" t="str">
        <f aca="false">IF(Q837="","",IFERROR(INDEX(Settings!$I$11:$I$15,MATCH(Q837,Settings!$H$11:$H$15,0)),"No"))</f>
        <v/>
      </c>
      <c r="W837" s="37" t="str">
        <f aca="false">IF(Q837="","",IFERROR(INDEX(Settings!$J$11:$J$15,MATCH(Q837,Settings!$H$11:$H$15,0)),"No"))</f>
        <v/>
      </c>
    </row>
    <row r="838" customFormat="false" ht="15" hidden="false" customHeight="false" outlineLevel="0" collapsed="false">
      <c r="A838" s="30"/>
      <c r="B838" s="25"/>
      <c r="C838" s="25"/>
      <c r="D838" s="25"/>
      <c r="E838" s="25"/>
      <c r="F838" s="25"/>
      <c r="G838" s="25"/>
      <c r="H838" s="31"/>
      <c r="I838" s="32"/>
      <c r="J838" s="33"/>
      <c r="K838" s="34" t="str">
        <f aca="false">IF(OR(H838="",I838=""),"",H838*I838*(1-N(J838)))</f>
        <v/>
      </c>
      <c r="L838" s="32"/>
      <c r="M838" s="34" t="str">
        <f aca="false">IF(OR(H838="",L838=""),"",H838*L838)</f>
        <v/>
      </c>
      <c r="N838" s="34" t="str">
        <f aca="false">IF(OR(K838="",M838=""),"",K838-M838)</f>
        <v/>
      </c>
      <c r="O838" s="35" t="str">
        <f aca="false">IF(OR(N838="",K838=""),"",IF(K838=0,"",N838/K838))</f>
        <v/>
      </c>
      <c r="P838" s="25"/>
      <c r="Q838" s="25"/>
      <c r="R838" s="25"/>
      <c r="S838" s="36" t="str">
        <f aca="false">IF(A838="","",YEAR(A838)+IF(AND(FYStart&gt;1,MONTH(A838)&gt;=FYStart),1,0))</f>
        <v/>
      </c>
      <c r="T838" s="36" t="str">
        <f aca="false">IF(A838="","",MOD(MONTH(A838)-FYStart,12)+1)</f>
        <v/>
      </c>
      <c r="U838" s="37" t="str">
        <f aca="false">IF(A838="","",TEXT(A838,"mmm"))</f>
        <v/>
      </c>
      <c r="V838" s="37" t="str">
        <f aca="false">IF(Q838="","",IFERROR(INDEX(Settings!$I$11:$I$15,MATCH(Q838,Settings!$H$11:$H$15,0)),"No"))</f>
        <v/>
      </c>
      <c r="W838" s="37" t="str">
        <f aca="false">IF(Q838="","",IFERROR(INDEX(Settings!$J$11:$J$15,MATCH(Q838,Settings!$H$11:$H$15,0)),"No"))</f>
        <v/>
      </c>
    </row>
    <row r="839" customFormat="false" ht="15" hidden="false" customHeight="false" outlineLevel="0" collapsed="false">
      <c r="A839" s="30"/>
      <c r="B839" s="25"/>
      <c r="C839" s="25"/>
      <c r="D839" s="25"/>
      <c r="E839" s="25"/>
      <c r="F839" s="25"/>
      <c r="G839" s="25"/>
      <c r="H839" s="31"/>
      <c r="I839" s="32"/>
      <c r="J839" s="33"/>
      <c r="K839" s="34" t="str">
        <f aca="false">IF(OR(H839="",I839=""),"",H839*I839*(1-N(J839)))</f>
        <v/>
      </c>
      <c r="L839" s="32"/>
      <c r="M839" s="34" t="str">
        <f aca="false">IF(OR(H839="",L839=""),"",H839*L839)</f>
        <v/>
      </c>
      <c r="N839" s="34" t="str">
        <f aca="false">IF(OR(K839="",M839=""),"",K839-M839)</f>
        <v/>
      </c>
      <c r="O839" s="35" t="str">
        <f aca="false">IF(OR(N839="",K839=""),"",IF(K839=0,"",N839/K839))</f>
        <v/>
      </c>
      <c r="P839" s="25"/>
      <c r="Q839" s="25"/>
      <c r="R839" s="25"/>
      <c r="S839" s="36" t="str">
        <f aca="false">IF(A839="","",YEAR(A839)+IF(AND(FYStart&gt;1,MONTH(A839)&gt;=FYStart),1,0))</f>
        <v/>
      </c>
      <c r="T839" s="36" t="str">
        <f aca="false">IF(A839="","",MOD(MONTH(A839)-FYStart,12)+1)</f>
        <v/>
      </c>
      <c r="U839" s="37" t="str">
        <f aca="false">IF(A839="","",TEXT(A839,"mmm"))</f>
        <v/>
      </c>
      <c r="V839" s="37" t="str">
        <f aca="false">IF(Q839="","",IFERROR(INDEX(Settings!$I$11:$I$15,MATCH(Q839,Settings!$H$11:$H$15,0)),"No"))</f>
        <v/>
      </c>
      <c r="W839" s="37" t="str">
        <f aca="false">IF(Q839="","",IFERROR(INDEX(Settings!$J$11:$J$15,MATCH(Q839,Settings!$H$11:$H$15,0)),"No"))</f>
        <v/>
      </c>
    </row>
    <row r="840" customFormat="false" ht="15" hidden="false" customHeight="false" outlineLevel="0" collapsed="false">
      <c r="A840" s="30"/>
      <c r="B840" s="25"/>
      <c r="C840" s="25"/>
      <c r="D840" s="25"/>
      <c r="E840" s="25"/>
      <c r="F840" s="25"/>
      <c r="G840" s="25"/>
      <c r="H840" s="31"/>
      <c r="I840" s="32"/>
      <c r="J840" s="33"/>
      <c r="K840" s="34" t="str">
        <f aca="false">IF(OR(H840="",I840=""),"",H840*I840*(1-N(J840)))</f>
        <v/>
      </c>
      <c r="L840" s="32"/>
      <c r="M840" s="34" t="str">
        <f aca="false">IF(OR(H840="",L840=""),"",H840*L840)</f>
        <v/>
      </c>
      <c r="N840" s="34" t="str">
        <f aca="false">IF(OR(K840="",M840=""),"",K840-M840)</f>
        <v/>
      </c>
      <c r="O840" s="35" t="str">
        <f aca="false">IF(OR(N840="",K840=""),"",IF(K840=0,"",N840/K840))</f>
        <v/>
      </c>
      <c r="P840" s="25"/>
      <c r="Q840" s="25"/>
      <c r="R840" s="25"/>
      <c r="S840" s="36" t="str">
        <f aca="false">IF(A840="","",YEAR(A840)+IF(AND(FYStart&gt;1,MONTH(A840)&gt;=FYStart),1,0))</f>
        <v/>
      </c>
      <c r="T840" s="36" t="str">
        <f aca="false">IF(A840="","",MOD(MONTH(A840)-FYStart,12)+1)</f>
        <v/>
      </c>
      <c r="U840" s="37" t="str">
        <f aca="false">IF(A840="","",TEXT(A840,"mmm"))</f>
        <v/>
      </c>
      <c r="V840" s="37" t="str">
        <f aca="false">IF(Q840="","",IFERROR(INDEX(Settings!$I$11:$I$15,MATCH(Q840,Settings!$H$11:$H$15,0)),"No"))</f>
        <v/>
      </c>
      <c r="W840" s="37" t="str">
        <f aca="false">IF(Q840="","",IFERROR(INDEX(Settings!$J$11:$J$15,MATCH(Q840,Settings!$H$11:$H$15,0)),"No"))</f>
        <v/>
      </c>
    </row>
    <row r="841" customFormat="false" ht="15" hidden="false" customHeight="false" outlineLevel="0" collapsed="false">
      <c r="A841" s="30"/>
      <c r="B841" s="25"/>
      <c r="C841" s="25"/>
      <c r="D841" s="25"/>
      <c r="E841" s="25"/>
      <c r="F841" s="25"/>
      <c r="G841" s="25"/>
      <c r="H841" s="31"/>
      <c r="I841" s="32"/>
      <c r="J841" s="33"/>
      <c r="K841" s="34" t="str">
        <f aca="false">IF(OR(H841="",I841=""),"",H841*I841*(1-N(J841)))</f>
        <v/>
      </c>
      <c r="L841" s="32"/>
      <c r="M841" s="34" t="str">
        <f aca="false">IF(OR(H841="",L841=""),"",H841*L841)</f>
        <v/>
      </c>
      <c r="N841" s="34" t="str">
        <f aca="false">IF(OR(K841="",M841=""),"",K841-M841)</f>
        <v/>
      </c>
      <c r="O841" s="35" t="str">
        <f aca="false">IF(OR(N841="",K841=""),"",IF(K841=0,"",N841/K841))</f>
        <v/>
      </c>
      <c r="P841" s="25"/>
      <c r="Q841" s="25"/>
      <c r="R841" s="25"/>
      <c r="S841" s="36" t="str">
        <f aca="false">IF(A841="","",YEAR(A841)+IF(AND(FYStart&gt;1,MONTH(A841)&gt;=FYStart),1,0))</f>
        <v/>
      </c>
      <c r="T841" s="36" t="str">
        <f aca="false">IF(A841="","",MOD(MONTH(A841)-FYStart,12)+1)</f>
        <v/>
      </c>
      <c r="U841" s="37" t="str">
        <f aca="false">IF(A841="","",TEXT(A841,"mmm"))</f>
        <v/>
      </c>
      <c r="V841" s="37" t="str">
        <f aca="false">IF(Q841="","",IFERROR(INDEX(Settings!$I$11:$I$15,MATCH(Q841,Settings!$H$11:$H$15,0)),"No"))</f>
        <v/>
      </c>
      <c r="W841" s="37" t="str">
        <f aca="false">IF(Q841="","",IFERROR(INDEX(Settings!$J$11:$J$15,MATCH(Q841,Settings!$H$11:$H$15,0)),"No"))</f>
        <v/>
      </c>
    </row>
    <row r="842" customFormat="false" ht="15" hidden="false" customHeight="false" outlineLevel="0" collapsed="false">
      <c r="A842" s="30"/>
      <c r="B842" s="25"/>
      <c r="C842" s="25"/>
      <c r="D842" s="25"/>
      <c r="E842" s="25"/>
      <c r="F842" s="25"/>
      <c r="G842" s="25"/>
      <c r="H842" s="31"/>
      <c r="I842" s="32"/>
      <c r="J842" s="33"/>
      <c r="K842" s="34" t="str">
        <f aca="false">IF(OR(H842="",I842=""),"",H842*I842*(1-N(J842)))</f>
        <v/>
      </c>
      <c r="L842" s="32"/>
      <c r="M842" s="34" t="str">
        <f aca="false">IF(OR(H842="",L842=""),"",H842*L842)</f>
        <v/>
      </c>
      <c r="N842" s="34" t="str">
        <f aca="false">IF(OR(K842="",M842=""),"",K842-M842)</f>
        <v/>
      </c>
      <c r="O842" s="35" t="str">
        <f aca="false">IF(OR(N842="",K842=""),"",IF(K842=0,"",N842/K842))</f>
        <v/>
      </c>
      <c r="P842" s="25"/>
      <c r="Q842" s="25"/>
      <c r="R842" s="25"/>
      <c r="S842" s="36" t="str">
        <f aca="false">IF(A842="","",YEAR(A842)+IF(AND(FYStart&gt;1,MONTH(A842)&gt;=FYStart),1,0))</f>
        <v/>
      </c>
      <c r="T842" s="36" t="str">
        <f aca="false">IF(A842="","",MOD(MONTH(A842)-FYStart,12)+1)</f>
        <v/>
      </c>
      <c r="U842" s="37" t="str">
        <f aca="false">IF(A842="","",TEXT(A842,"mmm"))</f>
        <v/>
      </c>
      <c r="V842" s="37" t="str">
        <f aca="false">IF(Q842="","",IFERROR(INDEX(Settings!$I$11:$I$15,MATCH(Q842,Settings!$H$11:$H$15,0)),"No"))</f>
        <v/>
      </c>
      <c r="W842" s="37" t="str">
        <f aca="false">IF(Q842="","",IFERROR(INDEX(Settings!$J$11:$J$15,MATCH(Q842,Settings!$H$11:$H$15,0)),"No"))</f>
        <v/>
      </c>
    </row>
    <row r="843" customFormat="false" ht="15" hidden="false" customHeight="false" outlineLevel="0" collapsed="false">
      <c r="A843" s="30"/>
      <c r="B843" s="25"/>
      <c r="C843" s="25"/>
      <c r="D843" s="25"/>
      <c r="E843" s="25"/>
      <c r="F843" s="25"/>
      <c r="G843" s="25"/>
      <c r="H843" s="31"/>
      <c r="I843" s="32"/>
      <c r="J843" s="33"/>
      <c r="K843" s="34" t="str">
        <f aca="false">IF(OR(H843="",I843=""),"",H843*I843*(1-N(J843)))</f>
        <v/>
      </c>
      <c r="L843" s="32"/>
      <c r="M843" s="34" t="str">
        <f aca="false">IF(OR(H843="",L843=""),"",H843*L843)</f>
        <v/>
      </c>
      <c r="N843" s="34" t="str">
        <f aca="false">IF(OR(K843="",M843=""),"",K843-M843)</f>
        <v/>
      </c>
      <c r="O843" s="35" t="str">
        <f aca="false">IF(OR(N843="",K843=""),"",IF(K843=0,"",N843/K843))</f>
        <v/>
      </c>
      <c r="P843" s="25"/>
      <c r="Q843" s="25"/>
      <c r="R843" s="25"/>
      <c r="S843" s="36" t="str">
        <f aca="false">IF(A843="","",YEAR(A843)+IF(AND(FYStart&gt;1,MONTH(A843)&gt;=FYStart),1,0))</f>
        <v/>
      </c>
      <c r="T843" s="36" t="str">
        <f aca="false">IF(A843="","",MOD(MONTH(A843)-FYStart,12)+1)</f>
        <v/>
      </c>
      <c r="U843" s="37" t="str">
        <f aca="false">IF(A843="","",TEXT(A843,"mmm"))</f>
        <v/>
      </c>
      <c r="V843" s="37" t="str">
        <f aca="false">IF(Q843="","",IFERROR(INDEX(Settings!$I$11:$I$15,MATCH(Q843,Settings!$H$11:$H$15,0)),"No"))</f>
        <v/>
      </c>
      <c r="W843" s="37" t="str">
        <f aca="false">IF(Q843="","",IFERROR(INDEX(Settings!$J$11:$J$15,MATCH(Q843,Settings!$H$11:$H$15,0)),"No"))</f>
        <v/>
      </c>
    </row>
    <row r="844" customFormat="false" ht="15" hidden="false" customHeight="false" outlineLevel="0" collapsed="false">
      <c r="A844" s="30"/>
      <c r="B844" s="25"/>
      <c r="C844" s="25"/>
      <c r="D844" s="25"/>
      <c r="E844" s="25"/>
      <c r="F844" s="25"/>
      <c r="G844" s="25"/>
      <c r="H844" s="31"/>
      <c r="I844" s="32"/>
      <c r="J844" s="33"/>
      <c r="K844" s="34" t="str">
        <f aca="false">IF(OR(H844="",I844=""),"",H844*I844*(1-N(J844)))</f>
        <v/>
      </c>
      <c r="L844" s="32"/>
      <c r="M844" s="34" t="str">
        <f aca="false">IF(OR(H844="",L844=""),"",H844*L844)</f>
        <v/>
      </c>
      <c r="N844" s="34" t="str">
        <f aca="false">IF(OR(K844="",M844=""),"",K844-M844)</f>
        <v/>
      </c>
      <c r="O844" s="35" t="str">
        <f aca="false">IF(OR(N844="",K844=""),"",IF(K844=0,"",N844/K844))</f>
        <v/>
      </c>
      <c r="P844" s="25"/>
      <c r="Q844" s="25"/>
      <c r="R844" s="25"/>
      <c r="S844" s="36" t="str">
        <f aca="false">IF(A844="","",YEAR(A844)+IF(AND(FYStart&gt;1,MONTH(A844)&gt;=FYStart),1,0))</f>
        <v/>
      </c>
      <c r="T844" s="36" t="str">
        <f aca="false">IF(A844="","",MOD(MONTH(A844)-FYStart,12)+1)</f>
        <v/>
      </c>
      <c r="U844" s="37" t="str">
        <f aca="false">IF(A844="","",TEXT(A844,"mmm"))</f>
        <v/>
      </c>
      <c r="V844" s="37" t="str">
        <f aca="false">IF(Q844="","",IFERROR(INDEX(Settings!$I$11:$I$15,MATCH(Q844,Settings!$H$11:$H$15,0)),"No"))</f>
        <v/>
      </c>
      <c r="W844" s="37" t="str">
        <f aca="false">IF(Q844="","",IFERROR(INDEX(Settings!$J$11:$J$15,MATCH(Q844,Settings!$H$11:$H$15,0)),"No"))</f>
        <v/>
      </c>
    </row>
    <row r="845" customFormat="false" ht="15" hidden="false" customHeight="false" outlineLevel="0" collapsed="false">
      <c r="A845" s="30"/>
      <c r="B845" s="25"/>
      <c r="C845" s="25"/>
      <c r="D845" s="25"/>
      <c r="E845" s="25"/>
      <c r="F845" s="25"/>
      <c r="G845" s="25"/>
      <c r="H845" s="31"/>
      <c r="I845" s="32"/>
      <c r="J845" s="33"/>
      <c r="K845" s="34" t="str">
        <f aca="false">IF(OR(H845="",I845=""),"",H845*I845*(1-N(J845)))</f>
        <v/>
      </c>
      <c r="L845" s="32"/>
      <c r="M845" s="34" t="str">
        <f aca="false">IF(OR(H845="",L845=""),"",H845*L845)</f>
        <v/>
      </c>
      <c r="N845" s="34" t="str">
        <f aca="false">IF(OR(K845="",M845=""),"",K845-M845)</f>
        <v/>
      </c>
      <c r="O845" s="35" t="str">
        <f aca="false">IF(OR(N845="",K845=""),"",IF(K845=0,"",N845/K845))</f>
        <v/>
      </c>
      <c r="P845" s="25"/>
      <c r="Q845" s="25"/>
      <c r="R845" s="25"/>
      <c r="S845" s="36" t="str">
        <f aca="false">IF(A845="","",YEAR(A845)+IF(AND(FYStart&gt;1,MONTH(A845)&gt;=FYStart),1,0))</f>
        <v/>
      </c>
      <c r="T845" s="36" t="str">
        <f aca="false">IF(A845="","",MOD(MONTH(A845)-FYStart,12)+1)</f>
        <v/>
      </c>
      <c r="U845" s="37" t="str">
        <f aca="false">IF(A845="","",TEXT(A845,"mmm"))</f>
        <v/>
      </c>
      <c r="V845" s="37" t="str">
        <f aca="false">IF(Q845="","",IFERROR(INDEX(Settings!$I$11:$I$15,MATCH(Q845,Settings!$H$11:$H$15,0)),"No"))</f>
        <v/>
      </c>
      <c r="W845" s="37" t="str">
        <f aca="false">IF(Q845="","",IFERROR(INDEX(Settings!$J$11:$J$15,MATCH(Q845,Settings!$H$11:$H$15,0)),"No"))</f>
        <v/>
      </c>
    </row>
    <row r="846" customFormat="false" ht="15" hidden="false" customHeight="false" outlineLevel="0" collapsed="false">
      <c r="A846" s="30"/>
      <c r="B846" s="25"/>
      <c r="C846" s="25"/>
      <c r="D846" s="25"/>
      <c r="E846" s="25"/>
      <c r="F846" s="25"/>
      <c r="G846" s="25"/>
      <c r="H846" s="31"/>
      <c r="I846" s="32"/>
      <c r="J846" s="33"/>
      <c r="K846" s="34" t="str">
        <f aca="false">IF(OR(H846="",I846=""),"",H846*I846*(1-N(J846)))</f>
        <v/>
      </c>
      <c r="L846" s="32"/>
      <c r="M846" s="34" t="str">
        <f aca="false">IF(OR(H846="",L846=""),"",H846*L846)</f>
        <v/>
      </c>
      <c r="N846" s="34" t="str">
        <f aca="false">IF(OR(K846="",M846=""),"",K846-M846)</f>
        <v/>
      </c>
      <c r="O846" s="35" t="str">
        <f aca="false">IF(OR(N846="",K846=""),"",IF(K846=0,"",N846/K846))</f>
        <v/>
      </c>
      <c r="P846" s="25"/>
      <c r="Q846" s="25"/>
      <c r="R846" s="25"/>
      <c r="S846" s="36" t="str">
        <f aca="false">IF(A846="","",YEAR(A846)+IF(AND(FYStart&gt;1,MONTH(A846)&gt;=FYStart),1,0))</f>
        <v/>
      </c>
      <c r="T846" s="36" t="str">
        <f aca="false">IF(A846="","",MOD(MONTH(A846)-FYStart,12)+1)</f>
        <v/>
      </c>
      <c r="U846" s="37" t="str">
        <f aca="false">IF(A846="","",TEXT(A846,"mmm"))</f>
        <v/>
      </c>
      <c r="V846" s="37" t="str">
        <f aca="false">IF(Q846="","",IFERROR(INDEX(Settings!$I$11:$I$15,MATCH(Q846,Settings!$H$11:$H$15,0)),"No"))</f>
        <v/>
      </c>
      <c r="W846" s="37" t="str">
        <f aca="false">IF(Q846="","",IFERROR(INDEX(Settings!$J$11:$J$15,MATCH(Q846,Settings!$H$11:$H$15,0)),"No"))</f>
        <v/>
      </c>
    </row>
    <row r="847" customFormat="false" ht="15" hidden="false" customHeight="false" outlineLevel="0" collapsed="false">
      <c r="A847" s="30"/>
      <c r="B847" s="25"/>
      <c r="C847" s="25"/>
      <c r="D847" s="25"/>
      <c r="E847" s="25"/>
      <c r="F847" s="25"/>
      <c r="G847" s="25"/>
      <c r="H847" s="31"/>
      <c r="I847" s="32"/>
      <c r="J847" s="33"/>
      <c r="K847" s="34" t="str">
        <f aca="false">IF(OR(H847="",I847=""),"",H847*I847*(1-N(J847)))</f>
        <v/>
      </c>
      <c r="L847" s="32"/>
      <c r="M847" s="34" t="str">
        <f aca="false">IF(OR(H847="",L847=""),"",H847*L847)</f>
        <v/>
      </c>
      <c r="N847" s="34" t="str">
        <f aca="false">IF(OR(K847="",M847=""),"",K847-M847)</f>
        <v/>
      </c>
      <c r="O847" s="35" t="str">
        <f aca="false">IF(OR(N847="",K847=""),"",IF(K847=0,"",N847/K847))</f>
        <v/>
      </c>
      <c r="P847" s="25"/>
      <c r="Q847" s="25"/>
      <c r="R847" s="25"/>
      <c r="S847" s="36" t="str">
        <f aca="false">IF(A847="","",YEAR(A847)+IF(AND(FYStart&gt;1,MONTH(A847)&gt;=FYStart),1,0))</f>
        <v/>
      </c>
      <c r="T847" s="36" t="str">
        <f aca="false">IF(A847="","",MOD(MONTH(A847)-FYStart,12)+1)</f>
        <v/>
      </c>
      <c r="U847" s="37" t="str">
        <f aca="false">IF(A847="","",TEXT(A847,"mmm"))</f>
        <v/>
      </c>
      <c r="V847" s="37" t="str">
        <f aca="false">IF(Q847="","",IFERROR(INDEX(Settings!$I$11:$I$15,MATCH(Q847,Settings!$H$11:$H$15,0)),"No"))</f>
        <v/>
      </c>
      <c r="W847" s="37" t="str">
        <f aca="false">IF(Q847="","",IFERROR(INDEX(Settings!$J$11:$J$15,MATCH(Q847,Settings!$H$11:$H$15,0)),"No"))</f>
        <v/>
      </c>
    </row>
    <row r="848" customFormat="false" ht="15" hidden="false" customHeight="false" outlineLevel="0" collapsed="false">
      <c r="A848" s="30"/>
      <c r="B848" s="25"/>
      <c r="C848" s="25"/>
      <c r="D848" s="25"/>
      <c r="E848" s="25"/>
      <c r="F848" s="25"/>
      <c r="G848" s="25"/>
      <c r="H848" s="31"/>
      <c r="I848" s="32"/>
      <c r="J848" s="33"/>
      <c r="K848" s="34" t="str">
        <f aca="false">IF(OR(H848="",I848=""),"",H848*I848*(1-N(J848)))</f>
        <v/>
      </c>
      <c r="L848" s="32"/>
      <c r="M848" s="34" t="str">
        <f aca="false">IF(OR(H848="",L848=""),"",H848*L848)</f>
        <v/>
      </c>
      <c r="N848" s="34" t="str">
        <f aca="false">IF(OR(K848="",M848=""),"",K848-M848)</f>
        <v/>
      </c>
      <c r="O848" s="35" t="str">
        <f aca="false">IF(OR(N848="",K848=""),"",IF(K848=0,"",N848/K848))</f>
        <v/>
      </c>
      <c r="P848" s="25"/>
      <c r="Q848" s="25"/>
      <c r="R848" s="25"/>
      <c r="S848" s="36" t="str">
        <f aca="false">IF(A848="","",YEAR(A848)+IF(AND(FYStart&gt;1,MONTH(A848)&gt;=FYStart),1,0))</f>
        <v/>
      </c>
      <c r="T848" s="36" t="str">
        <f aca="false">IF(A848="","",MOD(MONTH(A848)-FYStart,12)+1)</f>
        <v/>
      </c>
      <c r="U848" s="37" t="str">
        <f aca="false">IF(A848="","",TEXT(A848,"mmm"))</f>
        <v/>
      </c>
      <c r="V848" s="37" t="str">
        <f aca="false">IF(Q848="","",IFERROR(INDEX(Settings!$I$11:$I$15,MATCH(Q848,Settings!$H$11:$H$15,0)),"No"))</f>
        <v/>
      </c>
      <c r="W848" s="37" t="str">
        <f aca="false">IF(Q848="","",IFERROR(INDEX(Settings!$J$11:$J$15,MATCH(Q848,Settings!$H$11:$H$15,0)),"No"))</f>
        <v/>
      </c>
    </row>
    <row r="849" customFormat="false" ht="15" hidden="false" customHeight="false" outlineLevel="0" collapsed="false">
      <c r="A849" s="30"/>
      <c r="B849" s="25"/>
      <c r="C849" s="25"/>
      <c r="D849" s="25"/>
      <c r="E849" s="25"/>
      <c r="F849" s="25"/>
      <c r="G849" s="25"/>
      <c r="H849" s="31"/>
      <c r="I849" s="32"/>
      <c r="J849" s="33"/>
      <c r="K849" s="34" t="str">
        <f aca="false">IF(OR(H849="",I849=""),"",H849*I849*(1-N(J849)))</f>
        <v/>
      </c>
      <c r="L849" s="32"/>
      <c r="M849" s="34" t="str">
        <f aca="false">IF(OR(H849="",L849=""),"",H849*L849)</f>
        <v/>
      </c>
      <c r="N849" s="34" t="str">
        <f aca="false">IF(OR(K849="",M849=""),"",K849-M849)</f>
        <v/>
      </c>
      <c r="O849" s="35" t="str">
        <f aca="false">IF(OR(N849="",K849=""),"",IF(K849=0,"",N849/K849))</f>
        <v/>
      </c>
      <c r="P849" s="25"/>
      <c r="Q849" s="25"/>
      <c r="R849" s="25"/>
      <c r="S849" s="36" t="str">
        <f aca="false">IF(A849="","",YEAR(A849)+IF(AND(FYStart&gt;1,MONTH(A849)&gt;=FYStart),1,0))</f>
        <v/>
      </c>
      <c r="T849" s="36" t="str">
        <f aca="false">IF(A849="","",MOD(MONTH(A849)-FYStart,12)+1)</f>
        <v/>
      </c>
      <c r="U849" s="37" t="str">
        <f aca="false">IF(A849="","",TEXT(A849,"mmm"))</f>
        <v/>
      </c>
      <c r="V849" s="37" t="str">
        <f aca="false">IF(Q849="","",IFERROR(INDEX(Settings!$I$11:$I$15,MATCH(Q849,Settings!$H$11:$H$15,0)),"No"))</f>
        <v/>
      </c>
      <c r="W849" s="37" t="str">
        <f aca="false">IF(Q849="","",IFERROR(INDEX(Settings!$J$11:$J$15,MATCH(Q849,Settings!$H$11:$H$15,0)),"No"))</f>
        <v/>
      </c>
    </row>
    <row r="850" customFormat="false" ht="15" hidden="false" customHeight="false" outlineLevel="0" collapsed="false">
      <c r="A850" s="30"/>
      <c r="B850" s="25"/>
      <c r="C850" s="25"/>
      <c r="D850" s="25"/>
      <c r="E850" s="25"/>
      <c r="F850" s="25"/>
      <c r="G850" s="25"/>
      <c r="H850" s="31"/>
      <c r="I850" s="32"/>
      <c r="J850" s="33"/>
      <c r="K850" s="34" t="str">
        <f aca="false">IF(OR(H850="",I850=""),"",H850*I850*(1-N(J850)))</f>
        <v/>
      </c>
      <c r="L850" s="32"/>
      <c r="M850" s="34" t="str">
        <f aca="false">IF(OR(H850="",L850=""),"",H850*L850)</f>
        <v/>
      </c>
      <c r="N850" s="34" t="str">
        <f aca="false">IF(OR(K850="",M850=""),"",K850-M850)</f>
        <v/>
      </c>
      <c r="O850" s="35" t="str">
        <f aca="false">IF(OR(N850="",K850=""),"",IF(K850=0,"",N850/K850))</f>
        <v/>
      </c>
      <c r="P850" s="25"/>
      <c r="Q850" s="25"/>
      <c r="R850" s="25"/>
      <c r="S850" s="36" t="str">
        <f aca="false">IF(A850="","",YEAR(A850)+IF(AND(FYStart&gt;1,MONTH(A850)&gt;=FYStart),1,0))</f>
        <v/>
      </c>
      <c r="T850" s="36" t="str">
        <f aca="false">IF(A850="","",MOD(MONTH(A850)-FYStart,12)+1)</f>
        <v/>
      </c>
      <c r="U850" s="37" t="str">
        <f aca="false">IF(A850="","",TEXT(A850,"mmm"))</f>
        <v/>
      </c>
      <c r="V850" s="37" t="str">
        <f aca="false">IF(Q850="","",IFERROR(INDEX(Settings!$I$11:$I$15,MATCH(Q850,Settings!$H$11:$H$15,0)),"No"))</f>
        <v/>
      </c>
      <c r="W850" s="37" t="str">
        <f aca="false">IF(Q850="","",IFERROR(INDEX(Settings!$J$11:$J$15,MATCH(Q850,Settings!$H$11:$H$15,0)),"No"))</f>
        <v/>
      </c>
    </row>
    <row r="851" customFormat="false" ht="15" hidden="false" customHeight="false" outlineLevel="0" collapsed="false">
      <c r="A851" s="30"/>
      <c r="B851" s="25"/>
      <c r="C851" s="25"/>
      <c r="D851" s="25"/>
      <c r="E851" s="25"/>
      <c r="F851" s="25"/>
      <c r="G851" s="25"/>
      <c r="H851" s="31"/>
      <c r="I851" s="32"/>
      <c r="J851" s="33"/>
      <c r="K851" s="34" t="str">
        <f aca="false">IF(OR(H851="",I851=""),"",H851*I851*(1-N(J851)))</f>
        <v/>
      </c>
      <c r="L851" s="32"/>
      <c r="M851" s="34" t="str">
        <f aca="false">IF(OR(H851="",L851=""),"",H851*L851)</f>
        <v/>
      </c>
      <c r="N851" s="34" t="str">
        <f aca="false">IF(OR(K851="",M851=""),"",K851-M851)</f>
        <v/>
      </c>
      <c r="O851" s="35" t="str">
        <f aca="false">IF(OR(N851="",K851=""),"",IF(K851=0,"",N851/K851))</f>
        <v/>
      </c>
      <c r="P851" s="25"/>
      <c r="Q851" s="25"/>
      <c r="R851" s="25"/>
      <c r="S851" s="36" t="str">
        <f aca="false">IF(A851="","",YEAR(A851)+IF(AND(FYStart&gt;1,MONTH(A851)&gt;=FYStart),1,0))</f>
        <v/>
      </c>
      <c r="T851" s="36" t="str">
        <f aca="false">IF(A851="","",MOD(MONTH(A851)-FYStart,12)+1)</f>
        <v/>
      </c>
      <c r="U851" s="37" t="str">
        <f aca="false">IF(A851="","",TEXT(A851,"mmm"))</f>
        <v/>
      </c>
      <c r="V851" s="37" t="str">
        <f aca="false">IF(Q851="","",IFERROR(INDEX(Settings!$I$11:$I$15,MATCH(Q851,Settings!$H$11:$H$15,0)),"No"))</f>
        <v/>
      </c>
      <c r="W851" s="37" t="str">
        <f aca="false">IF(Q851="","",IFERROR(INDEX(Settings!$J$11:$J$15,MATCH(Q851,Settings!$H$11:$H$15,0)),"No"))</f>
        <v/>
      </c>
    </row>
    <row r="852" customFormat="false" ht="15" hidden="false" customHeight="false" outlineLevel="0" collapsed="false">
      <c r="A852" s="30"/>
      <c r="B852" s="25"/>
      <c r="C852" s="25"/>
      <c r="D852" s="25"/>
      <c r="E852" s="25"/>
      <c r="F852" s="25"/>
      <c r="G852" s="25"/>
      <c r="H852" s="31"/>
      <c r="I852" s="32"/>
      <c r="J852" s="33"/>
      <c r="K852" s="34" t="str">
        <f aca="false">IF(OR(H852="",I852=""),"",H852*I852*(1-N(J852)))</f>
        <v/>
      </c>
      <c r="L852" s="32"/>
      <c r="M852" s="34" t="str">
        <f aca="false">IF(OR(H852="",L852=""),"",H852*L852)</f>
        <v/>
      </c>
      <c r="N852" s="34" t="str">
        <f aca="false">IF(OR(K852="",M852=""),"",K852-M852)</f>
        <v/>
      </c>
      <c r="O852" s="35" t="str">
        <f aca="false">IF(OR(N852="",K852=""),"",IF(K852=0,"",N852/K852))</f>
        <v/>
      </c>
      <c r="P852" s="25"/>
      <c r="Q852" s="25"/>
      <c r="R852" s="25"/>
      <c r="S852" s="36" t="str">
        <f aca="false">IF(A852="","",YEAR(A852)+IF(AND(FYStart&gt;1,MONTH(A852)&gt;=FYStart),1,0))</f>
        <v/>
      </c>
      <c r="T852" s="36" t="str">
        <f aca="false">IF(A852="","",MOD(MONTH(A852)-FYStart,12)+1)</f>
        <v/>
      </c>
      <c r="U852" s="37" t="str">
        <f aca="false">IF(A852="","",TEXT(A852,"mmm"))</f>
        <v/>
      </c>
      <c r="V852" s="37" t="str">
        <f aca="false">IF(Q852="","",IFERROR(INDEX(Settings!$I$11:$I$15,MATCH(Q852,Settings!$H$11:$H$15,0)),"No"))</f>
        <v/>
      </c>
      <c r="W852" s="37" t="str">
        <f aca="false">IF(Q852="","",IFERROR(INDEX(Settings!$J$11:$J$15,MATCH(Q852,Settings!$H$11:$H$15,0)),"No"))</f>
        <v/>
      </c>
    </row>
    <row r="853" customFormat="false" ht="15" hidden="false" customHeight="false" outlineLevel="0" collapsed="false">
      <c r="A853" s="30"/>
      <c r="B853" s="25"/>
      <c r="C853" s="25"/>
      <c r="D853" s="25"/>
      <c r="E853" s="25"/>
      <c r="F853" s="25"/>
      <c r="G853" s="25"/>
      <c r="H853" s="31"/>
      <c r="I853" s="32"/>
      <c r="J853" s="33"/>
      <c r="K853" s="34" t="str">
        <f aca="false">IF(OR(H853="",I853=""),"",H853*I853*(1-N(J853)))</f>
        <v/>
      </c>
      <c r="L853" s="32"/>
      <c r="M853" s="34" t="str">
        <f aca="false">IF(OR(H853="",L853=""),"",H853*L853)</f>
        <v/>
      </c>
      <c r="N853" s="34" t="str">
        <f aca="false">IF(OR(K853="",M853=""),"",K853-M853)</f>
        <v/>
      </c>
      <c r="O853" s="35" t="str">
        <f aca="false">IF(OR(N853="",K853=""),"",IF(K853=0,"",N853/K853))</f>
        <v/>
      </c>
      <c r="P853" s="25"/>
      <c r="Q853" s="25"/>
      <c r="R853" s="25"/>
      <c r="S853" s="36" t="str">
        <f aca="false">IF(A853="","",YEAR(A853)+IF(AND(FYStart&gt;1,MONTH(A853)&gt;=FYStart),1,0))</f>
        <v/>
      </c>
      <c r="T853" s="36" t="str">
        <f aca="false">IF(A853="","",MOD(MONTH(A853)-FYStart,12)+1)</f>
        <v/>
      </c>
      <c r="U853" s="37" t="str">
        <f aca="false">IF(A853="","",TEXT(A853,"mmm"))</f>
        <v/>
      </c>
      <c r="V853" s="37" t="str">
        <f aca="false">IF(Q853="","",IFERROR(INDEX(Settings!$I$11:$I$15,MATCH(Q853,Settings!$H$11:$H$15,0)),"No"))</f>
        <v/>
      </c>
      <c r="W853" s="37" t="str">
        <f aca="false">IF(Q853="","",IFERROR(INDEX(Settings!$J$11:$J$15,MATCH(Q853,Settings!$H$11:$H$15,0)),"No"))</f>
        <v/>
      </c>
    </row>
    <row r="854" customFormat="false" ht="15" hidden="false" customHeight="false" outlineLevel="0" collapsed="false">
      <c r="A854" s="30"/>
      <c r="B854" s="25"/>
      <c r="C854" s="25"/>
      <c r="D854" s="25"/>
      <c r="E854" s="25"/>
      <c r="F854" s="25"/>
      <c r="G854" s="25"/>
      <c r="H854" s="31"/>
      <c r="I854" s="32"/>
      <c r="J854" s="33"/>
      <c r="K854" s="34" t="str">
        <f aca="false">IF(OR(H854="",I854=""),"",H854*I854*(1-N(J854)))</f>
        <v/>
      </c>
      <c r="L854" s="32"/>
      <c r="M854" s="34" t="str">
        <f aca="false">IF(OR(H854="",L854=""),"",H854*L854)</f>
        <v/>
      </c>
      <c r="N854" s="34" t="str">
        <f aca="false">IF(OR(K854="",M854=""),"",K854-M854)</f>
        <v/>
      </c>
      <c r="O854" s="35" t="str">
        <f aca="false">IF(OR(N854="",K854=""),"",IF(K854=0,"",N854/K854))</f>
        <v/>
      </c>
      <c r="P854" s="25"/>
      <c r="Q854" s="25"/>
      <c r="R854" s="25"/>
      <c r="S854" s="36" t="str">
        <f aca="false">IF(A854="","",YEAR(A854)+IF(AND(FYStart&gt;1,MONTH(A854)&gt;=FYStart),1,0))</f>
        <v/>
      </c>
      <c r="T854" s="36" t="str">
        <f aca="false">IF(A854="","",MOD(MONTH(A854)-FYStart,12)+1)</f>
        <v/>
      </c>
      <c r="U854" s="37" t="str">
        <f aca="false">IF(A854="","",TEXT(A854,"mmm"))</f>
        <v/>
      </c>
      <c r="V854" s="37" t="str">
        <f aca="false">IF(Q854="","",IFERROR(INDEX(Settings!$I$11:$I$15,MATCH(Q854,Settings!$H$11:$H$15,0)),"No"))</f>
        <v/>
      </c>
      <c r="W854" s="37" t="str">
        <f aca="false">IF(Q854="","",IFERROR(INDEX(Settings!$J$11:$J$15,MATCH(Q854,Settings!$H$11:$H$15,0)),"No"))</f>
        <v/>
      </c>
    </row>
    <row r="855" customFormat="false" ht="15" hidden="false" customHeight="false" outlineLevel="0" collapsed="false">
      <c r="A855" s="30"/>
      <c r="B855" s="25"/>
      <c r="C855" s="25"/>
      <c r="D855" s="25"/>
      <c r="E855" s="25"/>
      <c r="F855" s="25"/>
      <c r="G855" s="25"/>
      <c r="H855" s="31"/>
      <c r="I855" s="32"/>
      <c r="J855" s="33"/>
      <c r="K855" s="34" t="str">
        <f aca="false">IF(OR(H855="",I855=""),"",H855*I855*(1-N(J855)))</f>
        <v/>
      </c>
      <c r="L855" s="32"/>
      <c r="M855" s="34" t="str">
        <f aca="false">IF(OR(H855="",L855=""),"",H855*L855)</f>
        <v/>
      </c>
      <c r="N855" s="34" t="str">
        <f aca="false">IF(OR(K855="",M855=""),"",K855-M855)</f>
        <v/>
      </c>
      <c r="O855" s="35" t="str">
        <f aca="false">IF(OR(N855="",K855=""),"",IF(K855=0,"",N855/K855))</f>
        <v/>
      </c>
      <c r="P855" s="25"/>
      <c r="Q855" s="25"/>
      <c r="R855" s="25"/>
      <c r="S855" s="36" t="str">
        <f aca="false">IF(A855="","",YEAR(A855)+IF(AND(FYStart&gt;1,MONTH(A855)&gt;=FYStart),1,0))</f>
        <v/>
      </c>
      <c r="T855" s="36" t="str">
        <f aca="false">IF(A855="","",MOD(MONTH(A855)-FYStart,12)+1)</f>
        <v/>
      </c>
      <c r="U855" s="37" t="str">
        <f aca="false">IF(A855="","",TEXT(A855,"mmm"))</f>
        <v/>
      </c>
      <c r="V855" s="37" t="str">
        <f aca="false">IF(Q855="","",IFERROR(INDEX(Settings!$I$11:$I$15,MATCH(Q855,Settings!$H$11:$H$15,0)),"No"))</f>
        <v/>
      </c>
      <c r="W855" s="37" t="str">
        <f aca="false">IF(Q855="","",IFERROR(INDEX(Settings!$J$11:$J$15,MATCH(Q855,Settings!$H$11:$H$15,0)),"No"))</f>
        <v/>
      </c>
    </row>
    <row r="856" customFormat="false" ht="15" hidden="false" customHeight="false" outlineLevel="0" collapsed="false">
      <c r="A856" s="30"/>
      <c r="B856" s="25"/>
      <c r="C856" s="25"/>
      <c r="D856" s="25"/>
      <c r="E856" s="25"/>
      <c r="F856" s="25"/>
      <c r="G856" s="25"/>
      <c r="H856" s="31"/>
      <c r="I856" s="32"/>
      <c r="J856" s="33"/>
      <c r="K856" s="34" t="str">
        <f aca="false">IF(OR(H856="",I856=""),"",H856*I856*(1-N(J856)))</f>
        <v/>
      </c>
      <c r="L856" s="32"/>
      <c r="M856" s="34" t="str">
        <f aca="false">IF(OR(H856="",L856=""),"",H856*L856)</f>
        <v/>
      </c>
      <c r="N856" s="34" t="str">
        <f aca="false">IF(OR(K856="",M856=""),"",K856-M856)</f>
        <v/>
      </c>
      <c r="O856" s="35" t="str">
        <f aca="false">IF(OR(N856="",K856=""),"",IF(K856=0,"",N856/K856))</f>
        <v/>
      </c>
      <c r="P856" s="25"/>
      <c r="Q856" s="25"/>
      <c r="R856" s="25"/>
      <c r="S856" s="36" t="str">
        <f aca="false">IF(A856="","",YEAR(A856)+IF(AND(FYStart&gt;1,MONTH(A856)&gt;=FYStart),1,0))</f>
        <v/>
      </c>
      <c r="T856" s="36" t="str">
        <f aca="false">IF(A856="","",MOD(MONTH(A856)-FYStart,12)+1)</f>
        <v/>
      </c>
      <c r="U856" s="37" t="str">
        <f aca="false">IF(A856="","",TEXT(A856,"mmm"))</f>
        <v/>
      </c>
      <c r="V856" s="37" t="str">
        <f aca="false">IF(Q856="","",IFERROR(INDEX(Settings!$I$11:$I$15,MATCH(Q856,Settings!$H$11:$H$15,0)),"No"))</f>
        <v/>
      </c>
      <c r="W856" s="37" t="str">
        <f aca="false">IF(Q856="","",IFERROR(INDEX(Settings!$J$11:$J$15,MATCH(Q856,Settings!$H$11:$H$15,0)),"No"))</f>
        <v/>
      </c>
    </row>
    <row r="857" customFormat="false" ht="15" hidden="false" customHeight="false" outlineLevel="0" collapsed="false">
      <c r="A857" s="30"/>
      <c r="B857" s="25"/>
      <c r="C857" s="25"/>
      <c r="D857" s="25"/>
      <c r="E857" s="25"/>
      <c r="F857" s="25"/>
      <c r="G857" s="25"/>
      <c r="H857" s="31"/>
      <c r="I857" s="32"/>
      <c r="J857" s="33"/>
      <c r="K857" s="34" t="str">
        <f aca="false">IF(OR(H857="",I857=""),"",H857*I857*(1-N(J857)))</f>
        <v/>
      </c>
      <c r="L857" s="32"/>
      <c r="M857" s="34" t="str">
        <f aca="false">IF(OR(H857="",L857=""),"",H857*L857)</f>
        <v/>
      </c>
      <c r="N857" s="34" t="str">
        <f aca="false">IF(OR(K857="",M857=""),"",K857-M857)</f>
        <v/>
      </c>
      <c r="O857" s="35" t="str">
        <f aca="false">IF(OR(N857="",K857=""),"",IF(K857=0,"",N857/K857))</f>
        <v/>
      </c>
      <c r="P857" s="25"/>
      <c r="Q857" s="25"/>
      <c r="R857" s="25"/>
      <c r="S857" s="36" t="str">
        <f aca="false">IF(A857="","",YEAR(A857)+IF(AND(FYStart&gt;1,MONTH(A857)&gt;=FYStart),1,0))</f>
        <v/>
      </c>
      <c r="T857" s="36" t="str">
        <f aca="false">IF(A857="","",MOD(MONTH(A857)-FYStart,12)+1)</f>
        <v/>
      </c>
      <c r="U857" s="37" t="str">
        <f aca="false">IF(A857="","",TEXT(A857,"mmm"))</f>
        <v/>
      </c>
      <c r="V857" s="37" t="str">
        <f aca="false">IF(Q857="","",IFERROR(INDEX(Settings!$I$11:$I$15,MATCH(Q857,Settings!$H$11:$H$15,0)),"No"))</f>
        <v/>
      </c>
      <c r="W857" s="37" t="str">
        <f aca="false">IF(Q857="","",IFERROR(INDEX(Settings!$J$11:$J$15,MATCH(Q857,Settings!$H$11:$H$15,0)),"No"))</f>
        <v/>
      </c>
    </row>
    <row r="858" customFormat="false" ht="15" hidden="false" customHeight="false" outlineLevel="0" collapsed="false">
      <c r="A858" s="30"/>
      <c r="B858" s="25"/>
      <c r="C858" s="25"/>
      <c r="D858" s="25"/>
      <c r="E858" s="25"/>
      <c r="F858" s="25"/>
      <c r="G858" s="25"/>
      <c r="H858" s="31"/>
      <c r="I858" s="32"/>
      <c r="J858" s="33"/>
      <c r="K858" s="34" t="str">
        <f aca="false">IF(OR(H858="",I858=""),"",H858*I858*(1-N(J858)))</f>
        <v/>
      </c>
      <c r="L858" s="32"/>
      <c r="M858" s="34" t="str">
        <f aca="false">IF(OR(H858="",L858=""),"",H858*L858)</f>
        <v/>
      </c>
      <c r="N858" s="34" t="str">
        <f aca="false">IF(OR(K858="",M858=""),"",K858-M858)</f>
        <v/>
      </c>
      <c r="O858" s="35" t="str">
        <f aca="false">IF(OR(N858="",K858=""),"",IF(K858=0,"",N858/K858))</f>
        <v/>
      </c>
      <c r="P858" s="25"/>
      <c r="Q858" s="25"/>
      <c r="R858" s="25"/>
      <c r="S858" s="36" t="str">
        <f aca="false">IF(A858="","",YEAR(A858)+IF(AND(FYStart&gt;1,MONTH(A858)&gt;=FYStart),1,0))</f>
        <v/>
      </c>
      <c r="T858" s="36" t="str">
        <f aca="false">IF(A858="","",MOD(MONTH(A858)-FYStart,12)+1)</f>
        <v/>
      </c>
      <c r="U858" s="37" t="str">
        <f aca="false">IF(A858="","",TEXT(A858,"mmm"))</f>
        <v/>
      </c>
      <c r="V858" s="37" t="str">
        <f aca="false">IF(Q858="","",IFERROR(INDEX(Settings!$I$11:$I$15,MATCH(Q858,Settings!$H$11:$H$15,0)),"No"))</f>
        <v/>
      </c>
      <c r="W858" s="37" t="str">
        <f aca="false">IF(Q858="","",IFERROR(INDEX(Settings!$J$11:$J$15,MATCH(Q858,Settings!$H$11:$H$15,0)),"No"))</f>
        <v/>
      </c>
    </row>
    <row r="859" customFormat="false" ht="15" hidden="false" customHeight="false" outlineLevel="0" collapsed="false">
      <c r="A859" s="30"/>
      <c r="B859" s="25"/>
      <c r="C859" s="25"/>
      <c r="D859" s="25"/>
      <c r="E859" s="25"/>
      <c r="F859" s="25"/>
      <c r="G859" s="25"/>
      <c r="H859" s="31"/>
      <c r="I859" s="32"/>
      <c r="J859" s="33"/>
      <c r="K859" s="34" t="str">
        <f aca="false">IF(OR(H859="",I859=""),"",H859*I859*(1-N(J859)))</f>
        <v/>
      </c>
      <c r="L859" s="32"/>
      <c r="M859" s="34" t="str">
        <f aca="false">IF(OR(H859="",L859=""),"",H859*L859)</f>
        <v/>
      </c>
      <c r="N859" s="34" t="str">
        <f aca="false">IF(OR(K859="",M859=""),"",K859-M859)</f>
        <v/>
      </c>
      <c r="O859" s="35" t="str">
        <f aca="false">IF(OR(N859="",K859=""),"",IF(K859=0,"",N859/K859))</f>
        <v/>
      </c>
      <c r="P859" s="25"/>
      <c r="Q859" s="25"/>
      <c r="R859" s="25"/>
      <c r="S859" s="36" t="str">
        <f aca="false">IF(A859="","",YEAR(A859)+IF(AND(FYStart&gt;1,MONTH(A859)&gt;=FYStart),1,0))</f>
        <v/>
      </c>
      <c r="T859" s="36" t="str">
        <f aca="false">IF(A859="","",MOD(MONTH(A859)-FYStart,12)+1)</f>
        <v/>
      </c>
      <c r="U859" s="37" t="str">
        <f aca="false">IF(A859="","",TEXT(A859,"mmm"))</f>
        <v/>
      </c>
      <c r="V859" s="37" t="str">
        <f aca="false">IF(Q859="","",IFERROR(INDEX(Settings!$I$11:$I$15,MATCH(Q859,Settings!$H$11:$H$15,0)),"No"))</f>
        <v/>
      </c>
      <c r="W859" s="37" t="str">
        <f aca="false">IF(Q859="","",IFERROR(INDEX(Settings!$J$11:$J$15,MATCH(Q859,Settings!$H$11:$H$15,0)),"No"))</f>
        <v/>
      </c>
    </row>
    <row r="860" customFormat="false" ht="15" hidden="false" customHeight="false" outlineLevel="0" collapsed="false">
      <c r="A860" s="30"/>
      <c r="B860" s="25"/>
      <c r="C860" s="25"/>
      <c r="D860" s="25"/>
      <c r="E860" s="25"/>
      <c r="F860" s="25"/>
      <c r="G860" s="25"/>
      <c r="H860" s="31"/>
      <c r="I860" s="32"/>
      <c r="J860" s="33"/>
      <c r="K860" s="34" t="str">
        <f aca="false">IF(OR(H860="",I860=""),"",H860*I860*(1-N(J860)))</f>
        <v/>
      </c>
      <c r="L860" s="32"/>
      <c r="M860" s="34" t="str">
        <f aca="false">IF(OR(H860="",L860=""),"",H860*L860)</f>
        <v/>
      </c>
      <c r="N860" s="34" t="str">
        <f aca="false">IF(OR(K860="",M860=""),"",K860-M860)</f>
        <v/>
      </c>
      <c r="O860" s="35" t="str">
        <f aca="false">IF(OR(N860="",K860=""),"",IF(K860=0,"",N860/K860))</f>
        <v/>
      </c>
      <c r="P860" s="25"/>
      <c r="Q860" s="25"/>
      <c r="R860" s="25"/>
      <c r="S860" s="36" t="str">
        <f aca="false">IF(A860="","",YEAR(A860)+IF(AND(FYStart&gt;1,MONTH(A860)&gt;=FYStart),1,0))</f>
        <v/>
      </c>
      <c r="T860" s="36" t="str">
        <f aca="false">IF(A860="","",MOD(MONTH(A860)-FYStart,12)+1)</f>
        <v/>
      </c>
      <c r="U860" s="37" t="str">
        <f aca="false">IF(A860="","",TEXT(A860,"mmm"))</f>
        <v/>
      </c>
      <c r="V860" s="37" t="str">
        <f aca="false">IF(Q860="","",IFERROR(INDEX(Settings!$I$11:$I$15,MATCH(Q860,Settings!$H$11:$H$15,0)),"No"))</f>
        <v/>
      </c>
      <c r="W860" s="37" t="str">
        <f aca="false">IF(Q860="","",IFERROR(INDEX(Settings!$J$11:$J$15,MATCH(Q860,Settings!$H$11:$H$15,0)),"No"))</f>
        <v/>
      </c>
    </row>
    <row r="861" customFormat="false" ht="15" hidden="false" customHeight="false" outlineLevel="0" collapsed="false">
      <c r="A861" s="30"/>
      <c r="B861" s="25"/>
      <c r="C861" s="25"/>
      <c r="D861" s="25"/>
      <c r="E861" s="25"/>
      <c r="F861" s="25"/>
      <c r="G861" s="25"/>
      <c r="H861" s="31"/>
      <c r="I861" s="32"/>
      <c r="J861" s="33"/>
      <c r="K861" s="34" t="str">
        <f aca="false">IF(OR(H861="",I861=""),"",H861*I861*(1-N(J861)))</f>
        <v/>
      </c>
      <c r="L861" s="32"/>
      <c r="M861" s="34" t="str">
        <f aca="false">IF(OR(H861="",L861=""),"",H861*L861)</f>
        <v/>
      </c>
      <c r="N861" s="34" t="str">
        <f aca="false">IF(OR(K861="",M861=""),"",K861-M861)</f>
        <v/>
      </c>
      <c r="O861" s="35" t="str">
        <f aca="false">IF(OR(N861="",K861=""),"",IF(K861=0,"",N861/K861))</f>
        <v/>
      </c>
      <c r="P861" s="25"/>
      <c r="Q861" s="25"/>
      <c r="R861" s="25"/>
      <c r="S861" s="36" t="str">
        <f aca="false">IF(A861="","",YEAR(A861)+IF(AND(FYStart&gt;1,MONTH(A861)&gt;=FYStart),1,0))</f>
        <v/>
      </c>
      <c r="T861" s="36" t="str">
        <f aca="false">IF(A861="","",MOD(MONTH(A861)-FYStart,12)+1)</f>
        <v/>
      </c>
      <c r="U861" s="37" t="str">
        <f aca="false">IF(A861="","",TEXT(A861,"mmm"))</f>
        <v/>
      </c>
      <c r="V861" s="37" t="str">
        <f aca="false">IF(Q861="","",IFERROR(INDEX(Settings!$I$11:$I$15,MATCH(Q861,Settings!$H$11:$H$15,0)),"No"))</f>
        <v/>
      </c>
      <c r="W861" s="37" t="str">
        <f aca="false">IF(Q861="","",IFERROR(INDEX(Settings!$J$11:$J$15,MATCH(Q861,Settings!$H$11:$H$15,0)),"No"))</f>
        <v/>
      </c>
    </row>
    <row r="862" customFormat="false" ht="15" hidden="false" customHeight="false" outlineLevel="0" collapsed="false">
      <c r="A862" s="30"/>
      <c r="B862" s="25"/>
      <c r="C862" s="25"/>
      <c r="D862" s="25"/>
      <c r="E862" s="25"/>
      <c r="F862" s="25"/>
      <c r="G862" s="25"/>
      <c r="H862" s="31"/>
      <c r="I862" s="32"/>
      <c r="J862" s="33"/>
      <c r="K862" s="34" t="str">
        <f aca="false">IF(OR(H862="",I862=""),"",H862*I862*(1-N(J862)))</f>
        <v/>
      </c>
      <c r="L862" s="32"/>
      <c r="M862" s="34" t="str">
        <f aca="false">IF(OR(H862="",L862=""),"",H862*L862)</f>
        <v/>
      </c>
      <c r="N862" s="34" t="str">
        <f aca="false">IF(OR(K862="",M862=""),"",K862-M862)</f>
        <v/>
      </c>
      <c r="O862" s="35" t="str">
        <f aca="false">IF(OR(N862="",K862=""),"",IF(K862=0,"",N862/K862))</f>
        <v/>
      </c>
      <c r="P862" s="25"/>
      <c r="Q862" s="25"/>
      <c r="R862" s="25"/>
      <c r="S862" s="36" t="str">
        <f aca="false">IF(A862="","",YEAR(A862)+IF(AND(FYStart&gt;1,MONTH(A862)&gt;=FYStart),1,0))</f>
        <v/>
      </c>
      <c r="T862" s="36" t="str">
        <f aca="false">IF(A862="","",MOD(MONTH(A862)-FYStart,12)+1)</f>
        <v/>
      </c>
      <c r="U862" s="37" t="str">
        <f aca="false">IF(A862="","",TEXT(A862,"mmm"))</f>
        <v/>
      </c>
      <c r="V862" s="37" t="str">
        <f aca="false">IF(Q862="","",IFERROR(INDEX(Settings!$I$11:$I$15,MATCH(Q862,Settings!$H$11:$H$15,0)),"No"))</f>
        <v/>
      </c>
      <c r="W862" s="37" t="str">
        <f aca="false">IF(Q862="","",IFERROR(INDEX(Settings!$J$11:$J$15,MATCH(Q862,Settings!$H$11:$H$15,0)),"No"))</f>
        <v/>
      </c>
    </row>
    <row r="863" customFormat="false" ht="15" hidden="false" customHeight="false" outlineLevel="0" collapsed="false">
      <c r="A863" s="30"/>
      <c r="B863" s="25"/>
      <c r="C863" s="25"/>
      <c r="D863" s="25"/>
      <c r="E863" s="25"/>
      <c r="F863" s="25"/>
      <c r="G863" s="25"/>
      <c r="H863" s="31"/>
      <c r="I863" s="32"/>
      <c r="J863" s="33"/>
      <c r="K863" s="34" t="str">
        <f aca="false">IF(OR(H863="",I863=""),"",H863*I863*(1-N(J863)))</f>
        <v/>
      </c>
      <c r="L863" s="32"/>
      <c r="M863" s="34" t="str">
        <f aca="false">IF(OR(H863="",L863=""),"",H863*L863)</f>
        <v/>
      </c>
      <c r="N863" s="34" t="str">
        <f aca="false">IF(OR(K863="",M863=""),"",K863-M863)</f>
        <v/>
      </c>
      <c r="O863" s="35" t="str">
        <f aca="false">IF(OR(N863="",K863=""),"",IF(K863=0,"",N863/K863))</f>
        <v/>
      </c>
      <c r="P863" s="25"/>
      <c r="Q863" s="25"/>
      <c r="R863" s="25"/>
      <c r="S863" s="36" t="str">
        <f aca="false">IF(A863="","",YEAR(A863)+IF(AND(FYStart&gt;1,MONTH(A863)&gt;=FYStart),1,0))</f>
        <v/>
      </c>
      <c r="T863" s="36" t="str">
        <f aca="false">IF(A863="","",MOD(MONTH(A863)-FYStart,12)+1)</f>
        <v/>
      </c>
      <c r="U863" s="37" t="str">
        <f aca="false">IF(A863="","",TEXT(A863,"mmm"))</f>
        <v/>
      </c>
      <c r="V863" s="37" t="str">
        <f aca="false">IF(Q863="","",IFERROR(INDEX(Settings!$I$11:$I$15,MATCH(Q863,Settings!$H$11:$H$15,0)),"No"))</f>
        <v/>
      </c>
      <c r="W863" s="37" t="str">
        <f aca="false">IF(Q863="","",IFERROR(INDEX(Settings!$J$11:$J$15,MATCH(Q863,Settings!$H$11:$H$15,0)),"No"))</f>
        <v/>
      </c>
    </row>
    <row r="864" customFormat="false" ht="15" hidden="false" customHeight="false" outlineLevel="0" collapsed="false">
      <c r="A864" s="30"/>
      <c r="B864" s="25"/>
      <c r="C864" s="25"/>
      <c r="D864" s="25"/>
      <c r="E864" s="25"/>
      <c r="F864" s="25"/>
      <c r="G864" s="25"/>
      <c r="H864" s="31"/>
      <c r="I864" s="32"/>
      <c r="J864" s="33"/>
      <c r="K864" s="34" t="str">
        <f aca="false">IF(OR(H864="",I864=""),"",H864*I864*(1-N(J864)))</f>
        <v/>
      </c>
      <c r="L864" s="32"/>
      <c r="M864" s="34" t="str">
        <f aca="false">IF(OR(H864="",L864=""),"",H864*L864)</f>
        <v/>
      </c>
      <c r="N864" s="34" t="str">
        <f aca="false">IF(OR(K864="",M864=""),"",K864-M864)</f>
        <v/>
      </c>
      <c r="O864" s="35" t="str">
        <f aca="false">IF(OR(N864="",K864=""),"",IF(K864=0,"",N864/K864))</f>
        <v/>
      </c>
      <c r="P864" s="25"/>
      <c r="Q864" s="25"/>
      <c r="R864" s="25"/>
      <c r="S864" s="36" t="str">
        <f aca="false">IF(A864="","",YEAR(A864)+IF(AND(FYStart&gt;1,MONTH(A864)&gt;=FYStart),1,0))</f>
        <v/>
      </c>
      <c r="T864" s="36" t="str">
        <f aca="false">IF(A864="","",MOD(MONTH(A864)-FYStart,12)+1)</f>
        <v/>
      </c>
      <c r="U864" s="37" t="str">
        <f aca="false">IF(A864="","",TEXT(A864,"mmm"))</f>
        <v/>
      </c>
      <c r="V864" s="37" t="str">
        <f aca="false">IF(Q864="","",IFERROR(INDEX(Settings!$I$11:$I$15,MATCH(Q864,Settings!$H$11:$H$15,0)),"No"))</f>
        <v/>
      </c>
      <c r="W864" s="37" t="str">
        <f aca="false">IF(Q864="","",IFERROR(INDEX(Settings!$J$11:$J$15,MATCH(Q864,Settings!$H$11:$H$15,0)),"No"))</f>
        <v/>
      </c>
    </row>
    <row r="865" customFormat="false" ht="15" hidden="false" customHeight="false" outlineLevel="0" collapsed="false">
      <c r="A865" s="30"/>
      <c r="B865" s="25"/>
      <c r="C865" s="25"/>
      <c r="D865" s="25"/>
      <c r="E865" s="25"/>
      <c r="F865" s="25"/>
      <c r="G865" s="25"/>
      <c r="H865" s="31"/>
      <c r="I865" s="32"/>
      <c r="J865" s="33"/>
      <c r="K865" s="34" t="str">
        <f aca="false">IF(OR(H865="",I865=""),"",H865*I865*(1-N(J865)))</f>
        <v/>
      </c>
      <c r="L865" s="32"/>
      <c r="M865" s="34" t="str">
        <f aca="false">IF(OR(H865="",L865=""),"",H865*L865)</f>
        <v/>
      </c>
      <c r="N865" s="34" t="str">
        <f aca="false">IF(OR(K865="",M865=""),"",K865-M865)</f>
        <v/>
      </c>
      <c r="O865" s="35" t="str">
        <f aca="false">IF(OR(N865="",K865=""),"",IF(K865=0,"",N865/K865))</f>
        <v/>
      </c>
      <c r="P865" s="25"/>
      <c r="Q865" s="25"/>
      <c r="R865" s="25"/>
      <c r="S865" s="36" t="str">
        <f aca="false">IF(A865="","",YEAR(A865)+IF(AND(FYStart&gt;1,MONTH(A865)&gt;=FYStart),1,0))</f>
        <v/>
      </c>
      <c r="T865" s="36" t="str">
        <f aca="false">IF(A865="","",MOD(MONTH(A865)-FYStart,12)+1)</f>
        <v/>
      </c>
      <c r="U865" s="37" t="str">
        <f aca="false">IF(A865="","",TEXT(A865,"mmm"))</f>
        <v/>
      </c>
      <c r="V865" s="37" t="str">
        <f aca="false">IF(Q865="","",IFERROR(INDEX(Settings!$I$11:$I$15,MATCH(Q865,Settings!$H$11:$H$15,0)),"No"))</f>
        <v/>
      </c>
      <c r="W865" s="37" t="str">
        <f aca="false">IF(Q865="","",IFERROR(INDEX(Settings!$J$11:$J$15,MATCH(Q865,Settings!$H$11:$H$15,0)),"No"))</f>
        <v/>
      </c>
    </row>
    <row r="866" customFormat="false" ht="15" hidden="false" customHeight="false" outlineLevel="0" collapsed="false">
      <c r="A866" s="30"/>
      <c r="B866" s="25"/>
      <c r="C866" s="25"/>
      <c r="D866" s="25"/>
      <c r="E866" s="25"/>
      <c r="F866" s="25"/>
      <c r="G866" s="25"/>
      <c r="H866" s="31"/>
      <c r="I866" s="32"/>
      <c r="J866" s="33"/>
      <c r="K866" s="34" t="str">
        <f aca="false">IF(OR(H866="",I866=""),"",H866*I866*(1-N(J866)))</f>
        <v/>
      </c>
      <c r="L866" s="32"/>
      <c r="M866" s="34" t="str">
        <f aca="false">IF(OR(H866="",L866=""),"",H866*L866)</f>
        <v/>
      </c>
      <c r="N866" s="34" t="str">
        <f aca="false">IF(OR(K866="",M866=""),"",K866-M866)</f>
        <v/>
      </c>
      <c r="O866" s="35" t="str">
        <f aca="false">IF(OR(N866="",K866=""),"",IF(K866=0,"",N866/K866))</f>
        <v/>
      </c>
      <c r="P866" s="25"/>
      <c r="Q866" s="25"/>
      <c r="R866" s="25"/>
      <c r="S866" s="36" t="str">
        <f aca="false">IF(A866="","",YEAR(A866)+IF(AND(FYStart&gt;1,MONTH(A866)&gt;=FYStart),1,0))</f>
        <v/>
      </c>
      <c r="T866" s="36" t="str">
        <f aca="false">IF(A866="","",MOD(MONTH(A866)-FYStart,12)+1)</f>
        <v/>
      </c>
      <c r="U866" s="37" t="str">
        <f aca="false">IF(A866="","",TEXT(A866,"mmm"))</f>
        <v/>
      </c>
      <c r="V866" s="37" t="str">
        <f aca="false">IF(Q866="","",IFERROR(INDEX(Settings!$I$11:$I$15,MATCH(Q866,Settings!$H$11:$H$15,0)),"No"))</f>
        <v/>
      </c>
      <c r="W866" s="37" t="str">
        <f aca="false">IF(Q866="","",IFERROR(INDEX(Settings!$J$11:$J$15,MATCH(Q866,Settings!$H$11:$H$15,0)),"No"))</f>
        <v/>
      </c>
    </row>
    <row r="867" customFormat="false" ht="15" hidden="false" customHeight="false" outlineLevel="0" collapsed="false">
      <c r="A867" s="30"/>
      <c r="B867" s="25"/>
      <c r="C867" s="25"/>
      <c r="D867" s="25"/>
      <c r="E867" s="25"/>
      <c r="F867" s="25"/>
      <c r="G867" s="25"/>
      <c r="H867" s="31"/>
      <c r="I867" s="32"/>
      <c r="J867" s="33"/>
      <c r="K867" s="34" t="str">
        <f aca="false">IF(OR(H867="",I867=""),"",H867*I867*(1-N(J867)))</f>
        <v/>
      </c>
      <c r="L867" s="32"/>
      <c r="M867" s="34" t="str">
        <f aca="false">IF(OR(H867="",L867=""),"",H867*L867)</f>
        <v/>
      </c>
      <c r="N867" s="34" t="str">
        <f aca="false">IF(OR(K867="",M867=""),"",K867-M867)</f>
        <v/>
      </c>
      <c r="O867" s="35" t="str">
        <f aca="false">IF(OR(N867="",K867=""),"",IF(K867=0,"",N867/K867))</f>
        <v/>
      </c>
      <c r="P867" s="25"/>
      <c r="Q867" s="25"/>
      <c r="R867" s="25"/>
      <c r="S867" s="36" t="str">
        <f aca="false">IF(A867="","",YEAR(A867)+IF(AND(FYStart&gt;1,MONTH(A867)&gt;=FYStart),1,0))</f>
        <v/>
      </c>
      <c r="T867" s="36" t="str">
        <f aca="false">IF(A867="","",MOD(MONTH(A867)-FYStart,12)+1)</f>
        <v/>
      </c>
      <c r="U867" s="37" t="str">
        <f aca="false">IF(A867="","",TEXT(A867,"mmm"))</f>
        <v/>
      </c>
      <c r="V867" s="37" t="str">
        <f aca="false">IF(Q867="","",IFERROR(INDEX(Settings!$I$11:$I$15,MATCH(Q867,Settings!$H$11:$H$15,0)),"No"))</f>
        <v/>
      </c>
      <c r="W867" s="37" t="str">
        <f aca="false">IF(Q867="","",IFERROR(INDEX(Settings!$J$11:$J$15,MATCH(Q867,Settings!$H$11:$H$15,0)),"No"))</f>
        <v/>
      </c>
    </row>
    <row r="868" customFormat="false" ht="15" hidden="false" customHeight="false" outlineLevel="0" collapsed="false">
      <c r="A868" s="30"/>
      <c r="B868" s="25"/>
      <c r="C868" s="25"/>
      <c r="D868" s="25"/>
      <c r="E868" s="25"/>
      <c r="F868" s="25"/>
      <c r="G868" s="25"/>
      <c r="H868" s="31"/>
      <c r="I868" s="32"/>
      <c r="J868" s="33"/>
      <c r="K868" s="34" t="str">
        <f aca="false">IF(OR(H868="",I868=""),"",H868*I868*(1-N(J868)))</f>
        <v/>
      </c>
      <c r="L868" s="32"/>
      <c r="M868" s="34" t="str">
        <f aca="false">IF(OR(H868="",L868=""),"",H868*L868)</f>
        <v/>
      </c>
      <c r="N868" s="34" t="str">
        <f aca="false">IF(OR(K868="",M868=""),"",K868-M868)</f>
        <v/>
      </c>
      <c r="O868" s="35" t="str">
        <f aca="false">IF(OR(N868="",K868=""),"",IF(K868=0,"",N868/K868))</f>
        <v/>
      </c>
      <c r="P868" s="25"/>
      <c r="Q868" s="25"/>
      <c r="R868" s="25"/>
      <c r="S868" s="36" t="str">
        <f aca="false">IF(A868="","",YEAR(A868)+IF(AND(FYStart&gt;1,MONTH(A868)&gt;=FYStart),1,0))</f>
        <v/>
      </c>
      <c r="T868" s="36" t="str">
        <f aca="false">IF(A868="","",MOD(MONTH(A868)-FYStart,12)+1)</f>
        <v/>
      </c>
      <c r="U868" s="37" t="str">
        <f aca="false">IF(A868="","",TEXT(A868,"mmm"))</f>
        <v/>
      </c>
      <c r="V868" s="37" t="str">
        <f aca="false">IF(Q868="","",IFERROR(INDEX(Settings!$I$11:$I$15,MATCH(Q868,Settings!$H$11:$H$15,0)),"No"))</f>
        <v/>
      </c>
      <c r="W868" s="37" t="str">
        <f aca="false">IF(Q868="","",IFERROR(INDEX(Settings!$J$11:$J$15,MATCH(Q868,Settings!$H$11:$H$15,0)),"No"))</f>
        <v/>
      </c>
    </row>
    <row r="869" customFormat="false" ht="15" hidden="false" customHeight="false" outlineLevel="0" collapsed="false">
      <c r="A869" s="30"/>
      <c r="B869" s="25"/>
      <c r="C869" s="25"/>
      <c r="D869" s="25"/>
      <c r="E869" s="25"/>
      <c r="F869" s="25"/>
      <c r="G869" s="25"/>
      <c r="H869" s="31"/>
      <c r="I869" s="32"/>
      <c r="J869" s="33"/>
      <c r="K869" s="34" t="str">
        <f aca="false">IF(OR(H869="",I869=""),"",H869*I869*(1-N(J869)))</f>
        <v/>
      </c>
      <c r="L869" s="32"/>
      <c r="M869" s="34" t="str">
        <f aca="false">IF(OR(H869="",L869=""),"",H869*L869)</f>
        <v/>
      </c>
      <c r="N869" s="34" t="str">
        <f aca="false">IF(OR(K869="",M869=""),"",K869-M869)</f>
        <v/>
      </c>
      <c r="O869" s="35" t="str">
        <f aca="false">IF(OR(N869="",K869=""),"",IF(K869=0,"",N869/K869))</f>
        <v/>
      </c>
      <c r="P869" s="25"/>
      <c r="Q869" s="25"/>
      <c r="R869" s="25"/>
      <c r="S869" s="36" t="str">
        <f aca="false">IF(A869="","",YEAR(A869)+IF(AND(FYStart&gt;1,MONTH(A869)&gt;=FYStart),1,0))</f>
        <v/>
      </c>
      <c r="T869" s="36" t="str">
        <f aca="false">IF(A869="","",MOD(MONTH(A869)-FYStart,12)+1)</f>
        <v/>
      </c>
      <c r="U869" s="37" t="str">
        <f aca="false">IF(A869="","",TEXT(A869,"mmm"))</f>
        <v/>
      </c>
      <c r="V869" s="37" t="str">
        <f aca="false">IF(Q869="","",IFERROR(INDEX(Settings!$I$11:$I$15,MATCH(Q869,Settings!$H$11:$H$15,0)),"No"))</f>
        <v/>
      </c>
      <c r="W869" s="37" t="str">
        <f aca="false">IF(Q869="","",IFERROR(INDEX(Settings!$J$11:$J$15,MATCH(Q869,Settings!$H$11:$H$15,0)),"No"))</f>
        <v/>
      </c>
    </row>
    <row r="870" customFormat="false" ht="15" hidden="false" customHeight="false" outlineLevel="0" collapsed="false">
      <c r="A870" s="30"/>
      <c r="B870" s="25"/>
      <c r="C870" s="25"/>
      <c r="D870" s="25"/>
      <c r="E870" s="25"/>
      <c r="F870" s="25"/>
      <c r="G870" s="25"/>
      <c r="H870" s="31"/>
      <c r="I870" s="32"/>
      <c r="J870" s="33"/>
      <c r="K870" s="34" t="str">
        <f aca="false">IF(OR(H870="",I870=""),"",H870*I870*(1-N(J870)))</f>
        <v/>
      </c>
      <c r="L870" s="32"/>
      <c r="M870" s="34" t="str">
        <f aca="false">IF(OR(H870="",L870=""),"",H870*L870)</f>
        <v/>
      </c>
      <c r="N870" s="34" t="str">
        <f aca="false">IF(OR(K870="",M870=""),"",K870-M870)</f>
        <v/>
      </c>
      <c r="O870" s="35" t="str">
        <f aca="false">IF(OR(N870="",K870=""),"",IF(K870=0,"",N870/K870))</f>
        <v/>
      </c>
      <c r="P870" s="25"/>
      <c r="Q870" s="25"/>
      <c r="R870" s="25"/>
      <c r="S870" s="36" t="str">
        <f aca="false">IF(A870="","",YEAR(A870)+IF(AND(FYStart&gt;1,MONTH(A870)&gt;=FYStart),1,0))</f>
        <v/>
      </c>
      <c r="T870" s="36" t="str">
        <f aca="false">IF(A870="","",MOD(MONTH(A870)-FYStart,12)+1)</f>
        <v/>
      </c>
      <c r="U870" s="37" t="str">
        <f aca="false">IF(A870="","",TEXT(A870,"mmm"))</f>
        <v/>
      </c>
      <c r="V870" s="37" t="str">
        <f aca="false">IF(Q870="","",IFERROR(INDEX(Settings!$I$11:$I$15,MATCH(Q870,Settings!$H$11:$H$15,0)),"No"))</f>
        <v/>
      </c>
      <c r="W870" s="37" t="str">
        <f aca="false">IF(Q870="","",IFERROR(INDEX(Settings!$J$11:$J$15,MATCH(Q870,Settings!$H$11:$H$15,0)),"No"))</f>
        <v/>
      </c>
    </row>
    <row r="871" customFormat="false" ht="15" hidden="false" customHeight="false" outlineLevel="0" collapsed="false">
      <c r="A871" s="30"/>
      <c r="B871" s="25"/>
      <c r="C871" s="25"/>
      <c r="D871" s="25"/>
      <c r="E871" s="25"/>
      <c r="F871" s="25"/>
      <c r="G871" s="25"/>
      <c r="H871" s="31"/>
      <c r="I871" s="32"/>
      <c r="J871" s="33"/>
      <c r="K871" s="34" t="str">
        <f aca="false">IF(OR(H871="",I871=""),"",H871*I871*(1-N(J871)))</f>
        <v/>
      </c>
      <c r="L871" s="32"/>
      <c r="M871" s="34" t="str">
        <f aca="false">IF(OR(H871="",L871=""),"",H871*L871)</f>
        <v/>
      </c>
      <c r="N871" s="34" t="str">
        <f aca="false">IF(OR(K871="",M871=""),"",K871-M871)</f>
        <v/>
      </c>
      <c r="O871" s="35" t="str">
        <f aca="false">IF(OR(N871="",K871=""),"",IF(K871=0,"",N871/K871))</f>
        <v/>
      </c>
      <c r="P871" s="25"/>
      <c r="Q871" s="25"/>
      <c r="R871" s="25"/>
      <c r="S871" s="36" t="str">
        <f aca="false">IF(A871="","",YEAR(A871)+IF(AND(FYStart&gt;1,MONTH(A871)&gt;=FYStart),1,0))</f>
        <v/>
      </c>
      <c r="T871" s="36" t="str">
        <f aca="false">IF(A871="","",MOD(MONTH(A871)-FYStart,12)+1)</f>
        <v/>
      </c>
      <c r="U871" s="37" t="str">
        <f aca="false">IF(A871="","",TEXT(A871,"mmm"))</f>
        <v/>
      </c>
      <c r="V871" s="37" t="str">
        <f aca="false">IF(Q871="","",IFERROR(INDEX(Settings!$I$11:$I$15,MATCH(Q871,Settings!$H$11:$H$15,0)),"No"))</f>
        <v/>
      </c>
      <c r="W871" s="37" t="str">
        <f aca="false">IF(Q871="","",IFERROR(INDEX(Settings!$J$11:$J$15,MATCH(Q871,Settings!$H$11:$H$15,0)),"No"))</f>
        <v/>
      </c>
    </row>
    <row r="872" customFormat="false" ht="15" hidden="false" customHeight="false" outlineLevel="0" collapsed="false">
      <c r="A872" s="30"/>
      <c r="B872" s="25"/>
      <c r="C872" s="25"/>
      <c r="D872" s="25"/>
      <c r="E872" s="25"/>
      <c r="F872" s="25"/>
      <c r="G872" s="25"/>
      <c r="H872" s="31"/>
      <c r="I872" s="32"/>
      <c r="J872" s="33"/>
      <c r="K872" s="34" t="str">
        <f aca="false">IF(OR(H872="",I872=""),"",H872*I872*(1-N(J872)))</f>
        <v/>
      </c>
      <c r="L872" s="32"/>
      <c r="M872" s="34" t="str">
        <f aca="false">IF(OR(H872="",L872=""),"",H872*L872)</f>
        <v/>
      </c>
      <c r="N872" s="34" t="str">
        <f aca="false">IF(OR(K872="",M872=""),"",K872-M872)</f>
        <v/>
      </c>
      <c r="O872" s="35" t="str">
        <f aca="false">IF(OR(N872="",K872=""),"",IF(K872=0,"",N872/K872))</f>
        <v/>
      </c>
      <c r="P872" s="25"/>
      <c r="Q872" s="25"/>
      <c r="R872" s="25"/>
      <c r="S872" s="36" t="str">
        <f aca="false">IF(A872="","",YEAR(A872)+IF(AND(FYStart&gt;1,MONTH(A872)&gt;=FYStart),1,0))</f>
        <v/>
      </c>
      <c r="T872" s="36" t="str">
        <f aca="false">IF(A872="","",MOD(MONTH(A872)-FYStart,12)+1)</f>
        <v/>
      </c>
      <c r="U872" s="37" t="str">
        <f aca="false">IF(A872="","",TEXT(A872,"mmm"))</f>
        <v/>
      </c>
      <c r="V872" s="37" t="str">
        <f aca="false">IF(Q872="","",IFERROR(INDEX(Settings!$I$11:$I$15,MATCH(Q872,Settings!$H$11:$H$15,0)),"No"))</f>
        <v/>
      </c>
      <c r="W872" s="37" t="str">
        <f aca="false">IF(Q872="","",IFERROR(INDEX(Settings!$J$11:$J$15,MATCH(Q872,Settings!$H$11:$H$15,0)),"No"))</f>
        <v/>
      </c>
    </row>
    <row r="873" customFormat="false" ht="15" hidden="false" customHeight="false" outlineLevel="0" collapsed="false">
      <c r="A873" s="30"/>
      <c r="B873" s="25"/>
      <c r="C873" s="25"/>
      <c r="D873" s="25"/>
      <c r="E873" s="25"/>
      <c r="F873" s="25"/>
      <c r="G873" s="25"/>
      <c r="H873" s="31"/>
      <c r="I873" s="32"/>
      <c r="J873" s="33"/>
      <c r="K873" s="34" t="str">
        <f aca="false">IF(OR(H873="",I873=""),"",H873*I873*(1-N(J873)))</f>
        <v/>
      </c>
      <c r="L873" s="32"/>
      <c r="M873" s="34" t="str">
        <f aca="false">IF(OR(H873="",L873=""),"",H873*L873)</f>
        <v/>
      </c>
      <c r="N873" s="34" t="str">
        <f aca="false">IF(OR(K873="",M873=""),"",K873-M873)</f>
        <v/>
      </c>
      <c r="O873" s="35" t="str">
        <f aca="false">IF(OR(N873="",K873=""),"",IF(K873=0,"",N873/K873))</f>
        <v/>
      </c>
      <c r="P873" s="25"/>
      <c r="Q873" s="25"/>
      <c r="R873" s="25"/>
      <c r="S873" s="36" t="str">
        <f aca="false">IF(A873="","",YEAR(A873)+IF(AND(FYStart&gt;1,MONTH(A873)&gt;=FYStart),1,0))</f>
        <v/>
      </c>
      <c r="T873" s="36" t="str">
        <f aca="false">IF(A873="","",MOD(MONTH(A873)-FYStart,12)+1)</f>
        <v/>
      </c>
      <c r="U873" s="37" t="str">
        <f aca="false">IF(A873="","",TEXT(A873,"mmm"))</f>
        <v/>
      </c>
      <c r="V873" s="37" t="str">
        <f aca="false">IF(Q873="","",IFERROR(INDEX(Settings!$I$11:$I$15,MATCH(Q873,Settings!$H$11:$H$15,0)),"No"))</f>
        <v/>
      </c>
      <c r="W873" s="37" t="str">
        <f aca="false">IF(Q873="","",IFERROR(INDEX(Settings!$J$11:$J$15,MATCH(Q873,Settings!$H$11:$H$15,0)),"No"))</f>
        <v/>
      </c>
    </row>
    <row r="874" customFormat="false" ht="15" hidden="false" customHeight="false" outlineLevel="0" collapsed="false">
      <c r="A874" s="30"/>
      <c r="B874" s="25"/>
      <c r="C874" s="25"/>
      <c r="D874" s="25"/>
      <c r="E874" s="25"/>
      <c r="F874" s="25"/>
      <c r="G874" s="25"/>
      <c r="H874" s="31"/>
      <c r="I874" s="32"/>
      <c r="J874" s="33"/>
      <c r="K874" s="34" t="str">
        <f aca="false">IF(OR(H874="",I874=""),"",H874*I874*(1-N(J874)))</f>
        <v/>
      </c>
      <c r="L874" s="32"/>
      <c r="M874" s="34" t="str">
        <f aca="false">IF(OR(H874="",L874=""),"",H874*L874)</f>
        <v/>
      </c>
      <c r="N874" s="34" t="str">
        <f aca="false">IF(OR(K874="",M874=""),"",K874-M874)</f>
        <v/>
      </c>
      <c r="O874" s="35" t="str">
        <f aca="false">IF(OR(N874="",K874=""),"",IF(K874=0,"",N874/K874))</f>
        <v/>
      </c>
      <c r="P874" s="25"/>
      <c r="Q874" s="25"/>
      <c r="R874" s="25"/>
      <c r="S874" s="36" t="str">
        <f aca="false">IF(A874="","",YEAR(A874)+IF(AND(FYStart&gt;1,MONTH(A874)&gt;=FYStart),1,0))</f>
        <v/>
      </c>
      <c r="T874" s="36" t="str">
        <f aca="false">IF(A874="","",MOD(MONTH(A874)-FYStart,12)+1)</f>
        <v/>
      </c>
      <c r="U874" s="37" t="str">
        <f aca="false">IF(A874="","",TEXT(A874,"mmm"))</f>
        <v/>
      </c>
      <c r="V874" s="37" t="str">
        <f aca="false">IF(Q874="","",IFERROR(INDEX(Settings!$I$11:$I$15,MATCH(Q874,Settings!$H$11:$H$15,0)),"No"))</f>
        <v/>
      </c>
      <c r="W874" s="37" t="str">
        <f aca="false">IF(Q874="","",IFERROR(INDEX(Settings!$J$11:$J$15,MATCH(Q874,Settings!$H$11:$H$15,0)),"No"))</f>
        <v/>
      </c>
    </row>
    <row r="875" customFormat="false" ht="15" hidden="false" customHeight="false" outlineLevel="0" collapsed="false">
      <c r="A875" s="30"/>
      <c r="B875" s="25"/>
      <c r="C875" s="25"/>
      <c r="D875" s="25"/>
      <c r="E875" s="25"/>
      <c r="F875" s="25"/>
      <c r="G875" s="25"/>
      <c r="H875" s="31"/>
      <c r="I875" s="32"/>
      <c r="J875" s="33"/>
      <c r="K875" s="34" t="str">
        <f aca="false">IF(OR(H875="",I875=""),"",H875*I875*(1-N(J875)))</f>
        <v/>
      </c>
      <c r="L875" s="32"/>
      <c r="M875" s="34" t="str">
        <f aca="false">IF(OR(H875="",L875=""),"",H875*L875)</f>
        <v/>
      </c>
      <c r="N875" s="34" t="str">
        <f aca="false">IF(OR(K875="",M875=""),"",K875-M875)</f>
        <v/>
      </c>
      <c r="O875" s="35" t="str">
        <f aca="false">IF(OR(N875="",K875=""),"",IF(K875=0,"",N875/K875))</f>
        <v/>
      </c>
      <c r="P875" s="25"/>
      <c r="Q875" s="25"/>
      <c r="R875" s="25"/>
      <c r="S875" s="36" t="str">
        <f aca="false">IF(A875="","",YEAR(A875)+IF(AND(FYStart&gt;1,MONTH(A875)&gt;=FYStart),1,0))</f>
        <v/>
      </c>
      <c r="T875" s="36" t="str">
        <f aca="false">IF(A875="","",MOD(MONTH(A875)-FYStart,12)+1)</f>
        <v/>
      </c>
      <c r="U875" s="37" t="str">
        <f aca="false">IF(A875="","",TEXT(A875,"mmm"))</f>
        <v/>
      </c>
      <c r="V875" s="37" t="str">
        <f aca="false">IF(Q875="","",IFERROR(INDEX(Settings!$I$11:$I$15,MATCH(Q875,Settings!$H$11:$H$15,0)),"No"))</f>
        <v/>
      </c>
      <c r="W875" s="37" t="str">
        <f aca="false">IF(Q875="","",IFERROR(INDEX(Settings!$J$11:$J$15,MATCH(Q875,Settings!$H$11:$H$15,0)),"No"))</f>
        <v/>
      </c>
    </row>
    <row r="876" customFormat="false" ht="15" hidden="false" customHeight="false" outlineLevel="0" collapsed="false">
      <c r="A876" s="30"/>
      <c r="B876" s="25"/>
      <c r="C876" s="25"/>
      <c r="D876" s="25"/>
      <c r="E876" s="25"/>
      <c r="F876" s="25"/>
      <c r="G876" s="25"/>
      <c r="H876" s="31"/>
      <c r="I876" s="32"/>
      <c r="J876" s="33"/>
      <c r="K876" s="34" t="str">
        <f aca="false">IF(OR(H876="",I876=""),"",H876*I876*(1-N(J876)))</f>
        <v/>
      </c>
      <c r="L876" s="32"/>
      <c r="M876" s="34" t="str">
        <f aca="false">IF(OR(H876="",L876=""),"",H876*L876)</f>
        <v/>
      </c>
      <c r="N876" s="34" t="str">
        <f aca="false">IF(OR(K876="",M876=""),"",K876-M876)</f>
        <v/>
      </c>
      <c r="O876" s="35" t="str">
        <f aca="false">IF(OR(N876="",K876=""),"",IF(K876=0,"",N876/K876))</f>
        <v/>
      </c>
      <c r="P876" s="25"/>
      <c r="Q876" s="25"/>
      <c r="R876" s="25"/>
      <c r="S876" s="36" t="str">
        <f aca="false">IF(A876="","",YEAR(A876)+IF(AND(FYStart&gt;1,MONTH(A876)&gt;=FYStart),1,0))</f>
        <v/>
      </c>
      <c r="T876" s="36" t="str">
        <f aca="false">IF(A876="","",MOD(MONTH(A876)-FYStart,12)+1)</f>
        <v/>
      </c>
      <c r="U876" s="37" t="str">
        <f aca="false">IF(A876="","",TEXT(A876,"mmm"))</f>
        <v/>
      </c>
      <c r="V876" s="37" t="str">
        <f aca="false">IF(Q876="","",IFERROR(INDEX(Settings!$I$11:$I$15,MATCH(Q876,Settings!$H$11:$H$15,0)),"No"))</f>
        <v/>
      </c>
      <c r="W876" s="37" t="str">
        <f aca="false">IF(Q876="","",IFERROR(INDEX(Settings!$J$11:$J$15,MATCH(Q876,Settings!$H$11:$H$15,0)),"No"))</f>
        <v/>
      </c>
    </row>
    <row r="877" customFormat="false" ht="15" hidden="false" customHeight="false" outlineLevel="0" collapsed="false">
      <c r="A877" s="30"/>
      <c r="B877" s="25"/>
      <c r="C877" s="25"/>
      <c r="D877" s="25"/>
      <c r="E877" s="25"/>
      <c r="F877" s="25"/>
      <c r="G877" s="25"/>
      <c r="H877" s="31"/>
      <c r="I877" s="32"/>
      <c r="J877" s="33"/>
      <c r="K877" s="34" t="str">
        <f aca="false">IF(OR(H877="",I877=""),"",H877*I877*(1-N(J877)))</f>
        <v/>
      </c>
      <c r="L877" s="32"/>
      <c r="M877" s="34" t="str">
        <f aca="false">IF(OR(H877="",L877=""),"",H877*L877)</f>
        <v/>
      </c>
      <c r="N877" s="34" t="str">
        <f aca="false">IF(OR(K877="",M877=""),"",K877-M877)</f>
        <v/>
      </c>
      <c r="O877" s="35" t="str">
        <f aca="false">IF(OR(N877="",K877=""),"",IF(K877=0,"",N877/K877))</f>
        <v/>
      </c>
      <c r="P877" s="25"/>
      <c r="Q877" s="25"/>
      <c r="R877" s="25"/>
      <c r="S877" s="36" t="str">
        <f aca="false">IF(A877="","",YEAR(A877)+IF(AND(FYStart&gt;1,MONTH(A877)&gt;=FYStart),1,0))</f>
        <v/>
      </c>
      <c r="T877" s="36" t="str">
        <f aca="false">IF(A877="","",MOD(MONTH(A877)-FYStart,12)+1)</f>
        <v/>
      </c>
      <c r="U877" s="37" t="str">
        <f aca="false">IF(A877="","",TEXT(A877,"mmm"))</f>
        <v/>
      </c>
      <c r="V877" s="37" t="str">
        <f aca="false">IF(Q877="","",IFERROR(INDEX(Settings!$I$11:$I$15,MATCH(Q877,Settings!$H$11:$H$15,0)),"No"))</f>
        <v/>
      </c>
      <c r="W877" s="37" t="str">
        <f aca="false">IF(Q877="","",IFERROR(INDEX(Settings!$J$11:$J$15,MATCH(Q877,Settings!$H$11:$H$15,0)),"No"))</f>
        <v/>
      </c>
    </row>
    <row r="878" customFormat="false" ht="15" hidden="false" customHeight="false" outlineLevel="0" collapsed="false">
      <c r="A878" s="30"/>
      <c r="B878" s="25"/>
      <c r="C878" s="25"/>
      <c r="D878" s="25"/>
      <c r="E878" s="25"/>
      <c r="F878" s="25"/>
      <c r="G878" s="25"/>
      <c r="H878" s="31"/>
      <c r="I878" s="32"/>
      <c r="J878" s="33"/>
      <c r="K878" s="34" t="str">
        <f aca="false">IF(OR(H878="",I878=""),"",H878*I878*(1-N(J878)))</f>
        <v/>
      </c>
      <c r="L878" s="32"/>
      <c r="M878" s="34" t="str">
        <f aca="false">IF(OR(H878="",L878=""),"",H878*L878)</f>
        <v/>
      </c>
      <c r="N878" s="34" t="str">
        <f aca="false">IF(OR(K878="",M878=""),"",K878-M878)</f>
        <v/>
      </c>
      <c r="O878" s="35" t="str">
        <f aca="false">IF(OR(N878="",K878=""),"",IF(K878=0,"",N878/K878))</f>
        <v/>
      </c>
      <c r="P878" s="25"/>
      <c r="Q878" s="25"/>
      <c r="R878" s="25"/>
      <c r="S878" s="36" t="str">
        <f aca="false">IF(A878="","",YEAR(A878)+IF(AND(FYStart&gt;1,MONTH(A878)&gt;=FYStart),1,0))</f>
        <v/>
      </c>
      <c r="T878" s="36" t="str">
        <f aca="false">IF(A878="","",MOD(MONTH(A878)-FYStart,12)+1)</f>
        <v/>
      </c>
      <c r="U878" s="37" t="str">
        <f aca="false">IF(A878="","",TEXT(A878,"mmm"))</f>
        <v/>
      </c>
      <c r="V878" s="37" t="str">
        <f aca="false">IF(Q878="","",IFERROR(INDEX(Settings!$I$11:$I$15,MATCH(Q878,Settings!$H$11:$H$15,0)),"No"))</f>
        <v/>
      </c>
      <c r="W878" s="37" t="str">
        <f aca="false">IF(Q878="","",IFERROR(INDEX(Settings!$J$11:$J$15,MATCH(Q878,Settings!$H$11:$H$15,0)),"No"))</f>
        <v/>
      </c>
    </row>
    <row r="879" customFormat="false" ht="15" hidden="false" customHeight="false" outlineLevel="0" collapsed="false">
      <c r="A879" s="30"/>
      <c r="B879" s="25"/>
      <c r="C879" s="25"/>
      <c r="D879" s="25"/>
      <c r="E879" s="25"/>
      <c r="F879" s="25"/>
      <c r="G879" s="25"/>
      <c r="H879" s="31"/>
      <c r="I879" s="32"/>
      <c r="J879" s="33"/>
      <c r="K879" s="34" t="str">
        <f aca="false">IF(OR(H879="",I879=""),"",H879*I879*(1-N(J879)))</f>
        <v/>
      </c>
      <c r="L879" s="32"/>
      <c r="M879" s="34" t="str">
        <f aca="false">IF(OR(H879="",L879=""),"",H879*L879)</f>
        <v/>
      </c>
      <c r="N879" s="34" t="str">
        <f aca="false">IF(OR(K879="",M879=""),"",K879-M879)</f>
        <v/>
      </c>
      <c r="O879" s="35" t="str">
        <f aca="false">IF(OR(N879="",K879=""),"",IF(K879=0,"",N879/K879))</f>
        <v/>
      </c>
      <c r="P879" s="25"/>
      <c r="Q879" s="25"/>
      <c r="R879" s="25"/>
      <c r="S879" s="36" t="str">
        <f aca="false">IF(A879="","",YEAR(A879)+IF(AND(FYStart&gt;1,MONTH(A879)&gt;=FYStart),1,0))</f>
        <v/>
      </c>
      <c r="T879" s="36" t="str">
        <f aca="false">IF(A879="","",MOD(MONTH(A879)-FYStart,12)+1)</f>
        <v/>
      </c>
      <c r="U879" s="37" t="str">
        <f aca="false">IF(A879="","",TEXT(A879,"mmm"))</f>
        <v/>
      </c>
      <c r="V879" s="37" t="str">
        <f aca="false">IF(Q879="","",IFERROR(INDEX(Settings!$I$11:$I$15,MATCH(Q879,Settings!$H$11:$H$15,0)),"No"))</f>
        <v/>
      </c>
      <c r="W879" s="37" t="str">
        <f aca="false">IF(Q879="","",IFERROR(INDEX(Settings!$J$11:$J$15,MATCH(Q879,Settings!$H$11:$H$15,0)),"No"))</f>
        <v/>
      </c>
    </row>
    <row r="880" customFormat="false" ht="15" hidden="false" customHeight="false" outlineLevel="0" collapsed="false">
      <c r="A880" s="30"/>
      <c r="B880" s="25"/>
      <c r="C880" s="25"/>
      <c r="D880" s="25"/>
      <c r="E880" s="25"/>
      <c r="F880" s="25"/>
      <c r="G880" s="25"/>
      <c r="H880" s="31"/>
      <c r="I880" s="32"/>
      <c r="J880" s="33"/>
      <c r="K880" s="34" t="str">
        <f aca="false">IF(OR(H880="",I880=""),"",H880*I880*(1-N(J880)))</f>
        <v/>
      </c>
      <c r="L880" s="32"/>
      <c r="M880" s="34" t="str">
        <f aca="false">IF(OR(H880="",L880=""),"",H880*L880)</f>
        <v/>
      </c>
      <c r="N880" s="34" t="str">
        <f aca="false">IF(OR(K880="",M880=""),"",K880-M880)</f>
        <v/>
      </c>
      <c r="O880" s="35" t="str">
        <f aca="false">IF(OR(N880="",K880=""),"",IF(K880=0,"",N880/K880))</f>
        <v/>
      </c>
      <c r="P880" s="25"/>
      <c r="Q880" s="25"/>
      <c r="R880" s="25"/>
      <c r="S880" s="36" t="str">
        <f aca="false">IF(A880="","",YEAR(A880)+IF(AND(FYStart&gt;1,MONTH(A880)&gt;=FYStart),1,0))</f>
        <v/>
      </c>
      <c r="T880" s="36" t="str">
        <f aca="false">IF(A880="","",MOD(MONTH(A880)-FYStart,12)+1)</f>
        <v/>
      </c>
      <c r="U880" s="37" t="str">
        <f aca="false">IF(A880="","",TEXT(A880,"mmm"))</f>
        <v/>
      </c>
      <c r="V880" s="37" t="str">
        <f aca="false">IF(Q880="","",IFERROR(INDEX(Settings!$I$11:$I$15,MATCH(Q880,Settings!$H$11:$H$15,0)),"No"))</f>
        <v/>
      </c>
      <c r="W880" s="37" t="str">
        <f aca="false">IF(Q880="","",IFERROR(INDEX(Settings!$J$11:$J$15,MATCH(Q880,Settings!$H$11:$H$15,0)),"No"))</f>
        <v/>
      </c>
    </row>
    <row r="881" customFormat="false" ht="15" hidden="false" customHeight="false" outlineLevel="0" collapsed="false">
      <c r="A881" s="30"/>
      <c r="B881" s="25"/>
      <c r="C881" s="25"/>
      <c r="D881" s="25"/>
      <c r="E881" s="25"/>
      <c r="F881" s="25"/>
      <c r="G881" s="25"/>
      <c r="H881" s="31"/>
      <c r="I881" s="32"/>
      <c r="J881" s="33"/>
      <c r="K881" s="34" t="str">
        <f aca="false">IF(OR(H881="",I881=""),"",H881*I881*(1-N(J881)))</f>
        <v/>
      </c>
      <c r="L881" s="32"/>
      <c r="M881" s="34" t="str">
        <f aca="false">IF(OR(H881="",L881=""),"",H881*L881)</f>
        <v/>
      </c>
      <c r="N881" s="34" t="str">
        <f aca="false">IF(OR(K881="",M881=""),"",K881-M881)</f>
        <v/>
      </c>
      <c r="O881" s="35" t="str">
        <f aca="false">IF(OR(N881="",K881=""),"",IF(K881=0,"",N881/K881))</f>
        <v/>
      </c>
      <c r="P881" s="25"/>
      <c r="Q881" s="25"/>
      <c r="R881" s="25"/>
      <c r="S881" s="36" t="str">
        <f aca="false">IF(A881="","",YEAR(A881)+IF(AND(FYStart&gt;1,MONTH(A881)&gt;=FYStart),1,0))</f>
        <v/>
      </c>
      <c r="T881" s="36" t="str">
        <f aca="false">IF(A881="","",MOD(MONTH(A881)-FYStart,12)+1)</f>
        <v/>
      </c>
      <c r="U881" s="37" t="str">
        <f aca="false">IF(A881="","",TEXT(A881,"mmm"))</f>
        <v/>
      </c>
      <c r="V881" s="37" t="str">
        <f aca="false">IF(Q881="","",IFERROR(INDEX(Settings!$I$11:$I$15,MATCH(Q881,Settings!$H$11:$H$15,0)),"No"))</f>
        <v/>
      </c>
      <c r="W881" s="37" t="str">
        <f aca="false">IF(Q881="","",IFERROR(INDEX(Settings!$J$11:$J$15,MATCH(Q881,Settings!$H$11:$H$15,0)),"No"))</f>
        <v/>
      </c>
    </row>
    <row r="882" customFormat="false" ht="15" hidden="false" customHeight="false" outlineLevel="0" collapsed="false">
      <c r="A882" s="30"/>
      <c r="B882" s="25"/>
      <c r="C882" s="25"/>
      <c r="D882" s="25"/>
      <c r="E882" s="25"/>
      <c r="F882" s="25"/>
      <c r="G882" s="25"/>
      <c r="H882" s="31"/>
      <c r="I882" s="32"/>
      <c r="J882" s="33"/>
      <c r="K882" s="34" t="str">
        <f aca="false">IF(OR(H882="",I882=""),"",H882*I882*(1-N(J882)))</f>
        <v/>
      </c>
      <c r="L882" s="32"/>
      <c r="M882" s="34" t="str">
        <f aca="false">IF(OR(H882="",L882=""),"",H882*L882)</f>
        <v/>
      </c>
      <c r="N882" s="34" t="str">
        <f aca="false">IF(OR(K882="",M882=""),"",K882-M882)</f>
        <v/>
      </c>
      <c r="O882" s="35" t="str">
        <f aca="false">IF(OR(N882="",K882=""),"",IF(K882=0,"",N882/K882))</f>
        <v/>
      </c>
      <c r="P882" s="25"/>
      <c r="Q882" s="25"/>
      <c r="R882" s="25"/>
      <c r="S882" s="36" t="str">
        <f aca="false">IF(A882="","",YEAR(A882)+IF(AND(FYStart&gt;1,MONTH(A882)&gt;=FYStart),1,0))</f>
        <v/>
      </c>
      <c r="T882" s="36" t="str">
        <f aca="false">IF(A882="","",MOD(MONTH(A882)-FYStart,12)+1)</f>
        <v/>
      </c>
      <c r="U882" s="37" t="str">
        <f aca="false">IF(A882="","",TEXT(A882,"mmm"))</f>
        <v/>
      </c>
      <c r="V882" s="37" t="str">
        <f aca="false">IF(Q882="","",IFERROR(INDEX(Settings!$I$11:$I$15,MATCH(Q882,Settings!$H$11:$H$15,0)),"No"))</f>
        <v/>
      </c>
      <c r="W882" s="37" t="str">
        <f aca="false">IF(Q882="","",IFERROR(INDEX(Settings!$J$11:$J$15,MATCH(Q882,Settings!$H$11:$H$15,0)),"No"))</f>
        <v/>
      </c>
    </row>
    <row r="883" customFormat="false" ht="15" hidden="false" customHeight="false" outlineLevel="0" collapsed="false">
      <c r="A883" s="30"/>
      <c r="B883" s="25"/>
      <c r="C883" s="25"/>
      <c r="D883" s="25"/>
      <c r="E883" s="25"/>
      <c r="F883" s="25"/>
      <c r="G883" s="25"/>
      <c r="H883" s="31"/>
      <c r="I883" s="32"/>
      <c r="J883" s="33"/>
      <c r="K883" s="34" t="str">
        <f aca="false">IF(OR(H883="",I883=""),"",H883*I883*(1-N(J883)))</f>
        <v/>
      </c>
      <c r="L883" s="32"/>
      <c r="M883" s="34" t="str">
        <f aca="false">IF(OR(H883="",L883=""),"",H883*L883)</f>
        <v/>
      </c>
      <c r="N883" s="34" t="str">
        <f aca="false">IF(OR(K883="",M883=""),"",K883-M883)</f>
        <v/>
      </c>
      <c r="O883" s="35" t="str">
        <f aca="false">IF(OR(N883="",K883=""),"",IF(K883=0,"",N883/K883))</f>
        <v/>
      </c>
      <c r="P883" s="25"/>
      <c r="Q883" s="25"/>
      <c r="R883" s="25"/>
      <c r="S883" s="36" t="str">
        <f aca="false">IF(A883="","",YEAR(A883)+IF(AND(FYStart&gt;1,MONTH(A883)&gt;=FYStart),1,0))</f>
        <v/>
      </c>
      <c r="T883" s="36" t="str">
        <f aca="false">IF(A883="","",MOD(MONTH(A883)-FYStart,12)+1)</f>
        <v/>
      </c>
      <c r="U883" s="37" t="str">
        <f aca="false">IF(A883="","",TEXT(A883,"mmm"))</f>
        <v/>
      </c>
      <c r="V883" s="37" t="str">
        <f aca="false">IF(Q883="","",IFERROR(INDEX(Settings!$I$11:$I$15,MATCH(Q883,Settings!$H$11:$H$15,0)),"No"))</f>
        <v/>
      </c>
      <c r="W883" s="37" t="str">
        <f aca="false">IF(Q883="","",IFERROR(INDEX(Settings!$J$11:$J$15,MATCH(Q883,Settings!$H$11:$H$15,0)),"No"))</f>
        <v/>
      </c>
    </row>
    <row r="884" customFormat="false" ht="15" hidden="false" customHeight="false" outlineLevel="0" collapsed="false">
      <c r="A884" s="30"/>
      <c r="B884" s="25"/>
      <c r="C884" s="25"/>
      <c r="D884" s="25"/>
      <c r="E884" s="25"/>
      <c r="F884" s="25"/>
      <c r="G884" s="25"/>
      <c r="H884" s="31"/>
      <c r="I884" s="32"/>
      <c r="J884" s="33"/>
      <c r="K884" s="34" t="str">
        <f aca="false">IF(OR(H884="",I884=""),"",H884*I884*(1-N(J884)))</f>
        <v/>
      </c>
      <c r="L884" s="32"/>
      <c r="M884" s="34" t="str">
        <f aca="false">IF(OR(H884="",L884=""),"",H884*L884)</f>
        <v/>
      </c>
      <c r="N884" s="34" t="str">
        <f aca="false">IF(OR(K884="",M884=""),"",K884-M884)</f>
        <v/>
      </c>
      <c r="O884" s="35" t="str">
        <f aca="false">IF(OR(N884="",K884=""),"",IF(K884=0,"",N884/K884))</f>
        <v/>
      </c>
      <c r="P884" s="25"/>
      <c r="Q884" s="25"/>
      <c r="R884" s="25"/>
      <c r="S884" s="36" t="str">
        <f aca="false">IF(A884="","",YEAR(A884)+IF(AND(FYStart&gt;1,MONTH(A884)&gt;=FYStart),1,0))</f>
        <v/>
      </c>
      <c r="T884" s="36" t="str">
        <f aca="false">IF(A884="","",MOD(MONTH(A884)-FYStart,12)+1)</f>
        <v/>
      </c>
      <c r="U884" s="37" t="str">
        <f aca="false">IF(A884="","",TEXT(A884,"mmm"))</f>
        <v/>
      </c>
      <c r="V884" s="37" t="str">
        <f aca="false">IF(Q884="","",IFERROR(INDEX(Settings!$I$11:$I$15,MATCH(Q884,Settings!$H$11:$H$15,0)),"No"))</f>
        <v/>
      </c>
      <c r="W884" s="37" t="str">
        <f aca="false">IF(Q884="","",IFERROR(INDEX(Settings!$J$11:$J$15,MATCH(Q884,Settings!$H$11:$H$15,0)),"No"))</f>
        <v/>
      </c>
    </row>
    <row r="885" customFormat="false" ht="15" hidden="false" customHeight="false" outlineLevel="0" collapsed="false">
      <c r="A885" s="30"/>
      <c r="B885" s="25"/>
      <c r="C885" s="25"/>
      <c r="D885" s="25"/>
      <c r="E885" s="25"/>
      <c r="F885" s="25"/>
      <c r="G885" s="25"/>
      <c r="H885" s="31"/>
      <c r="I885" s="32"/>
      <c r="J885" s="33"/>
      <c r="K885" s="34" t="str">
        <f aca="false">IF(OR(H885="",I885=""),"",H885*I885*(1-N(J885)))</f>
        <v/>
      </c>
      <c r="L885" s="32"/>
      <c r="M885" s="34" t="str">
        <f aca="false">IF(OR(H885="",L885=""),"",H885*L885)</f>
        <v/>
      </c>
      <c r="N885" s="34" t="str">
        <f aca="false">IF(OR(K885="",M885=""),"",K885-M885)</f>
        <v/>
      </c>
      <c r="O885" s="35" t="str">
        <f aca="false">IF(OR(N885="",K885=""),"",IF(K885=0,"",N885/K885))</f>
        <v/>
      </c>
      <c r="P885" s="25"/>
      <c r="Q885" s="25"/>
      <c r="R885" s="25"/>
      <c r="S885" s="36" t="str">
        <f aca="false">IF(A885="","",YEAR(A885)+IF(AND(FYStart&gt;1,MONTH(A885)&gt;=FYStart),1,0))</f>
        <v/>
      </c>
      <c r="T885" s="36" t="str">
        <f aca="false">IF(A885="","",MOD(MONTH(A885)-FYStart,12)+1)</f>
        <v/>
      </c>
      <c r="U885" s="37" t="str">
        <f aca="false">IF(A885="","",TEXT(A885,"mmm"))</f>
        <v/>
      </c>
      <c r="V885" s="37" t="str">
        <f aca="false">IF(Q885="","",IFERROR(INDEX(Settings!$I$11:$I$15,MATCH(Q885,Settings!$H$11:$H$15,0)),"No"))</f>
        <v/>
      </c>
      <c r="W885" s="37" t="str">
        <f aca="false">IF(Q885="","",IFERROR(INDEX(Settings!$J$11:$J$15,MATCH(Q885,Settings!$H$11:$H$15,0)),"No"))</f>
        <v/>
      </c>
    </row>
    <row r="886" customFormat="false" ht="15" hidden="false" customHeight="false" outlineLevel="0" collapsed="false">
      <c r="A886" s="30"/>
      <c r="B886" s="25"/>
      <c r="C886" s="25"/>
      <c r="D886" s="25"/>
      <c r="E886" s="25"/>
      <c r="F886" s="25"/>
      <c r="G886" s="25"/>
      <c r="H886" s="31"/>
      <c r="I886" s="32"/>
      <c r="J886" s="33"/>
      <c r="K886" s="34" t="str">
        <f aca="false">IF(OR(H886="",I886=""),"",H886*I886*(1-N(J886)))</f>
        <v/>
      </c>
      <c r="L886" s="32"/>
      <c r="M886" s="34" t="str">
        <f aca="false">IF(OR(H886="",L886=""),"",H886*L886)</f>
        <v/>
      </c>
      <c r="N886" s="34" t="str">
        <f aca="false">IF(OR(K886="",M886=""),"",K886-M886)</f>
        <v/>
      </c>
      <c r="O886" s="35" t="str">
        <f aca="false">IF(OR(N886="",K886=""),"",IF(K886=0,"",N886/K886))</f>
        <v/>
      </c>
      <c r="P886" s="25"/>
      <c r="Q886" s="25"/>
      <c r="R886" s="25"/>
      <c r="S886" s="36" t="str">
        <f aca="false">IF(A886="","",YEAR(A886)+IF(AND(FYStart&gt;1,MONTH(A886)&gt;=FYStart),1,0))</f>
        <v/>
      </c>
      <c r="T886" s="36" t="str">
        <f aca="false">IF(A886="","",MOD(MONTH(A886)-FYStart,12)+1)</f>
        <v/>
      </c>
      <c r="U886" s="37" t="str">
        <f aca="false">IF(A886="","",TEXT(A886,"mmm"))</f>
        <v/>
      </c>
      <c r="V886" s="37" t="str">
        <f aca="false">IF(Q886="","",IFERROR(INDEX(Settings!$I$11:$I$15,MATCH(Q886,Settings!$H$11:$H$15,0)),"No"))</f>
        <v/>
      </c>
      <c r="W886" s="37" t="str">
        <f aca="false">IF(Q886="","",IFERROR(INDEX(Settings!$J$11:$J$15,MATCH(Q886,Settings!$H$11:$H$15,0)),"No"))</f>
        <v/>
      </c>
    </row>
    <row r="887" customFormat="false" ht="15" hidden="false" customHeight="false" outlineLevel="0" collapsed="false">
      <c r="A887" s="30"/>
      <c r="B887" s="25"/>
      <c r="C887" s="25"/>
      <c r="D887" s="25"/>
      <c r="E887" s="25"/>
      <c r="F887" s="25"/>
      <c r="G887" s="25"/>
      <c r="H887" s="31"/>
      <c r="I887" s="32"/>
      <c r="J887" s="33"/>
      <c r="K887" s="34" t="str">
        <f aca="false">IF(OR(H887="",I887=""),"",H887*I887*(1-N(J887)))</f>
        <v/>
      </c>
      <c r="L887" s="32"/>
      <c r="M887" s="34" t="str">
        <f aca="false">IF(OR(H887="",L887=""),"",H887*L887)</f>
        <v/>
      </c>
      <c r="N887" s="34" t="str">
        <f aca="false">IF(OR(K887="",M887=""),"",K887-M887)</f>
        <v/>
      </c>
      <c r="O887" s="35" t="str">
        <f aca="false">IF(OR(N887="",K887=""),"",IF(K887=0,"",N887/K887))</f>
        <v/>
      </c>
      <c r="P887" s="25"/>
      <c r="Q887" s="25"/>
      <c r="R887" s="25"/>
      <c r="S887" s="36" t="str">
        <f aca="false">IF(A887="","",YEAR(A887)+IF(AND(FYStart&gt;1,MONTH(A887)&gt;=FYStart),1,0))</f>
        <v/>
      </c>
      <c r="T887" s="36" t="str">
        <f aca="false">IF(A887="","",MOD(MONTH(A887)-FYStart,12)+1)</f>
        <v/>
      </c>
      <c r="U887" s="37" t="str">
        <f aca="false">IF(A887="","",TEXT(A887,"mmm"))</f>
        <v/>
      </c>
      <c r="V887" s="37" t="str">
        <f aca="false">IF(Q887="","",IFERROR(INDEX(Settings!$I$11:$I$15,MATCH(Q887,Settings!$H$11:$H$15,0)),"No"))</f>
        <v/>
      </c>
      <c r="W887" s="37" t="str">
        <f aca="false">IF(Q887="","",IFERROR(INDEX(Settings!$J$11:$J$15,MATCH(Q887,Settings!$H$11:$H$15,0)),"No"))</f>
        <v/>
      </c>
    </row>
    <row r="888" customFormat="false" ht="15" hidden="false" customHeight="false" outlineLevel="0" collapsed="false">
      <c r="A888" s="30"/>
      <c r="B888" s="25"/>
      <c r="C888" s="25"/>
      <c r="D888" s="25"/>
      <c r="E888" s="25"/>
      <c r="F888" s="25"/>
      <c r="G888" s="25"/>
      <c r="H888" s="31"/>
      <c r="I888" s="32"/>
      <c r="J888" s="33"/>
      <c r="K888" s="34" t="str">
        <f aca="false">IF(OR(H888="",I888=""),"",H888*I888*(1-N(J888)))</f>
        <v/>
      </c>
      <c r="L888" s="32"/>
      <c r="M888" s="34" t="str">
        <f aca="false">IF(OR(H888="",L888=""),"",H888*L888)</f>
        <v/>
      </c>
      <c r="N888" s="34" t="str">
        <f aca="false">IF(OR(K888="",M888=""),"",K888-M888)</f>
        <v/>
      </c>
      <c r="O888" s="35" t="str">
        <f aca="false">IF(OR(N888="",K888=""),"",IF(K888=0,"",N888/K888))</f>
        <v/>
      </c>
      <c r="P888" s="25"/>
      <c r="Q888" s="25"/>
      <c r="R888" s="25"/>
      <c r="S888" s="36" t="str">
        <f aca="false">IF(A888="","",YEAR(A888)+IF(AND(FYStart&gt;1,MONTH(A888)&gt;=FYStart),1,0))</f>
        <v/>
      </c>
      <c r="T888" s="36" t="str">
        <f aca="false">IF(A888="","",MOD(MONTH(A888)-FYStart,12)+1)</f>
        <v/>
      </c>
      <c r="U888" s="37" t="str">
        <f aca="false">IF(A888="","",TEXT(A888,"mmm"))</f>
        <v/>
      </c>
      <c r="V888" s="37" t="str">
        <f aca="false">IF(Q888="","",IFERROR(INDEX(Settings!$I$11:$I$15,MATCH(Q888,Settings!$H$11:$H$15,0)),"No"))</f>
        <v/>
      </c>
      <c r="W888" s="37" t="str">
        <f aca="false">IF(Q888="","",IFERROR(INDEX(Settings!$J$11:$J$15,MATCH(Q888,Settings!$H$11:$H$15,0)),"No"))</f>
        <v/>
      </c>
    </row>
    <row r="889" customFormat="false" ht="15" hidden="false" customHeight="false" outlineLevel="0" collapsed="false">
      <c r="A889" s="30"/>
      <c r="B889" s="25"/>
      <c r="C889" s="25"/>
      <c r="D889" s="25"/>
      <c r="E889" s="25"/>
      <c r="F889" s="25"/>
      <c r="G889" s="25"/>
      <c r="H889" s="31"/>
      <c r="I889" s="32"/>
      <c r="J889" s="33"/>
      <c r="K889" s="34" t="str">
        <f aca="false">IF(OR(H889="",I889=""),"",H889*I889*(1-N(J889)))</f>
        <v/>
      </c>
      <c r="L889" s="32"/>
      <c r="M889" s="34" t="str">
        <f aca="false">IF(OR(H889="",L889=""),"",H889*L889)</f>
        <v/>
      </c>
      <c r="N889" s="34" t="str">
        <f aca="false">IF(OR(K889="",M889=""),"",K889-M889)</f>
        <v/>
      </c>
      <c r="O889" s="35" t="str">
        <f aca="false">IF(OR(N889="",K889=""),"",IF(K889=0,"",N889/K889))</f>
        <v/>
      </c>
      <c r="P889" s="25"/>
      <c r="Q889" s="25"/>
      <c r="R889" s="25"/>
      <c r="S889" s="36" t="str">
        <f aca="false">IF(A889="","",YEAR(A889)+IF(AND(FYStart&gt;1,MONTH(A889)&gt;=FYStart),1,0))</f>
        <v/>
      </c>
      <c r="T889" s="36" t="str">
        <f aca="false">IF(A889="","",MOD(MONTH(A889)-FYStart,12)+1)</f>
        <v/>
      </c>
      <c r="U889" s="37" t="str">
        <f aca="false">IF(A889="","",TEXT(A889,"mmm"))</f>
        <v/>
      </c>
      <c r="V889" s="37" t="str">
        <f aca="false">IF(Q889="","",IFERROR(INDEX(Settings!$I$11:$I$15,MATCH(Q889,Settings!$H$11:$H$15,0)),"No"))</f>
        <v/>
      </c>
      <c r="W889" s="37" t="str">
        <f aca="false">IF(Q889="","",IFERROR(INDEX(Settings!$J$11:$J$15,MATCH(Q889,Settings!$H$11:$H$15,0)),"No"))</f>
        <v/>
      </c>
    </row>
    <row r="890" customFormat="false" ht="15" hidden="false" customHeight="false" outlineLevel="0" collapsed="false">
      <c r="A890" s="30"/>
      <c r="B890" s="25"/>
      <c r="C890" s="25"/>
      <c r="D890" s="25"/>
      <c r="E890" s="25"/>
      <c r="F890" s="25"/>
      <c r="G890" s="25"/>
      <c r="H890" s="31"/>
      <c r="I890" s="32"/>
      <c r="J890" s="33"/>
      <c r="K890" s="34" t="str">
        <f aca="false">IF(OR(H890="",I890=""),"",H890*I890*(1-N(J890)))</f>
        <v/>
      </c>
      <c r="L890" s="32"/>
      <c r="M890" s="34" t="str">
        <f aca="false">IF(OR(H890="",L890=""),"",H890*L890)</f>
        <v/>
      </c>
      <c r="N890" s="34" t="str">
        <f aca="false">IF(OR(K890="",M890=""),"",K890-M890)</f>
        <v/>
      </c>
      <c r="O890" s="35" t="str">
        <f aca="false">IF(OR(N890="",K890=""),"",IF(K890=0,"",N890/K890))</f>
        <v/>
      </c>
      <c r="P890" s="25"/>
      <c r="Q890" s="25"/>
      <c r="R890" s="25"/>
      <c r="S890" s="36" t="str">
        <f aca="false">IF(A890="","",YEAR(A890)+IF(AND(FYStart&gt;1,MONTH(A890)&gt;=FYStart),1,0))</f>
        <v/>
      </c>
      <c r="T890" s="36" t="str">
        <f aca="false">IF(A890="","",MOD(MONTH(A890)-FYStart,12)+1)</f>
        <v/>
      </c>
      <c r="U890" s="37" t="str">
        <f aca="false">IF(A890="","",TEXT(A890,"mmm"))</f>
        <v/>
      </c>
      <c r="V890" s="37" t="str">
        <f aca="false">IF(Q890="","",IFERROR(INDEX(Settings!$I$11:$I$15,MATCH(Q890,Settings!$H$11:$H$15,0)),"No"))</f>
        <v/>
      </c>
      <c r="W890" s="37" t="str">
        <f aca="false">IF(Q890="","",IFERROR(INDEX(Settings!$J$11:$J$15,MATCH(Q890,Settings!$H$11:$H$15,0)),"No"))</f>
        <v/>
      </c>
    </row>
    <row r="891" customFormat="false" ht="15" hidden="false" customHeight="false" outlineLevel="0" collapsed="false">
      <c r="A891" s="30"/>
      <c r="B891" s="25"/>
      <c r="C891" s="25"/>
      <c r="D891" s="25"/>
      <c r="E891" s="25"/>
      <c r="F891" s="25"/>
      <c r="G891" s="25"/>
      <c r="H891" s="31"/>
      <c r="I891" s="32"/>
      <c r="J891" s="33"/>
      <c r="K891" s="34" t="str">
        <f aca="false">IF(OR(H891="",I891=""),"",H891*I891*(1-N(J891)))</f>
        <v/>
      </c>
      <c r="L891" s="32"/>
      <c r="M891" s="34" t="str">
        <f aca="false">IF(OR(H891="",L891=""),"",H891*L891)</f>
        <v/>
      </c>
      <c r="N891" s="34" t="str">
        <f aca="false">IF(OR(K891="",M891=""),"",K891-M891)</f>
        <v/>
      </c>
      <c r="O891" s="35" t="str">
        <f aca="false">IF(OR(N891="",K891=""),"",IF(K891=0,"",N891/K891))</f>
        <v/>
      </c>
      <c r="P891" s="25"/>
      <c r="Q891" s="25"/>
      <c r="R891" s="25"/>
      <c r="S891" s="36" t="str">
        <f aca="false">IF(A891="","",YEAR(A891)+IF(AND(FYStart&gt;1,MONTH(A891)&gt;=FYStart),1,0))</f>
        <v/>
      </c>
      <c r="T891" s="36" t="str">
        <f aca="false">IF(A891="","",MOD(MONTH(A891)-FYStart,12)+1)</f>
        <v/>
      </c>
      <c r="U891" s="37" t="str">
        <f aca="false">IF(A891="","",TEXT(A891,"mmm"))</f>
        <v/>
      </c>
      <c r="V891" s="37" t="str">
        <f aca="false">IF(Q891="","",IFERROR(INDEX(Settings!$I$11:$I$15,MATCH(Q891,Settings!$H$11:$H$15,0)),"No"))</f>
        <v/>
      </c>
      <c r="W891" s="37" t="str">
        <f aca="false">IF(Q891="","",IFERROR(INDEX(Settings!$J$11:$J$15,MATCH(Q891,Settings!$H$11:$H$15,0)),"No"))</f>
        <v/>
      </c>
    </row>
    <row r="892" customFormat="false" ht="15" hidden="false" customHeight="false" outlineLevel="0" collapsed="false">
      <c r="A892" s="30"/>
      <c r="B892" s="25"/>
      <c r="C892" s="25"/>
      <c r="D892" s="25"/>
      <c r="E892" s="25"/>
      <c r="F892" s="25"/>
      <c r="G892" s="25"/>
      <c r="H892" s="31"/>
      <c r="I892" s="32"/>
      <c r="J892" s="33"/>
      <c r="K892" s="34" t="str">
        <f aca="false">IF(OR(H892="",I892=""),"",H892*I892*(1-N(J892)))</f>
        <v/>
      </c>
      <c r="L892" s="32"/>
      <c r="M892" s="34" t="str">
        <f aca="false">IF(OR(H892="",L892=""),"",H892*L892)</f>
        <v/>
      </c>
      <c r="N892" s="34" t="str">
        <f aca="false">IF(OR(K892="",M892=""),"",K892-M892)</f>
        <v/>
      </c>
      <c r="O892" s="35" t="str">
        <f aca="false">IF(OR(N892="",K892=""),"",IF(K892=0,"",N892/K892))</f>
        <v/>
      </c>
      <c r="P892" s="25"/>
      <c r="Q892" s="25"/>
      <c r="R892" s="25"/>
      <c r="S892" s="36" t="str">
        <f aca="false">IF(A892="","",YEAR(A892)+IF(AND(FYStart&gt;1,MONTH(A892)&gt;=FYStart),1,0))</f>
        <v/>
      </c>
      <c r="T892" s="36" t="str">
        <f aca="false">IF(A892="","",MOD(MONTH(A892)-FYStart,12)+1)</f>
        <v/>
      </c>
      <c r="U892" s="37" t="str">
        <f aca="false">IF(A892="","",TEXT(A892,"mmm"))</f>
        <v/>
      </c>
      <c r="V892" s="37" t="str">
        <f aca="false">IF(Q892="","",IFERROR(INDEX(Settings!$I$11:$I$15,MATCH(Q892,Settings!$H$11:$H$15,0)),"No"))</f>
        <v/>
      </c>
      <c r="W892" s="37" t="str">
        <f aca="false">IF(Q892="","",IFERROR(INDEX(Settings!$J$11:$J$15,MATCH(Q892,Settings!$H$11:$H$15,0)),"No"))</f>
        <v/>
      </c>
    </row>
    <row r="893" customFormat="false" ht="15" hidden="false" customHeight="false" outlineLevel="0" collapsed="false">
      <c r="A893" s="30"/>
      <c r="B893" s="25"/>
      <c r="C893" s="25"/>
      <c r="D893" s="25"/>
      <c r="E893" s="25"/>
      <c r="F893" s="25"/>
      <c r="G893" s="25"/>
      <c r="H893" s="31"/>
      <c r="I893" s="32"/>
      <c r="J893" s="33"/>
      <c r="K893" s="34" t="str">
        <f aca="false">IF(OR(H893="",I893=""),"",H893*I893*(1-N(J893)))</f>
        <v/>
      </c>
      <c r="L893" s="32"/>
      <c r="M893" s="34" t="str">
        <f aca="false">IF(OR(H893="",L893=""),"",H893*L893)</f>
        <v/>
      </c>
      <c r="N893" s="34" t="str">
        <f aca="false">IF(OR(K893="",M893=""),"",K893-M893)</f>
        <v/>
      </c>
      <c r="O893" s="35" t="str">
        <f aca="false">IF(OR(N893="",K893=""),"",IF(K893=0,"",N893/K893))</f>
        <v/>
      </c>
      <c r="P893" s="25"/>
      <c r="Q893" s="25"/>
      <c r="R893" s="25"/>
      <c r="S893" s="36" t="str">
        <f aca="false">IF(A893="","",YEAR(A893)+IF(AND(FYStart&gt;1,MONTH(A893)&gt;=FYStart),1,0))</f>
        <v/>
      </c>
      <c r="T893" s="36" t="str">
        <f aca="false">IF(A893="","",MOD(MONTH(A893)-FYStart,12)+1)</f>
        <v/>
      </c>
      <c r="U893" s="37" t="str">
        <f aca="false">IF(A893="","",TEXT(A893,"mmm"))</f>
        <v/>
      </c>
      <c r="V893" s="37" t="str">
        <f aca="false">IF(Q893="","",IFERROR(INDEX(Settings!$I$11:$I$15,MATCH(Q893,Settings!$H$11:$H$15,0)),"No"))</f>
        <v/>
      </c>
      <c r="W893" s="37" t="str">
        <f aca="false">IF(Q893="","",IFERROR(INDEX(Settings!$J$11:$J$15,MATCH(Q893,Settings!$H$11:$H$15,0)),"No"))</f>
        <v/>
      </c>
    </row>
    <row r="894" customFormat="false" ht="15" hidden="false" customHeight="false" outlineLevel="0" collapsed="false">
      <c r="A894" s="30"/>
      <c r="B894" s="25"/>
      <c r="C894" s="25"/>
      <c r="D894" s="25"/>
      <c r="E894" s="25"/>
      <c r="F894" s="25"/>
      <c r="G894" s="25"/>
      <c r="H894" s="31"/>
      <c r="I894" s="32"/>
      <c r="J894" s="33"/>
      <c r="K894" s="34" t="str">
        <f aca="false">IF(OR(H894="",I894=""),"",H894*I894*(1-N(J894)))</f>
        <v/>
      </c>
      <c r="L894" s="32"/>
      <c r="M894" s="34" t="str">
        <f aca="false">IF(OR(H894="",L894=""),"",H894*L894)</f>
        <v/>
      </c>
      <c r="N894" s="34" t="str">
        <f aca="false">IF(OR(K894="",M894=""),"",K894-M894)</f>
        <v/>
      </c>
      <c r="O894" s="35" t="str">
        <f aca="false">IF(OR(N894="",K894=""),"",IF(K894=0,"",N894/K894))</f>
        <v/>
      </c>
      <c r="P894" s="25"/>
      <c r="Q894" s="25"/>
      <c r="R894" s="25"/>
      <c r="S894" s="36" t="str">
        <f aca="false">IF(A894="","",YEAR(A894)+IF(AND(FYStart&gt;1,MONTH(A894)&gt;=FYStart),1,0))</f>
        <v/>
      </c>
      <c r="T894" s="36" t="str">
        <f aca="false">IF(A894="","",MOD(MONTH(A894)-FYStart,12)+1)</f>
        <v/>
      </c>
      <c r="U894" s="37" t="str">
        <f aca="false">IF(A894="","",TEXT(A894,"mmm"))</f>
        <v/>
      </c>
      <c r="V894" s="37" t="str">
        <f aca="false">IF(Q894="","",IFERROR(INDEX(Settings!$I$11:$I$15,MATCH(Q894,Settings!$H$11:$H$15,0)),"No"))</f>
        <v/>
      </c>
      <c r="W894" s="37" t="str">
        <f aca="false">IF(Q894="","",IFERROR(INDEX(Settings!$J$11:$J$15,MATCH(Q894,Settings!$H$11:$H$15,0)),"No"))</f>
        <v/>
      </c>
    </row>
    <row r="895" customFormat="false" ht="15" hidden="false" customHeight="false" outlineLevel="0" collapsed="false">
      <c r="A895" s="30"/>
      <c r="B895" s="25"/>
      <c r="C895" s="25"/>
      <c r="D895" s="25"/>
      <c r="E895" s="25"/>
      <c r="F895" s="25"/>
      <c r="G895" s="25"/>
      <c r="H895" s="31"/>
      <c r="I895" s="32"/>
      <c r="J895" s="33"/>
      <c r="K895" s="34" t="str">
        <f aca="false">IF(OR(H895="",I895=""),"",H895*I895*(1-N(J895)))</f>
        <v/>
      </c>
      <c r="L895" s="32"/>
      <c r="M895" s="34" t="str">
        <f aca="false">IF(OR(H895="",L895=""),"",H895*L895)</f>
        <v/>
      </c>
      <c r="N895" s="34" t="str">
        <f aca="false">IF(OR(K895="",M895=""),"",K895-M895)</f>
        <v/>
      </c>
      <c r="O895" s="35" t="str">
        <f aca="false">IF(OR(N895="",K895=""),"",IF(K895=0,"",N895/K895))</f>
        <v/>
      </c>
      <c r="P895" s="25"/>
      <c r="Q895" s="25"/>
      <c r="R895" s="25"/>
      <c r="S895" s="36" t="str">
        <f aca="false">IF(A895="","",YEAR(A895)+IF(AND(FYStart&gt;1,MONTH(A895)&gt;=FYStart),1,0))</f>
        <v/>
      </c>
      <c r="T895" s="36" t="str">
        <f aca="false">IF(A895="","",MOD(MONTH(A895)-FYStart,12)+1)</f>
        <v/>
      </c>
      <c r="U895" s="37" t="str">
        <f aca="false">IF(A895="","",TEXT(A895,"mmm"))</f>
        <v/>
      </c>
      <c r="V895" s="37" t="str">
        <f aca="false">IF(Q895="","",IFERROR(INDEX(Settings!$I$11:$I$15,MATCH(Q895,Settings!$H$11:$H$15,0)),"No"))</f>
        <v/>
      </c>
      <c r="W895" s="37" t="str">
        <f aca="false">IF(Q895="","",IFERROR(INDEX(Settings!$J$11:$J$15,MATCH(Q895,Settings!$H$11:$H$15,0)),"No"))</f>
        <v/>
      </c>
    </row>
    <row r="896" customFormat="false" ht="15" hidden="false" customHeight="false" outlineLevel="0" collapsed="false">
      <c r="A896" s="30"/>
      <c r="B896" s="25"/>
      <c r="C896" s="25"/>
      <c r="D896" s="25"/>
      <c r="E896" s="25"/>
      <c r="F896" s="25"/>
      <c r="G896" s="25"/>
      <c r="H896" s="31"/>
      <c r="I896" s="32"/>
      <c r="J896" s="33"/>
      <c r="K896" s="34" t="str">
        <f aca="false">IF(OR(H896="",I896=""),"",H896*I896*(1-N(J896)))</f>
        <v/>
      </c>
      <c r="L896" s="32"/>
      <c r="M896" s="34" t="str">
        <f aca="false">IF(OR(H896="",L896=""),"",H896*L896)</f>
        <v/>
      </c>
      <c r="N896" s="34" t="str">
        <f aca="false">IF(OR(K896="",M896=""),"",K896-M896)</f>
        <v/>
      </c>
      <c r="O896" s="35" t="str">
        <f aca="false">IF(OR(N896="",K896=""),"",IF(K896=0,"",N896/K896))</f>
        <v/>
      </c>
      <c r="P896" s="25"/>
      <c r="Q896" s="25"/>
      <c r="R896" s="25"/>
      <c r="S896" s="36" t="str">
        <f aca="false">IF(A896="","",YEAR(A896)+IF(AND(FYStart&gt;1,MONTH(A896)&gt;=FYStart),1,0))</f>
        <v/>
      </c>
      <c r="T896" s="36" t="str">
        <f aca="false">IF(A896="","",MOD(MONTH(A896)-FYStart,12)+1)</f>
        <v/>
      </c>
      <c r="U896" s="37" t="str">
        <f aca="false">IF(A896="","",TEXT(A896,"mmm"))</f>
        <v/>
      </c>
      <c r="V896" s="37" t="str">
        <f aca="false">IF(Q896="","",IFERROR(INDEX(Settings!$I$11:$I$15,MATCH(Q896,Settings!$H$11:$H$15,0)),"No"))</f>
        <v/>
      </c>
      <c r="W896" s="37" t="str">
        <f aca="false">IF(Q896="","",IFERROR(INDEX(Settings!$J$11:$J$15,MATCH(Q896,Settings!$H$11:$H$15,0)),"No"))</f>
        <v/>
      </c>
    </row>
    <row r="897" customFormat="false" ht="15" hidden="false" customHeight="false" outlineLevel="0" collapsed="false">
      <c r="A897" s="30"/>
      <c r="B897" s="25"/>
      <c r="C897" s="25"/>
      <c r="D897" s="25"/>
      <c r="E897" s="25"/>
      <c r="F897" s="25"/>
      <c r="G897" s="25"/>
      <c r="H897" s="31"/>
      <c r="I897" s="32"/>
      <c r="J897" s="33"/>
      <c r="K897" s="34" t="str">
        <f aca="false">IF(OR(H897="",I897=""),"",H897*I897*(1-N(J897)))</f>
        <v/>
      </c>
      <c r="L897" s="32"/>
      <c r="M897" s="34" t="str">
        <f aca="false">IF(OR(H897="",L897=""),"",H897*L897)</f>
        <v/>
      </c>
      <c r="N897" s="34" t="str">
        <f aca="false">IF(OR(K897="",M897=""),"",K897-M897)</f>
        <v/>
      </c>
      <c r="O897" s="35" t="str">
        <f aca="false">IF(OR(N897="",K897=""),"",IF(K897=0,"",N897/K897))</f>
        <v/>
      </c>
      <c r="P897" s="25"/>
      <c r="Q897" s="25"/>
      <c r="R897" s="25"/>
      <c r="S897" s="36" t="str">
        <f aca="false">IF(A897="","",YEAR(A897)+IF(AND(FYStart&gt;1,MONTH(A897)&gt;=FYStart),1,0))</f>
        <v/>
      </c>
      <c r="T897" s="36" t="str">
        <f aca="false">IF(A897="","",MOD(MONTH(A897)-FYStart,12)+1)</f>
        <v/>
      </c>
      <c r="U897" s="37" t="str">
        <f aca="false">IF(A897="","",TEXT(A897,"mmm"))</f>
        <v/>
      </c>
      <c r="V897" s="37" t="str">
        <f aca="false">IF(Q897="","",IFERROR(INDEX(Settings!$I$11:$I$15,MATCH(Q897,Settings!$H$11:$H$15,0)),"No"))</f>
        <v/>
      </c>
      <c r="W897" s="37" t="str">
        <f aca="false">IF(Q897="","",IFERROR(INDEX(Settings!$J$11:$J$15,MATCH(Q897,Settings!$H$11:$H$15,0)),"No"))</f>
        <v/>
      </c>
    </row>
    <row r="898" customFormat="false" ht="15" hidden="false" customHeight="false" outlineLevel="0" collapsed="false">
      <c r="A898" s="30"/>
      <c r="B898" s="25"/>
      <c r="C898" s="25"/>
      <c r="D898" s="25"/>
      <c r="E898" s="25"/>
      <c r="F898" s="25"/>
      <c r="G898" s="25"/>
      <c r="H898" s="31"/>
      <c r="I898" s="32"/>
      <c r="J898" s="33"/>
      <c r="K898" s="34" t="str">
        <f aca="false">IF(OR(H898="",I898=""),"",H898*I898*(1-N(J898)))</f>
        <v/>
      </c>
      <c r="L898" s="32"/>
      <c r="M898" s="34" t="str">
        <f aca="false">IF(OR(H898="",L898=""),"",H898*L898)</f>
        <v/>
      </c>
      <c r="N898" s="34" t="str">
        <f aca="false">IF(OR(K898="",M898=""),"",K898-M898)</f>
        <v/>
      </c>
      <c r="O898" s="35" t="str">
        <f aca="false">IF(OR(N898="",K898=""),"",IF(K898=0,"",N898/K898))</f>
        <v/>
      </c>
      <c r="P898" s="25"/>
      <c r="Q898" s="25"/>
      <c r="R898" s="25"/>
      <c r="S898" s="36" t="str">
        <f aca="false">IF(A898="","",YEAR(A898)+IF(AND(FYStart&gt;1,MONTH(A898)&gt;=FYStart),1,0))</f>
        <v/>
      </c>
      <c r="T898" s="36" t="str">
        <f aca="false">IF(A898="","",MOD(MONTH(A898)-FYStart,12)+1)</f>
        <v/>
      </c>
      <c r="U898" s="37" t="str">
        <f aca="false">IF(A898="","",TEXT(A898,"mmm"))</f>
        <v/>
      </c>
      <c r="V898" s="37" t="str">
        <f aca="false">IF(Q898="","",IFERROR(INDEX(Settings!$I$11:$I$15,MATCH(Q898,Settings!$H$11:$H$15,0)),"No"))</f>
        <v/>
      </c>
      <c r="W898" s="37" t="str">
        <f aca="false">IF(Q898="","",IFERROR(INDEX(Settings!$J$11:$J$15,MATCH(Q898,Settings!$H$11:$H$15,0)),"No"))</f>
        <v/>
      </c>
    </row>
    <row r="899" customFormat="false" ht="15" hidden="false" customHeight="false" outlineLevel="0" collapsed="false">
      <c r="A899" s="30"/>
      <c r="B899" s="25"/>
      <c r="C899" s="25"/>
      <c r="D899" s="25"/>
      <c r="E899" s="25"/>
      <c r="F899" s="25"/>
      <c r="G899" s="25"/>
      <c r="H899" s="31"/>
      <c r="I899" s="32"/>
      <c r="J899" s="33"/>
      <c r="K899" s="34" t="str">
        <f aca="false">IF(OR(H899="",I899=""),"",H899*I899*(1-N(J899)))</f>
        <v/>
      </c>
      <c r="L899" s="32"/>
      <c r="M899" s="34" t="str">
        <f aca="false">IF(OR(H899="",L899=""),"",H899*L899)</f>
        <v/>
      </c>
      <c r="N899" s="34" t="str">
        <f aca="false">IF(OR(K899="",M899=""),"",K899-M899)</f>
        <v/>
      </c>
      <c r="O899" s="35" t="str">
        <f aca="false">IF(OR(N899="",K899=""),"",IF(K899=0,"",N899/K899))</f>
        <v/>
      </c>
      <c r="P899" s="25"/>
      <c r="Q899" s="25"/>
      <c r="R899" s="25"/>
      <c r="S899" s="36" t="str">
        <f aca="false">IF(A899="","",YEAR(A899)+IF(AND(FYStart&gt;1,MONTH(A899)&gt;=FYStart),1,0))</f>
        <v/>
      </c>
      <c r="T899" s="36" t="str">
        <f aca="false">IF(A899="","",MOD(MONTH(A899)-FYStart,12)+1)</f>
        <v/>
      </c>
      <c r="U899" s="37" t="str">
        <f aca="false">IF(A899="","",TEXT(A899,"mmm"))</f>
        <v/>
      </c>
      <c r="V899" s="37" t="str">
        <f aca="false">IF(Q899="","",IFERROR(INDEX(Settings!$I$11:$I$15,MATCH(Q899,Settings!$H$11:$H$15,0)),"No"))</f>
        <v/>
      </c>
      <c r="W899" s="37" t="str">
        <f aca="false">IF(Q899="","",IFERROR(INDEX(Settings!$J$11:$J$15,MATCH(Q899,Settings!$H$11:$H$15,0)),"No"))</f>
        <v/>
      </c>
    </row>
    <row r="900" customFormat="false" ht="15" hidden="false" customHeight="false" outlineLevel="0" collapsed="false">
      <c r="A900" s="30"/>
      <c r="B900" s="25"/>
      <c r="C900" s="25"/>
      <c r="D900" s="25"/>
      <c r="E900" s="25"/>
      <c r="F900" s="25"/>
      <c r="G900" s="25"/>
      <c r="H900" s="31"/>
      <c r="I900" s="32"/>
      <c r="J900" s="33"/>
      <c r="K900" s="34" t="str">
        <f aca="false">IF(OR(H900="",I900=""),"",H900*I900*(1-N(J900)))</f>
        <v/>
      </c>
      <c r="L900" s="32"/>
      <c r="M900" s="34" t="str">
        <f aca="false">IF(OR(H900="",L900=""),"",H900*L900)</f>
        <v/>
      </c>
      <c r="N900" s="34" t="str">
        <f aca="false">IF(OR(K900="",M900=""),"",K900-M900)</f>
        <v/>
      </c>
      <c r="O900" s="35" t="str">
        <f aca="false">IF(OR(N900="",K900=""),"",IF(K900=0,"",N900/K900))</f>
        <v/>
      </c>
      <c r="P900" s="25"/>
      <c r="Q900" s="25"/>
      <c r="R900" s="25"/>
      <c r="S900" s="36" t="str">
        <f aca="false">IF(A900="","",YEAR(A900)+IF(AND(FYStart&gt;1,MONTH(A900)&gt;=FYStart),1,0))</f>
        <v/>
      </c>
      <c r="T900" s="36" t="str">
        <f aca="false">IF(A900="","",MOD(MONTH(A900)-FYStart,12)+1)</f>
        <v/>
      </c>
      <c r="U900" s="37" t="str">
        <f aca="false">IF(A900="","",TEXT(A900,"mmm"))</f>
        <v/>
      </c>
      <c r="V900" s="37" t="str">
        <f aca="false">IF(Q900="","",IFERROR(INDEX(Settings!$I$11:$I$15,MATCH(Q900,Settings!$H$11:$H$15,0)),"No"))</f>
        <v/>
      </c>
      <c r="W900" s="37" t="str">
        <f aca="false">IF(Q900="","",IFERROR(INDEX(Settings!$J$11:$J$15,MATCH(Q900,Settings!$H$11:$H$15,0)),"No"))</f>
        <v/>
      </c>
    </row>
    <row r="901" customFormat="false" ht="15" hidden="false" customHeight="false" outlineLevel="0" collapsed="false">
      <c r="A901" s="30"/>
      <c r="B901" s="25"/>
      <c r="C901" s="25"/>
      <c r="D901" s="25"/>
      <c r="E901" s="25"/>
      <c r="F901" s="25"/>
      <c r="G901" s="25"/>
      <c r="H901" s="31"/>
      <c r="I901" s="32"/>
      <c r="J901" s="33"/>
      <c r="K901" s="34" t="str">
        <f aca="false">IF(OR(H901="",I901=""),"",H901*I901*(1-N(J901)))</f>
        <v/>
      </c>
      <c r="L901" s="32"/>
      <c r="M901" s="34" t="str">
        <f aca="false">IF(OR(H901="",L901=""),"",H901*L901)</f>
        <v/>
      </c>
      <c r="N901" s="34" t="str">
        <f aca="false">IF(OR(K901="",M901=""),"",K901-M901)</f>
        <v/>
      </c>
      <c r="O901" s="35" t="str">
        <f aca="false">IF(OR(N901="",K901=""),"",IF(K901=0,"",N901/K901))</f>
        <v/>
      </c>
      <c r="P901" s="25"/>
      <c r="Q901" s="25"/>
      <c r="R901" s="25"/>
      <c r="S901" s="36" t="str">
        <f aca="false">IF(A901="","",YEAR(A901)+IF(AND(FYStart&gt;1,MONTH(A901)&gt;=FYStart),1,0))</f>
        <v/>
      </c>
      <c r="T901" s="36" t="str">
        <f aca="false">IF(A901="","",MOD(MONTH(A901)-FYStart,12)+1)</f>
        <v/>
      </c>
      <c r="U901" s="37" t="str">
        <f aca="false">IF(A901="","",TEXT(A901,"mmm"))</f>
        <v/>
      </c>
      <c r="V901" s="37" t="str">
        <f aca="false">IF(Q901="","",IFERROR(INDEX(Settings!$I$11:$I$15,MATCH(Q901,Settings!$H$11:$H$15,0)),"No"))</f>
        <v/>
      </c>
      <c r="W901" s="37" t="str">
        <f aca="false">IF(Q901="","",IFERROR(INDEX(Settings!$J$11:$J$15,MATCH(Q901,Settings!$H$11:$H$15,0)),"No"))</f>
        <v/>
      </c>
    </row>
    <row r="902" customFormat="false" ht="15" hidden="false" customHeight="false" outlineLevel="0" collapsed="false">
      <c r="A902" s="30"/>
      <c r="B902" s="25"/>
      <c r="C902" s="25"/>
      <c r="D902" s="25"/>
      <c r="E902" s="25"/>
      <c r="F902" s="25"/>
      <c r="G902" s="25"/>
      <c r="H902" s="31"/>
      <c r="I902" s="32"/>
      <c r="J902" s="33"/>
      <c r="K902" s="34" t="str">
        <f aca="false">IF(OR(H902="",I902=""),"",H902*I902*(1-N(J902)))</f>
        <v/>
      </c>
      <c r="L902" s="32"/>
      <c r="M902" s="34" t="str">
        <f aca="false">IF(OR(H902="",L902=""),"",H902*L902)</f>
        <v/>
      </c>
      <c r="N902" s="34" t="str">
        <f aca="false">IF(OR(K902="",M902=""),"",K902-M902)</f>
        <v/>
      </c>
      <c r="O902" s="35" t="str">
        <f aca="false">IF(OR(N902="",K902=""),"",IF(K902=0,"",N902/K902))</f>
        <v/>
      </c>
      <c r="P902" s="25"/>
      <c r="Q902" s="25"/>
      <c r="R902" s="25"/>
      <c r="S902" s="36" t="str">
        <f aca="false">IF(A902="","",YEAR(A902)+IF(AND(FYStart&gt;1,MONTH(A902)&gt;=FYStart),1,0))</f>
        <v/>
      </c>
      <c r="T902" s="36" t="str">
        <f aca="false">IF(A902="","",MOD(MONTH(A902)-FYStart,12)+1)</f>
        <v/>
      </c>
      <c r="U902" s="37" t="str">
        <f aca="false">IF(A902="","",TEXT(A902,"mmm"))</f>
        <v/>
      </c>
      <c r="V902" s="37" t="str">
        <f aca="false">IF(Q902="","",IFERROR(INDEX(Settings!$I$11:$I$15,MATCH(Q902,Settings!$H$11:$H$15,0)),"No"))</f>
        <v/>
      </c>
      <c r="W902" s="37" t="str">
        <f aca="false">IF(Q902="","",IFERROR(INDEX(Settings!$J$11:$J$15,MATCH(Q902,Settings!$H$11:$H$15,0)),"No"))</f>
        <v/>
      </c>
    </row>
    <row r="903" customFormat="false" ht="15" hidden="false" customHeight="false" outlineLevel="0" collapsed="false">
      <c r="A903" s="30"/>
      <c r="B903" s="25"/>
      <c r="C903" s="25"/>
      <c r="D903" s="25"/>
      <c r="E903" s="25"/>
      <c r="F903" s="25"/>
      <c r="G903" s="25"/>
      <c r="H903" s="31"/>
      <c r="I903" s="32"/>
      <c r="J903" s="33"/>
      <c r="K903" s="34" t="str">
        <f aca="false">IF(OR(H903="",I903=""),"",H903*I903*(1-N(J903)))</f>
        <v/>
      </c>
      <c r="L903" s="32"/>
      <c r="M903" s="34" t="str">
        <f aca="false">IF(OR(H903="",L903=""),"",H903*L903)</f>
        <v/>
      </c>
      <c r="N903" s="34" t="str">
        <f aca="false">IF(OR(K903="",M903=""),"",K903-M903)</f>
        <v/>
      </c>
      <c r="O903" s="35" t="str">
        <f aca="false">IF(OR(N903="",K903=""),"",IF(K903=0,"",N903/K903))</f>
        <v/>
      </c>
      <c r="P903" s="25"/>
      <c r="Q903" s="25"/>
      <c r="R903" s="25"/>
      <c r="S903" s="36" t="str">
        <f aca="false">IF(A903="","",YEAR(A903)+IF(AND(FYStart&gt;1,MONTH(A903)&gt;=FYStart),1,0))</f>
        <v/>
      </c>
      <c r="T903" s="36" t="str">
        <f aca="false">IF(A903="","",MOD(MONTH(A903)-FYStart,12)+1)</f>
        <v/>
      </c>
      <c r="U903" s="37" t="str">
        <f aca="false">IF(A903="","",TEXT(A903,"mmm"))</f>
        <v/>
      </c>
      <c r="V903" s="37" t="str">
        <f aca="false">IF(Q903="","",IFERROR(INDEX(Settings!$I$11:$I$15,MATCH(Q903,Settings!$H$11:$H$15,0)),"No"))</f>
        <v/>
      </c>
      <c r="W903" s="37" t="str">
        <f aca="false">IF(Q903="","",IFERROR(INDEX(Settings!$J$11:$J$15,MATCH(Q903,Settings!$H$11:$H$15,0)),"No"))</f>
        <v/>
      </c>
    </row>
    <row r="904" customFormat="false" ht="15" hidden="false" customHeight="false" outlineLevel="0" collapsed="false">
      <c r="A904" s="30"/>
      <c r="B904" s="25"/>
      <c r="C904" s="25"/>
      <c r="D904" s="25"/>
      <c r="E904" s="25"/>
      <c r="F904" s="25"/>
      <c r="G904" s="25"/>
      <c r="H904" s="31"/>
      <c r="I904" s="32"/>
      <c r="J904" s="33"/>
      <c r="K904" s="34" t="str">
        <f aca="false">IF(OR(H904="",I904=""),"",H904*I904*(1-N(J904)))</f>
        <v/>
      </c>
      <c r="L904" s="32"/>
      <c r="M904" s="34" t="str">
        <f aca="false">IF(OR(H904="",L904=""),"",H904*L904)</f>
        <v/>
      </c>
      <c r="N904" s="34" t="str">
        <f aca="false">IF(OR(K904="",M904=""),"",K904-M904)</f>
        <v/>
      </c>
      <c r="O904" s="35" t="str">
        <f aca="false">IF(OR(N904="",K904=""),"",IF(K904=0,"",N904/K904))</f>
        <v/>
      </c>
      <c r="P904" s="25"/>
      <c r="Q904" s="25"/>
      <c r="R904" s="25"/>
      <c r="S904" s="36" t="str">
        <f aca="false">IF(A904="","",YEAR(A904)+IF(AND(FYStart&gt;1,MONTH(A904)&gt;=FYStart),1,0))</f>
        <v/>
      </c>
      <c r="T904" s="36" t="str">
        <f aca="false">IF(A904="","",MOD(MONTH(A904)-FYStart,12)+1)</f>
        <v/>
      </c>
      <c r="U904" s="37" t="str">
        <f aca="false">IF(A904="","",TEXT(A904,"mmm"))</f>
        <v/>
      </c>
      <c r="V904" s="37" t="str">
        <f aca="false">IF(Q904="","",IFERROR(INDEX(Settings!$I$11:$I$15,MATCH(Q904,Settings!$H$11:$H$15,0)),"No"))</f>
        <v/>
      </c>
      <c r="W904" s="37" t="str">
        <f aca="false">IF(Q904="","",IFERROR(INDEX(Settings!$J$11:$J$15,MATCH(Q904,Settings!$H$11:$H$15,0)),"No"))</f>
        <v/>
      </c>
    </row>
    <row r="905" customFormat="false" ht="15" hidden="false" customHeight="false" outlineLevel="0" collapsed="false">
      <c r="A905" s="30"/>
      <c r="B905" s="25"/>
      <c r="C905" s="25"/>
      <c r="D905" s="25"/>
      <c r="E905" s="25"/>
      <c r="F905" s="25"/>
      <c r="G905" s="25"/>
      <c r="H905" s="31"/>
      <c r="I905" s="32"/>
      <c r="J905" s="33"/>
      <c r="K905" s="34" t="str">
        <f aca="false">IF(OR(H905="",I905=""),"",H905*I905*(1-N(J905)))</f>
        <v/>
      </c>
      <c r="L905" s="32"/>
      <c r="M905" s="34" t="str">
        <f aca="false">IF(OR(H905="",L905=""),"",H905*L905)</f>
        <v/>
      </c>
      <c r="N905" s="34" t="str">
        <f aca="false">IF(OR(K905="",M905=""),"",K905-M905)</f>
        <v/>
      </c>
      <c r="O905" s="35" t="str">
        <f aca="false">IF(OR(N905="",K905=""),"",IF(K905=0,"",N905/K905))</f>
        <v/>
      </c>
      <c r="P905" s="25"/>
      <c r="Q905" s="25"/>
      <c r="R905" s="25"/>
      <c r="S905" s="36" t="str">
        <f aca="false">IF(A905="","",YEAR(A905)+IF(AND(FYStart&gt;1,MONTH(A905)&gt;=FYStart),1,0))</f>
        <v/>
      </c>
      <c r="T905" s="36" t="str">
        <f aca="false">IF(A905="","",MOD(MONTH(A905)-FYStart,12)+1)</f>
        <v/>
      </c>
      <c r="U905" s="37" t="str">
        <f aca="false">IF(A905="","",TEXT(A905,"mmm"))</f>
        <v/>
      </c>
      <c r="V905" s="37" t="str">
        <f aca="false">IF(Q905="","",IFERROR(INDEX(Settings!$I$11:$I$15,MATCH(Q905,Settings!$H$11:$H$15,0)),"No"))</f>
        <v/>
      </c>
      <c r="W905" s="37" t="str">
        <f aca="false">IF(Q905="","",IFERROR(INDEX(Settings!$J$11:$J$15,MATCH(Q905,Settings!$H$11:$H$15,0)),"No"))</f>
        <v/>
      </c>
    </row>
    <row r="906" customFormat="false" ht="15" hidden="false" customHeight="false" outlineLevel="0" collapsed="false">
      <c r="A906" s="30"/>
      <c r="B906" s="25"/>
      <c r="C906" s="25"/>
      <c r="D906" s="25"/>
      <c r="E906" s="25"/>
      <c r="F906" s="25"/>
      <c r="G906" s="25"/>
      <c r="H906" s="31"/>
      <c r="I906" s="32"/>
      <c r="J906" s="33"/>
      <c r="K906" s="34" t="str">
        <f aca="false">IF(OR(H906="",I906=""),"",H906*I906*(1-N(J906)))</f>
        <v/>
      </c>
      <c r="L906" s="32"/>
      <c r="M906" s="34" t="str">
        <f aca="false">IF(OR(H906="",L906=""),"",H906*L906)</f>
        <v/>
      </c>
      <c r="N906" s="34" t="str">
        <f aca="false">IF(OR(K906="",M906=""),"",K906-M906)</f>
        <v/>
      </c>
      <c r="O906" s="35" t="str">
        <f aca="false">IF(OR(N906="",K906=""),"",IF(K906=0,"",N906/K906))</f>
        <v/>
      </c>
      <c r="P906" s="25"/>
      <c r="Q906" s="25"/>
      <c r="R906" s="25"/>
      <c r="S906" s="36" t="str">
        <f aca="false">IF(A906="","",YEAR(A906)+IF(AND(FYStart&gt;1,MONTH(A906)&gt;=FYStart),1,0))</f>
        <v/>
      </c>
      <c r="T906" s="36" t="str">
        <f aca="false">IF(A906="","",MOD(MONTH(A906)-FYStart,12)+1)</f>
        <v/>
      </c>
      <c r="U906" s="37" t="str">
        <f aca="false">IF(A906="","",TEXT(A906,"mmm"))</f>
        <v/>
      </c>
      <c r="V906" s="37" t="str">
        <f aca="false">IF(Q906="","",IFERROR(INDEX(Settings!$I$11:$I$15,MATCH(Q906,Settings!$H$11:$H$15,0)),"No"))</f>
        <v/>
      </c>
      <c r="W906" s="37" t="str">
        <f aca="false">IF(Q906="","",IFERROR(INDEX(Settings!$J$11:$J$15,MATCH(Q906,Settings!$H$11:$H$15,0)),"No"))</f>
        <v/>
      </c>
    </row>
    <row r="907" customFormat="false" ht="15" hidden="false" customHeight="false" outlineLevel="0" collapsed="false">
      <c r="A907" s="30"/>
      <c r="B907" s="25"/>
      <c r="C907" s="25"/>
      <c r="D907" s="25"/>
      <c r="E907" s="25"/>
      <c r="F907" s="25"/>
      <c r="G907" s="25"/>
      <c r="H907" s="31"/>
      <c r="I907" s="32"/>
      <c r="J907" s="33"/>
      <c r="K907" s="34" t="str">
        <f aca="false">IF(OR(H907="",I907=""),"",H907*I907*(1-N(J907)))</f>
        <v/>
      </c>
      <c r="L907" s="32"/>
      <c r="M907" s="34" t="str">
        <f aca="false">IF(OR(H907="",L907=""),"",H907*L907)</f>
        <v/>
      </c>
      <c r="N907" s="34" t="str">
        <f aca="false">IF(OR(K907="",M907=""),"",K907-M907)</f>
        <v/>
      </c>
      <c r="O907" s="35" t="str">
        <f aca="false">IF(OR(N907="",K907=""),"",IF(K907=0,"",N907/K907))</f>
        <v/>
      </c>
      <c r="P907" s="25"/>
      <c r="Q907" s="25"/>
      <c r="R907" s="25"/>
      <c r="S907" s="36" t="str">
        <f aca="false">IF(A907="","",YEAR(A907)+IF(AND(FYStart&gt;1,MONTH(A907)&gt;=FYStart),1,0))</f>
        <v/>
      </c>
      <c r="T907" s="36" t="str">
        <f aca="false">IF(A907="","",MOD(MONTH(A907)-FYStart,12)+1)</f>
        <v/>
      </c>
      <c r="U907" s="37" t="str">
        <f aca="false">IF(A907="","",TEXT(A907,"mmm"))</f>
        <v/>
      </c>
      <c r="V907" s="37" t="str">
        <f aca="false">IF(Q907="","",IFERROR(INDEX(Settings!$I$11:$I$15,MATCH(Q907,Settings!$H$11:$H$15,0)),"No"))</f>
        <v/>
      </c>
      <c r="W907" s="37" t="str">
        <f aca="false">IF(Q907="","",IFERROR(INDEX(Settings!$J$11:$J$15,MATCH(Q907,Settings!$H$11:$H$15,0)),"No"))</f>
        <v/>
      </c>
    </row>
    <row r="908" customFormat="false" ht="15" hidden="false" customHeight="false" outlineLevel="0" collapsed="false">
      <c r="A908" s="30"/>
      <c r="B908" s="25"/>
      <c r="C908" s="25"/>
      <c r="D908" s="25"/>
      <c r="E908" s="25"/>
      <c r="F908" s="25"/>
      <c r="G908" s="25"/>
      <c r="H908" s="31"/>
      <c r="I908" s="32"/>
      <c r="J908" s="33"/>
      <c r="K908" s="34" t="str">
        <f aca="false">IF(OR(H908="",I908=""),"",H908*I908*(1-N(J908)))</f>
        <v/>
      </c>
      <c r="L908" s="32"/>
      <c r="M908" s="34" t="str">
        <f aca="false">IF(OR(H908="",L908=""),"",H908*L908)</f>
        <v/>
      </c>
      <c r="N908" s="34" t="str">
        <f aca="false">IF(OR(K908="",M908=""),"",K908-M908)</f>
        <v/>
      </c>
      <c r="O908" s="35" t="str">
        <f aca="false">IF(OR(N908="",K908=""),"",IF(K908=0,"",N908/K908))</f>
        <v/>
      </c>
      <c r="P908" s="25"/>
      <c r="Q908" s="25"/>
      <c r="R908" s="25"/>
      <c r="S908" s="36" t="str">
        <f aca="false">IF(A908="","",YEAR(A908)+IF(AND(FYStart&gt;1,MONTH(A908)&gt;=FYStart),1,0))</f>
        <v/>
      </c>
      <c r="T908" s="36" t="str">
        <f aca="false">IF(A908="","",MOD(MONTH(A908)-FYStart,12)+1)</f>
        <v/>
      </c>
      <c r="U908" s="37" t="str">
        <f aca="false">IF(A908="","",TEXT(A908,"mmm"))</f>
        <v/>
      </c>
      <c r="V908" s="37" t="str">
        <f aca="false">IF(Q908="","",IFERROR(INDEX(Settings!$I$11:$I$15,MATCH(Q908,Settings!$H$11:$H$15,0)),"No"))</f>
        <v/>
      </c>
      <c r="W908" s="37" t="str">
        <f aca="false">IF(Q908="","",IFERROR(INDEX(Settings!$J$11:$J$15,MATCH(Q908,Settings!$H$11:$H$15,0)),"No"))</f>
        <v/>
      </c>
    </row>
    <row r="909" customFormat="false" ht="15" hidden="false" customHeight="false" outlineLevel="0" collapsed="false">
      <c r="A909" s="30"/>
      <c r="B909" s="25"/>
      <c r="C909" s="25"/>
      <c r="D909" s="25"/>
      <c r="E909" s="25"/>
      <c r="F909" s="25"/>
      <c r="G909" s="25"/>
      <c r="H909" s="31"/>
      <c r="I909" s="32"/>
      <c r="J909" s="33"/>
      <c r="K909" s="34" t="str">
        <f aca="false">IF(OR(H909="",I909=""),"",H909*I909*(1-N(J909)))</f>
        <v/>
      </c>
      <c r="L909" s="32"/>
      <c r="M909" s="34" t="str">
        <f aca="false">IF(OR(H909="",L909=""),"",H909*L909)</f>
        <v/>
      </c>
      <c r="N909" s="34" t="str">
        <f aca="false">IF(OR(K909="",M909=""),"",K909-M909)</f>
        <v/>
      </c>
      <c r="O909" s="35" t="str">
        <f aca="false">IF(OR(N909="",K909=""),"",IF(K909=0,"",N909/K909))</f>
        <v/>
      </c>
      <c r="P909" s="25"/>
      <c r="Q909" s="25"/>
      <c r="R909" s="25"/>
      <c r="S909" s="36" t="str">
        <f aca="false">IF(A909="","",YEAR(A909)+IF(AND(FYStart&gt;1,MONTH(A909)&gt;=FYStart),1,0))</f>
        <v/>
      </c>
      <c r="T909" s="36" t="str">
        <f aca="false">IF(A909="","",MOD(MONTH(A909)-FYStart,12)+1)</f>
        <v/>
      </c>
      <c r="U909" s="37" t="str">
        <f aca="false">IF(A909="","",TEXT(A909,"mmm"))</f>
        <v/>
      </c>
      <c r="V909" s="37" t="str">
        <f aca="false">IF(Q909="","",IFERROR(INDEX(Settings!$I$11:$I$15,MATCH(Q909,Settings!$H$11:$H$15,0)),"No"))</f>
        <v/>
      </c>
      <c r="W909" s="37" t="str">
        <f aca="false">IF(Q909="","",IFERROR(INDEX(Settings!$J$11:$J$15,MATCH(Q909,Settings!$H$11:$H$15,0)),"No"))</f>
        <v/>
      </c>
    </row>
    <row r="910" customFormat="false" ht="15" hidden="false" customHeight="false" outlineLevel="0" collapsed="false">
      <c r="A910" s="30"/>
      <c r="B910" s="25"/>
      <c r="C910" s="25"/>
      <c r="D910" s="25"/>
      <c r="E910" s="25"/>
      <c r="F910" s="25"/>
      <c r="G910" s="25"/>
      <c r="H910" s="31"/>
      <c r="I910" s="32"/>
      <c r="J910" s="33"/>
      <c r="K910" s="34" t="str">
        <f aca="false">IF(OR(H910="",I910=""),"",H910*I910*(1-N(J910)))</f>
        <v/>
      </c>
      <c r="L910" s="32"/>
      <c r="M910" s="34" t="str">
        <f aca="false">IF(OR(H910="",L910=""),"",H910*L910)</f>
        <v/>
      </c>
      <c r="N910" s="34" t="str">
        <f aca="false">IF(OR(K910="",M910=""),"",K910-M910)</f>
        <v/>
      </c>
      <c r="O910" s="35" t="str">
        <f aca="false">IF(OR(N910="",K910=""),"",IF(K910=0,"",N910/K910))</f>
        <v/>
      </c>
      <c r="P910" s="25"/>
      <c r="Q910" s="25"/>
      <c r="R910" s="25"/>
      <c r="S910" s="36" t="str">
        <f aca="false">IF(A910="","",YEAR(A910)+IF(AND(FYStart&gt;1,MONTH(A910)&gt;=FYStart),1,0))</f>
        <v/>
      </c>
      <c r="T910" s="36" t="str">
        <f aca="false">IF(A910="","",MOD(MONTH(A910)-FYStart,12)+1)</f>
        <v/>
      </c>
      <c r="U910" s="37" t="str">
        <f aca="false">IF(A910="","",TEXT(A910,"mmm"))</f>
        <v/>
      </c>
      <c r="V910" s="37" t="str">
        <f aca="false">IF(Q910="","",IFERROR(INDEX(Settings!$I$11:$I$15,MATCH(Q910,Settings!$H$11:$H$15,0)),"No"))</f>
        <v/>
      </c>
      <c r="W910" s="37" t="str">
        <f aca="false">IF(Q910="","",IFERROR(INDEX(Settings!$J$11:$J$15,MATCH(Q910,Settings!$H$11:$H$15,0)),"No"))</f>
        <v/>
      </c>
    </row>
    <row r="911" customFormat="false" ht="15" hidden="false" customHeight="false" outlineLevel="0" collapsed="false">
      <c r="A911" s="30"/>
      <c r="B911" s="25"/>
      <c r="C911" s="25"/>
      <c r="D911" s="25"/>
      <c r="E911" s="25"/>
      <c r="F911" s="25"/>
      <c r="G911" s="25"/>
      <c r="H911" s="31"/>
      <c r="I911" s="32"/>
      <c r="J911" s="33"/>
      <c r="K911" s="34" t="str">
        <f aca="false">IF(OR(H911="",I911=""),"",H911*I911*(1-N(J911)))</f>
        <v/>
      </c>
      <c r="L911" s="32"/>
      <c r="M911" s="34" t="str">
        <f aca="false">IF(OR(H911="",L911=""),"",H911*L911)</f>
        <v/>
      </c>
      <c r="N911" s="34" t="str">
        <f aca="false">IF(OR(K911="",M911=""),"",K911-M911)</f>
        <v/>
      </c>
      <c r="O911" s="35" t="str">
        <f aca="false">IF(OR(N911="",K911=""),"",IF(K911=0,"",N911/K911))</f>
        <v/>
      </c>
      <c r="P911" s="25"/>
      <c r="Q911" s="25"/>
      <c r="R911" s="25"/>
      <c r="S911" s="36" t="str">
        <f aca="false">IF(A911="","",YEAR(A911)+IF(AND(FYStart&gt;1,MONTH(A911)&gt;=FYStart),1,0))</f>
        <v/>
      </c>
      <c r="T911" s="36" t="str">
        <f aca="false">IF(A911="","",MOD(MONTH(A911)-FYStart,12)+1)</f>
        <v/>
      </c>
      <c r="U911" s="37" t="str">
        <f aca="false">IF(A911="","",TEXT(A911,"mmm"))</f>
        <v/>
      </c>
      <c r="V911" s="37" t="str">
        <f aca="false">IF(Q911="","",IFERROR(INDEX(Settings!$I$11:$I$15,MATCH(Q911,Settings!$H$11:$H$15,0)),"No"))</f>
        <v/>
      </c>
      <c r="W911" s="37" t="str">
        <f aca="false">IF(Q911="","",IFERROR(INDEX(Settings!$J$11:$J$15,MATCH(Q911,Settings!$H$11:$H$15,0)),"No"))</f>
        <v/>
      </c>
    </row>
    <row r="912" customFormat="false" ht="15" hidden="false" customHeight="false" outlineLevel="0" collapsed="false">
      <c r="A912" s="30"/>
      <c r="B912" s="25"/>
      <c r="C912" s="25"/>
      <c r="D912" s="25"/>
      <c r="E912" s="25"/>
      <c r="F912" s="25"/>
      <c r="G912" s="25"/>
      <c r="H912" s="31"/>
      <c r="I912" s="32"/>
      <c r="J912" s="33"/>
      <c r="K912" s="34" t="str">
        <f aca="false">IF(OR(H912="",I912=""),"",H912*I912*(1-N(J912)))</f>
        <v/>
      </c>
      <c r="L912" s="32"/>
      <c r="M912" s="34" t="str">
        <f aca="false">IF(OR(H912="",L912=""),"",H912*L912)</f>
        <v/>
      </c>
      <c r="N912" s="34" t="str">
        <f aca="false">IF(OR(K912="",M912=""),"",K912-M912)</f>
        <v/>
      </c>
      <c r="O912" s="35" t="str">
        <f aca="false">IF(OR(N912="",K912=""),"",IF(K912=0,"",N912/K912))</f>
        <v/>
      </c>
      <c r="P912" s="25"/>
      <c r="Q912" s="25"/>
      <c r="R912" s="25"/>
      <c r="S912" s="36" t="str">
        <f aca="false">IF(A912="","",YEAR(A912)+IF(AND(FYStart&gt;1,MONTH(A912)&gt;=FYStart),1,0))</f>
        <v/>
      </c>
      <c r="T912" s="36" t="str">
        <f aca="false">IF(A912="","",MOD(MONTH(A912)-FYStart,12)+1)</f>
        <v/>
      </c>
      <c r="U912" s="37" t="str">
        <f aca="false">IF(A912="","",TEXT(A912,"mmm"))</f>
        <v/>
      </c>
      <c r="V912" s="37" t="str">
        <f aca="false">IF(Q912="","",IFERROR(INDEX(Settings!$I$11:$I$15,MATCH(Q912,Settings!$H$11:$H$15,0)),"No"))</f>
        <v/>
      </c>
      <c r="W912" s="37" t="str">
        <f aca="false">IF(Q912="","",IFERROR(INDEX(Settings!$J$11:$J$15,MATCH(Q912,Settings!$H$11:$H$15,0)),"No"))</f>
        <v/>
      </c>
    </row>
    <row r="913" customFormat="false" ht="15" hidden="false" customHeight="false" outlineLevel="0" collapsed="false">
      <c r="A913" s="30"/>
      <c r="B913" s="25"/>
      <c r="C913" s="25"/>
      <c r="D913" s="25"/>
      <c r="E913" s="25"/>
      <c r="F913" s="25"/>
      <c r="G913" s="25"/>
      <c r="H913" s="31"/>
      <c r="I913" s="32"/>
      <c r="J913" s="33"/>
      <c r="K913" s="34" t="str">
        <f aca="false">IF(OR(H913="",I913=""),"",H913*I913*(1-N(J913)))</f>
        <v/>
      </c>
      <c r="L913" s="32"/>
      <c r="M913" s="34" t="str">
        <f aca="false">IF(OR(H913="",L913=""),"",H913*L913)</f>
        <v/>
      </c>
      <c r="N913" s="34" t="str">
        <f aca="false">IF(OR(K913="",M913=""),"",K913-M913)</f>
        <v/>
      </c>
      <c r="O913" s="35" t="str">
        <f aca="false">IF(OR(N913="",K913=""),"",IF(K913=0,"",N913/K913))</f>
        <v/>
      </c>
      <c r="P913" s="25"/>
      <c r="Q913" s="25"/>
      <c r="R913" s="25"/>
      <c r="S913" s="36" t="str">
        <f aca="false">IF(A913="","",YEAR(A913)+IF(AND(FYStart&gt;1,MONTH(A913)&gt;=FYStart),1,0))</f>
        <v/>
      </c>
      <c r="T913" s="36" t="str">
        <f aca="false">IF(A913="","",MOD(MONTH(A913)-FYStart,12)+1)</f>
        <v/>
      </c>
      <c r="U913" s="37" t="str">
        <f aca="false">IF(A913="","",TEXT(A913,"mmm"))</f>
        <v/>
      </c>
      <c r="V913" s="37" t="str">
        <f aca="false">IF(Q913="","",IFERROR(INDEX(Settings!$I$11:$I$15,MATCH(Q913,Settings!$H$11:$H$15,0)),"No"))</f>
        <v/>
      </c>
      <c r="W913" s="37" t="str">
        <f aca="false">IF(Q913="","",IFERROR(INDEX(Settings!$J$11:$J$15,MATCH(Q913,Settings!$H$11:$H$15,0)),"No"))</f>
        <v/>
      </c>
    </row>
    <row r="914" customFormat="false" ht="15" hidden="false" customHeight="false" outlineLevel="0" collapsed="false">
      <c r="A914" s="30"/>
      <c r="B914" s="25"/>
      <c r="C914" s="25"/>
      <c r="D914" s="25"/>
      <c r="E914" s="25"/>
      <c r="F914" s="25"/>
      <c r="G914" s="25"/>
      <c r="H914" s="31"/>
      <c r="I914" s="32"/>
      <c r="J914" s="33"/>
      <c r="K914" s="34" t="str">
        <f aca="false">IF(OR(H914="",I914=""),"",H914*I914*(1-N(J914)))</f>
        <v/>
      </c>
      <c r="L914" s="32"/>
      <c r="M914" s="34" t="str">
        <f aca="false">IF(OR(H914="",L914=""),"",H914*L914)</f>
        <v/>
      </c>
      <c r="N914" s="34" t="str">
        <f aca="false">IF(OR(K914="",M914=""),"",K914-M914)</f>
        <v/>
      </c>
      <c r="O914" s="35" t="str">
        <f aca="false">IF(OR(N914="",K914=""),"",IF(K914=0,"",N914/K914))</f>
        <v/>
      </c>
      <c r="P914" s="25"/>
      <c r="Q914" s="25"/>
      <c r="R914" s="25"/>
      <c r="S914" s="36" t="str">
        <f aca="false">IF(A914="","",YEAR(A914)+IF(AND(FYStart&gt;1,MONTH(A914)&gt;=FYStart),1,0))</f>
        <v/>
      </c>
      <c r="T914" s="36" t="str">
        <f aca="false">IF(A914="","",MOD(MONTH(A914)-FYStart,12)+1)</f>
        <v/>
      </c>
      <c r="U914" s="37" t="str">
        <f aca="false">IF(A914="","",TEXT(A914,"mmm"))</f>
        <v/>
      </c>
      <c r="V914" s="37" t="str">
        <f aca="false">IF(Q914="","",IFERROR(INDEX(Settings!$I$11:$I$15,MATCH(Q914,Settings!$H$11:$H$15,0)),"No"))</f>
        <v/>
      </c>
      <c r="W914" s="37" t="str">
        <f aca="false">IF(Q914="","",IFERROR(INDEX(Settings!$J$11:$J$15,MATCH(Q914,Settings!$H$11:$H$15,0)),"No"))</f>
        <v/>
      </c>
    </row>
    <row r="915" customFormat="false" ht="15" hidden="false" customHeight="false" outlineLevel="0" collapsed="false">
      <c r="A915" s="30"/>
      <c r="B915" s="25"/>
      <c r="C915" s="25"/>
      <c r="D915" s="25"/>
      <c r="E915" s="25"/>
      <c r="F915" s="25"/>
      <c r="G915" s="25"/>
      <c r="H915" s="31"/>
      <c r="I915" s="32"/>
      <c r="J915" s="33"/>
      <c r="K915" s="34" t="str">
        <f aca="false">IF(OR(H915="",I915=""),"",H915*I915*(1-N(J915)))</f>
        <v/>
      </c>
      <c r="L915" s="32"/>
      <c r="M915" s="34" t="str">
        <f aca="false">IF(OR(H915="",L915=""),"",H915*L915)</f>
        <v/>
      </c>
      <c r="N915" s="34" t="str">
        <f aca="false">IF(OR(K915="",M915=""),"",K915-M915)</f>
        <v/>
      </c>
      <c r="O915" s="35" t="str">
        <f aca="false">IF(OR(N915="",K915=""),"",IF(K915=0,"",N915/K915))</f>
        <v/>
      </c>
      <c r="P915" s="25"/>
      <c r="Q915" s="25"/>
      <c r="R915" s="25"/>
      <c r="S915" s="36" t="str">
        <f aca="false">IF(A915="","",YEAR(A915)+IF(AND(FYStart&gt;1,MONTH(A915)&gt;=FYStart),1,0))</f>
        <v/>
      </c>
      <c r="T915" s="36" t="str">
        <f aca="false">IF(A915="","",MOD(MONTH(A915)-FYStart,12)+1)</f>
        <v/>
      </c>
      <c r="U915" s="37" t="str">
        <f aca="false">IF(A915="","",TEXT(A915,"mmm"))</f>
        <v/>
      </c>
      <c r="V915" s="37" t="str">
        <f aca="false">IF(Q915="","",IFERROR(INDEX(Settings!$I$11:$I$15,MATCH(Q915,Settings!$H$11:$H$15,0)),"No"))</f>
        <v/>
      </c>
      <c r="W915" s="37" t="str">
        <f aca="false">IF(Q915="","",IFERROR(INDEX(Settings!$J$11:$J$15,MATCH(Q915,Settings!$H$11:$H$15,0)),"No"))</f>
        <v/>
      </c>
    </row>
    <row r="916" customFormat="false" ht="15" hidden="false" customHeight="false" outlineLevel="0" collapsed="false">
      <c r="A916" s="30"/>
      <c r="B916" s="25"/>
      <c r="C916" s="25"/>
      <c r="D916" s="25"/>
      <c r="E916" s="25"/>
      <c r="F916" s="25"/>
      <c r="G916" s="25"/>
      <c r="H916" s="31"/>
      <c r="I916" s="32"/>
      <c r="J916" s="33"/>
      <c r="K916" s="34" t="str">
        <f aca="false">IF(OR(H916="",I916=""),"",H916*I916*(1-N(J916)))</f>
        <v/>
      </c>
      <c r="L916" s="32"/>
      <c r="M916" s="34" t="str">
        <f aca="false">IF(OR(H916="",L916=""),"",H916*L916)</f>
        <v/>
      </c>
      <c r="N916" s="34" t="str">
        <f aca="false">IF(OR(K916="",M916=""),"",K916-M916)</f>
        <v/>
      </c>
      <c r="O916" s="35" t="str">
        <f aca="false">IF(OR(N916="",K916=""),"",IF(K916=0,"",N916/K916))</f>
        <v/>
      </c>
      <c r="P916" s="25"/>
      <c r="Q916" s="25"/>
      <c r="R916" s="25"/>
      <c r="S916" s="36" t="str">
        <f aca="false">IF(A916="","",YEAR(A916)+IF(AND(FYStart&gt;1,MONTH(A916)&gt;=FYStart),1,0))</f>
        <v/>
      </c>
      <c r="T916" s="36" t="str">
        <f aca="false">IF(A916="","",MOD(MONTH(A916)-FYStart,12)+1)</f>
        <v/>
      </c>
      <c r="U916" s="37" t="str">
        <f aca="false">IF(A916="","",TEXT(A916,"mmm"))</f>
        <v/>
      </c>
      <c r="V916" s="37" t="str">
        <f aca="false">IF(Q916="","",IFERROR(INDEX(Settings!$I$11:$I$15,MATCH(Q916,Settings!$H$11:$H$15,0)),"No"))</f>
        <v/>
      </c>
      <c r="W916" s="37" t="str">
        <f aca="false">IF(Q916="","",IFERROR(INDEX(Settings!$J$11:$J$15,MATCH(Q916,Settings!$H$11:$H$15,0)),"No"))</f>
        <v/>
      </c>
    </row>
    <row r="917" customFormat="false" ht="15" hidden="false" customHeight="false" outlineLevel="0" collapsed="false">
      <c r="A917" s="30"/>
      <c r="B917" s="25"/>
      <c r="C917" s="25"/>
      <c r="D917" s="25"/>
      <c r="E917" s="25"/>
      <c r="F917" s="25"/>
      <c r="G917" s="25"/>
      <c r="H917" s="31"/>
      <c r="I917" s="32"/>
      <c r="J917" s="33"/>
      <c r="K917" s="34" t="str">
        <f aca="false">IF(OR(H917="",I917=""),"",H917*I917*(1-N(J917)))</f>
        <v/>
      </c>
      <c r="L917" s="32"/>
      <c r="M917" s="34" t="str">
        <f aca="false">IF(OR(H917="",L917=""),"",H917*L917)</f>
        <v/>
      </c>
      <c r="N917" s="34" t="str">
        <f aca="false">IF(OR(K917="",M917=""),"",K917-M917)</f>
        <v/>
      </c>
      <c r="O917" s="35" t="str">
        <f aca="false">IF(OR(N917="",K917=""),"",IF(K917=0,"",N917/K917))</f>
        <v/>
      </c>
      <c r="P917" s="25"/>
      <c r="Q917" s="25"/>
      <c r="R917" s="25"/>
      <c r="S917" s="36" t="str">
        <f aca="false">IF(A917="","",YEAR(A917)+IF(AND(FYStart&gt;1,MONTH(A917)&gt;=FYStart),1,0))</f>
        <v/>
      </c>
      <c r="T917" s="36" t="str">
        <f aca="false">IF(A917="","",MOD(MONTH(A917)-FYStart,12)+1)</f>
        <v/>
      </c>
      <c r="U917" s="37" t="str">
        <f aca="false">IF(A917="","",TEXT(A917,"mmm"))</f>
        <v/>
      </c>
      <c r="V917" s="37" t="str">
        <f aca="false">IF(Q917="","",IFERROR(INDEX(Settings!$I$11:$I$15,MATCH(Q917,Settings!$H$11:$H$15,0)),"No"))</f>
        <v/>
      </c>
      <c r="W917" s="37" t="str">
        <f aca="false">IF(Q917="","",IFERROR(INDEX(Settings!$J$11:$J$15,MATCH(Q917,Settings!$H$11:$H$15,0)),"No"))</f>
        <v/>
      </c>
    </row>
    <row r="918" customFormat="false" ht="15" hidden="false" customHeight="false" outlineLevel="0" collapsed="false">
      <c r="A918" s="30"/>
      <c r="B918" s="25"/>
      <c r="C918" s="25"/>
      <c r="D918" s="25"/>
      <c r="E918" s="25"/>
      <c r="F918" s="25"/>
      <c r="G918" s="25"/>
      <c r="H918" s="31"/>
      <c r="I918" s="32"/>
      <c r="J918" s="33"/>
      <c r="K918" s="34" t="str">
        <f aca="false">IF(OR(H918="",I918=""),"",H918*I918*(1-N(J918)))</f>
        <v/>
      </c>
      <c r="L918" s="32"/>
      <c r="M918" s="34" t="str">
        <f aca="false">IF(OR(H918="",L918=""),"",H918*L918)</f>
        <v/>
      </c>
      <c r="N918" s="34" t="str">
        <f aca="false">IF(OR(K918="",M918=""),"",K918-M918)</f>
        <v/>
      </c>
      <c r="O918" s="35" t="str">
        <f aca="false">IF(OR(N918="",K918=""),"",IF(K918=0,"",N918/K918))</f>
        <v/>
      </c>
      <c r="P918" s="25"/>
      <c r="Q918" s="25"/>
      <c r="R918" s="25"/>
      <c r="S918" s="36" t="str">
        <f aca="false">IF(A918="","",YEAR(A918)+IF(AND(FYStart&gt;1,MONTH(A918)&gt;=FYStart),1,0))</f>
        <v/>
      </c>
      <c r="T918" s="36" t="str">
        <f aca="false">IF(A918="","",MOD(MONTH(A918)-FYStart,12)+1)</f>
        <v/>
      </c>
      <c r="U918" s="37" t="str">
        <f aca="false">IF(A918="","",TEXT(A918,"mmm"))</f>
        <v/>
      </c>
      <c r="V918" s="37" t="str">
        <f aca="false">IF(Q918="","",IFERROR(INDEX(Settings!$I$11:$I$15,MATCH(Q918,Settings!$H$11:$H$15,0)),"No"))</f>
        <v/>
      </c>
      <c r="W918" s="37" t="str">
        <f aca="false">IF(Q918="","",IFERROR(INDEX(Settings!$J$11:$J$15,MATCH(Q918,Settings!$H$11:$H$15,0)),"No"))</f>
        <v/>
      </c>
    </row>
    <row r="919" customFormat="false" ht="15" hidden="false" customHeight="false" outlineLevel="0" collapsed="false">
      <c r="A919" s="30"/>
      <c r="B919" s="25"/>
      <c r="C919" s="25"/>
      <c r="D919" s="25"/>
      <c r="E919" s="25"/>
      <c r="F919" s="25"/>
      <c r="G919" s="25"/>
      <c r="H919" s="31"/>
      <c r="I919" s="32"/>
      <c r="J919" s="33"/>
      <c r="K919" s="34" t="str">
        <f aca="false">IF(OR(H919="",I919=""),"",H919*I919*(1-N(J919)))</f>
        <v/>
      </c>
      <c r="L919" s="32"/>
      <c r="M919" s="34" t="str">
        <f aca="false">IF(OR(H919="",L919=""),"",H919*L919)</f>
        <v/>
      </c>
      <c r="N919" s="34" t="str">
        <f aca="false">IF(OR(K919="",M919=""),"",K919-M919)</f>
        <v/>
      </c>
      <c r="O919" s="35" t="str">
        <f aca="false">IF(OR(N919="",K919=""),"",IF(K919=0,"",N919/K919))</f>
        <v/>
      </c>
      <c r="P919" s="25"/>
      <c r="Q919" s="25"/>
      <c r="R919" s="25"/>
      <c r="S919" s="36" t="str">
        <f aca="false">IF(A919="","",YEAR(A919)+IF(AND(FYStart&gt;1,MONTH(A919)&gt;=FYStart),1,0))</f>
        <v/>
      </c>
      <c r="T919" s="36" t="str">
        <f aca="false">IF(A919="","",MOD(MONTH(A919)-FYStart,12)+1)</f>
        <v/>
      </c>
      <c r="U919" s="37" t="str">
        <f aca="false">IF(A919="","",TEXT(A919,"mmm"))</f>
        <v/>
      </c>
      <c r="V919" s="37" t="str">
        <f aca="false">IF(Q919="","",IFERROR(INDEX(Settings!$I$11:$I$15,MATCH(Q919,Settings!$H$11:$H$15,0)),"No"))</f>
        <v/>
      </c>
      <c r="W919" s="37" t="str">
        <f aca="false">IF(Q919="","",IFERROR(INDEX(Settings!$J$11:$J$15,MATCH(Q919,Settings!$H$11:$H$15,0)),"No"))</f>
        <v/>
      </c>
    </row>
    <row r="920" customFormat="false" ht="15" hidden="false" customHeight="false" outlineLevel="0" collapsed="false">
      <c r="A920" s="30"/>
      <c r="B920" s="25"/>
      <c r="C920" s="25"/>
      <c r="D920" s="25"/>
      <c r="E920" s="25"/>
      <c r="F920" s="25"/>
      <c r="G920" s="25"/>
      <c r="H920" s="31"/>
      <c r="I920" s="32"/>
      <c r="J920" s="33"/>
      <c r="K920" s="34" t="str">
        <f aca="false">IF(OR(H920="",I920=""),"",H920*I920*(1-N(J920)))</f>
        <v/>
      </c>
      <c r="L920" s="32"/>
      <c r="M920" s="34" t="str">
        <f aca="false">IF(OR(H920="",L920=""),"",H920*L920)</f>
        <v/>
      </c>
      <c r="N920" s="34" t="str">
        <f aca="false">IF(OR(K920="",M920=""),"",K920-M920)</f>
        <v/>
      </c>
      <c r="O920" s="35" t="str">
        <f aca="false">IF(OR(N920="",K920=""),"",IF(K920=0,"",N920/K920))</f>
        <v/>
      </c>
      <c r="P920" s="25"/>
      <c r="Q920" s="25"/>
      <c r="R920" s="25"/>
      <c r="S920" s="36" t="str">
        <f aca="false">IF(A920="","",YEAR(A920)+IF(AND(FYStart&gt;1,MONTH(A920)&gt;=FYStart),1,0))</f>
        <v/>
      </c>
      <c r="T920" s="36" t="str">
        <f aca="false">IF(A920="","",MOD(MONTH(A920)-FYStart,12)+1)</f>
        <v/>
      </c>
      <c r="U920" s="37" t="str">
        <f aca="false">IF(A920="","",TEXT(A920,"mmm"))</f>
        <v/>
      </c>
      <c r="V920" s="37" t="str">
        <f aca="false">IF(Q920="","",IFERROR(INDEX(Settings!$I$11:$I$15,MATCH(Q920,Settings!$H$11:$H$15,0)),"No"))</f>
        <v/>
      </c>
      <c r="W920" s="37" t="str">
        <f aca="false">IF(Q920="","",IFERROR(INDEX(Settings!$J$11:$J$15,MATCH(Q920,Settings!$H$11:$H$15,0)),"No"))</f>
        <v/>
      </c>
    </row>
    <row r="921" customFormat="false" ht="15" hidden="false" customHeight="false" outlineLevel="0" collapsed="false">
      <c r="A921" s="30"/>
      <c r="B921" s="25"/>
      <c r="C921" s="25"/>
      <c r="D921" s="25"/>
      <c r="E921" s="25"/>
      <c r="F921" s="25"/>
      <c r="G921" s="25"/>
      <c r="H921" s="31"/>
      <c r="I921" s="32"/>
      <c r="J921" s="33"/>
      <c r="K921" s="34" t="str">
        <f aca="false">IF(OR(H921="",I921=""),"",H921*I921*(1-N(J921)))</f>
        <v/>
      </c>
      <c r="L921" s="32"/>
      <c r="M921" s="34" t="str">
        <f aca="false">IF(OR(H921="",L921=""),"",H921*L921)</f>
        <v/>
      </c>
      <c r="N921" s="34" t="str">
        <f aca="false">IF(OR(K921="",M921=""),"",K921-M921)</f>
        <v/>
      </c>
      <c r="O921" s="35" t="str">
        <f aca="false">IF(OR(N921="",K921=""),"",IF(K921=0,"",N921/K921))</f>
        <v/>
      </c>
      <c r="P921" s="25"/>
      <c r="Q921" s="25"/>
      <c r="R921" s="25"/>
      <c r="S921" s="36" t="str">
        <f aca="false">IF(A921="","",YEAR(A921)+IF(AND(FYStart&gt;1,MONTH(A921)&gt;=FYStart),1,0))</f>
        <v/>
      </c>
      <c r="T921" s="36" t="str">
        <f aca="false">IF(A921="","",MOD(MONTH(A921)-FYStart,12)+1)</f>
        <v/>
      </c>
      <c r="U921" s="37" t="str">
        <f aca="false">IF(A921="","",TEXT(A921,"mmm"))</f>
        <v/>
      </c>
      <c r="V921" s="37" t="str">
        <f aca="false">IF(Q921="","",IFERROR(INDEX(Settings!$I$11:$I$15,MATCH(Q921,Settings!$H$11:$H$15,0)),"No"))</f>
        <v/>
      </c>
      <c r="W921" s="37" t="str">
        <f aca="false">IF(Q921="","",IFERROR(INDEX(Settings!$J$11:$J$15,MATCH(Q921,Settings!$H$11:$H$15,0)),"No"))</f>
        <v/>
      </c>
    </row>
    <row r="922" customFormat="false" ht="15" hidden="false" customHeight="false" outlineLevel="0" collapsed="false">
      <c r="A922" s="30"/>
      <c r="B922" s="25"/>
      <c r="C922" s="25"/>
      <c r="D922" s="25"/>
      <c r="E922" s="25"/>
      <c r="F922" s="25"/>
      <c r="G922" s="25"/>
      <c r="H922" s="31"/>
      <c r="I922" s="32"/>
      <c r="J922" s="33"/>
      <c r="K922" s="34" t="str">
        <f aca="false">IF(OR(H922="",I922=""),"",H922*I922*(1-N(J922)))</f>
        <v/>
      </c>
      <c r="L922" s="32"/>
      <c r="M922" s="34" t="str">
        <f aca="false">IF(OR(H922="",L922=""),"",H922*L922)</f>
        <v/>
      </c>
      <c r="N922" s="34" t="str">
        <f aca="false">IF(OR(K922="",M922=""),"",K922-M922)</f>
        <v/>
      </c>
      <c r="O922" s="35" t="str">
        <f aca="false">IF(OR(N922="",K922=""),"",IF(K922=0,"",N922/K922))</f>
        <v/>
      </c>
      <c r="P922" s="25"/>
      <c r="Q922" s="25"/>
      <c r="R922" s="25"/>
      <c r="S922" s="36" t="str">
        <f aca="false">IF(A922="","",YEAR(A922)+IF(AND(FYStart&gt;1,MONTH(A922)&gt;=FYStart),1,0))</f>
        <v/>
      </c>
      <c r="T922" s="36" t="str">
        <f aca="false">IF(A922="","",MOD(MONTH(A922)-FYStart,12)+1)</f>
        <v/>
      </c>
      <c r="U922" s="37" t="str">
        <f aca="false">IF(A922="","",TEXT(A922,"mmm"))</f>
        <v/>
      </c>
      <c r="V922" s="37" t="str">
        <f aca="false">IF(Q922="","",IFERROR(INDEX(Settings!$I$11:$I$15,MATCH(Q922,Settings!$H$11:$H$15,0)),"No"))</f>
        <v/>
      </c>
      <c r="W922" s="37" t="str">
        <f aca="false">IF(Q922="","",IFERROR(INDEX(Settings!$J$11:$J$15,MATCH(Q922,Settings!$H$11:$H$15,0)),"No"))</f>
        <v/>
      </c>
    </row>
    <row r="923" customFormat="false" ht="15" hidden="false" customHeight="false" outlineLevel="0" collapsed="false">
      <c r="A923" s="30"/>
      <c r="B923" s="25"/>
      <c r="C923" s="25"/>
      <c r="D923" s="25"/>
      <c r="E923" s="25"/>
      <c r="F923" s="25"/>
      <c r="G923" s="25"/>
      <c r="H923" s="31"/>
      <c r="I923" s="32"/>
      <c r="J923" s="33"/>
      <c r="K923" s="34" t="str">
        <f aca="false">IF(OR(H923="",I923=""),"",H923*I923*(1-N(J923)))</f>
        <v/>
      </c>
      <c r="L923" s="32"/>
      <c r="M923" s="34" t="str">
        <f aca="false">IF(OR(H923="",L923=""),"",H923*L923)</f>
        <v/>
      </c>
      <c r="N923" s="34" t="str">
        <f aca="false">IF(OR(K923="",M923=""),"",K923-M923)</f>
        <v/>
      </c>
      <c r="O923" s="35" t="str">
        <f aca="false">IF(OR(N923="",K923=""),"",IF(K923=0,"",N923/K923))</f>
        <v/>
      </c>
      <c r="P923" s="25"/>
      <c r="Q923" s="25"/>
      <c r="R923" s="25"/>
      <c r="S923" s="36" t="str">
        <f aca="false">IF(A923="","",YEAR(A923)+IF(AND(FYStart&gt;1,MONTH(A923)&gt;=FYStart),1,0))</f>
        <v/>
      </c>
      <c r="T923" s="36" t="str">
        <f aca="false">IF(A923="","",MOD(MONTH(A923)-FYStart,12)+1)</f>
        <v/>
      </c>
      <c r="U923" s="37" t="str">
        <f aca="false">IF(A923="","",TEXT(A923,"mmm"))</f>
        <v/>
      </c>
      <c r="V923" s="37" t="str">
        <f aca="false">IF(Q923="","",IFERROR(INDEX(Settings!$I$11:$I$15,MATCH(Q923,Settings!$H$11:$H$15,0)),"No"))</f>
        <v/>
      </c>
      <c r="W923" s="37" t="str">
        <f aca="false">IF(Q923="","",IFERROR(INDEX(Settings!$J$11:$J$15,MATCH(Q923,Settings!$H$11:$H$15,0)),"No"))</f>
        <v/>
      </c>
    </row>
    <row r="924" customFormat="false" ht="15" hidden="false" customHeight="false" outlineLevel="0" collapsed="false">
      <c r="A924" s="30"/>
      <c r="B924" s="25"/>
      <c r="C924" s="25"/>
      <c r="D924" s="25"/>
      <c r="E924" s="25"/>
      <c r="F924" s="25"/>
      <c r="G924" s="25"/>
      <c r="H924" s="31"/>
      <c r="I924" s="32"/>
      <c r="J924" s="33"/>
      <c r="K924" s="34" t="str">
        <f aca="false">IF(OR(H924="",I924=""),"",H924*I924*(1-N(J924)))</f>
        <v/>
      </c>
      <c r="L924" s="32"/>
      <c r="M924" s="34" t="str">
        <f aca="false">IF(OR(H924="",L924=""),"",H924*L924)</f>
        <v/>
      </c>
      <c r="N924" s="34" t="str">
        <f aca="false">IF(OR(K924="",M924=""),"",K924-M924)</f>
        <v/>
      </c>
      <c r="O924" s="35" t="str">
        <f aca="false">IF(OR(N924="",K924=""),"",IF(K924=0,"",N924/K924))</f>
        <v/>
      </c>
      <c r="P924" s="25"/>
      <c r="Q924" s="25"/>
      <c r="R924" s="25"/>
      <c r="S924" s="36" t="str">
        <f aca="false">IF(A924="","",YEAR(A924)+IF(AND(FYStart&gt;1,MONTH(A924)&gt;=FYStart),1,0))</f>
        <v/>
      </c>
      <c r="T924" s="36" t="str">
        <f aca="false">IF(A924="","",MOD(MONTH(A924)-FYStart,12)+1)</f>
        <v/>
      </c>
      <c r="U924" s="37" t="str">
        <f aca="false">IF(A924="","",TEXT(A924,"mmm"))</f>
        <v/>
      </c>
      <c r="V924" s="37" t="str">
        <f aca="false">IF(Q924="","",IFERROR(INDEX(Settings!$I$11:$I$15,MATCH(Q924,Settings!$H$11:$H$15,0)),"No"))</f>
        <v/>
      </c>
      <c r="W924" s="37" t="str">
        <f aca="false">IF(Q924="","",IFERROR(INDEX(Settings!$J$11:$J$15,MATCH(Q924,Settings!$H$11:$H$15,0)),"No"))</f>
        <v/>
      </c>
    </row>
    <row r="925" customFormat="false" ht="15" hidden="false" customHeight="false" outlineLevel="0" collapsed="false">
      <c r="A925" s="30"/>
      <c r="B925" s="25"/>
      <c r="C925" s="25"/>
      <c r="D925" s="25"/>
      <c r="E925" s="25"/>
      <c r="F925" s="25"/>
      <c r="G925" s="25"/>
      <c r="H925" s="31"/>
      <c r="I925" s="32"/>
      <c r="J925" s="33"/>
      <c r="K925" s="34" t="str">
        <f aca="false">IF(OR(H925="",I925=""),"",H925*I925*(1-N(J925)))</f>
        <v/>
      </c>
      <c r="L925" s="32"/>
      <c r="M925" s="34" t="str">
        <f aca="false">IF(OR(H925="",L925=""),"",H925*L925)</f>
        <v/>
      </c>
      <c r="N925" s="34" t="str">
        <f aca="false">IF(OR(K925="",M925=""),"",K925-M925)</f>
        <v/>
      </c>
      <c r="O925" s="35" t="str">
        <f aca="false">IF(OR(N925="",K925=""),"",IF(K925=0,"",N925/K925))</f>
        <v/>
      </c>
      <c r="P925" s="25"/>
      <c r="Q925" s="25"/>
      <c r="R925" s="25"/>
      <c r="S925" s="36" t="str">
        <f aca="false">IF(A925="","",YEAR(A925)+IF(AND(FYStart&gt;1,MONTH(A925)&gt;=FYStart),1,0))</f>
        <v/>
      </c>
      <c r="T925" s="36" t="str">
        <f aca="false">IF(A925="","",MOD(MONTH(A925)-FYStart,12)+1)</f>
        <v/>
      </c>
      <c r="U925" s="37" t="str">
        <f aca="false">IF(A925="","",TEXT(A925,"mmm"))</f>
        <v/>
      </c>
      <c r="V925" s="37" t="str">
        <f aca="false">IF(Q925="","",IFERROR(INDEX(Settings!$I$11:$I$15,MATCH(Q925,Settings!$H$11:$H$15,0)),"No"))</f>
        <v/>
      </c>
      <c r="W925" s="37" t="str">
        <f aca="false">IF(Q925="","",IFERROR(INDEX(Settings!$J$11:$J$15,MATCH(Q925,Settings!$H$11:$H$15,0)),"No"))</f>
        <v/>
      </c>
    </row>
    <row r="926" customFormat="false" ht="15" hidden="false" customHeight="false" outlineLevel="0" collapsed="false">
      <c r="A926" s="30"/>
      <c r="B926" s="25"/>
      <c r="C926" s="25"/>
      <c r="D926" s="25"/>
      <c r="E926" s="25"/>
      <c r="F926" s="25"/>
      <c r="G926" s="25"/>
      <c r="H926" s="31"/>
      <c r="I926" s="32"/>
      <c r="J926" s="33"/>
      <c r="K926" s="34" t="str">
        <f aca="false">IF(OR(H926="",I926=""),"",H926*I926*(1-N(J926)))</f>
        <v/>
      </c>
      <c r="L926" s="32"/>
      <c r="M926" s="34" t="str">
        <f aca="false">IF(OR(H926="",L926=""),"",H926*L926)</f>
        <v/>
      </c>
      <c r="N926" s="34" t="str">
        <f aca="false">IF(OR(K926="",M926=""),"",K926-M926)</f>
        <v/>
      </c>
      <c r="O926" s="35" t="str">
        <f aca="false">IF(OR(N926="",K926=""),"",IF(K926=0,"",N926/K926))</f>
        <v/>
      </c>
      <c r="P926" s="25"/>
      <c r="Q926" s="25"/>
      <c r="R926" s="25"/>
      <c r="S926" s="36" t="str">
        <f aca="false">IF(A926="","",YEAR(A926)+IF(AND(FYStart&gt;1,MONTH(A926)&gt;=FYStart),1,0))</f>
        <v/>
      </c>
      <c r="T926" s="36" t="str">
        <f aca="false">IF(A926="","",MOD(MONTH(A926)-FYStart,12)+1)</f>
        <v/>
      </c>
      <c r="U926" s="37" t="str">
        <f aca="false">IF(A926="","",TEXT(A926,"mmm"))</f>
        <v/>
      </c>
      <c r="V926" s="37" t="str">
        <f aca="false">IF(Q926="","",IFERROR(INDEX(Settings!$I$11:$I$15,MATCH(Q926,Settings!$H$11:$H$15,0)),"No"))</f>
        <v/>
      </c>
      <c r="W926" s="37" t="str">
        <f aca="false">IF(Q926="","",IFERROR(INDEX(Settings!$J$11:$J$15,MATCH(Q926,Settings!$H$11:$H$15,0)),"No"))</f>
        <v/>
      </c>
    </row>
    <row r="927" customFormat="false" ht="15" hidden="false" customHeight="false" outlineLevel="0" collapsed="false">
      <c r="A927" s="30"/>
      <c r="B927" s="25"/>
      <c r="C927" s="25"/>
      <c r="D927" s="25"/>
      <c r="E927" s="25"/>
      <c r="F927" s="25"/>
      <c r="G927" s="25"/>
      <c r="H927" s="31"/>
      <c r="I927" s="32"/>
      <c r="J927" s="33"/>
      <c r="K927" s="34" t="str">
        <f aca="false">IF(OR(H927="",I927=""),"",H927*I927*(1-N(J927)))</f>
        <v/>
      </c>
      <c r="L927" s="32"/>
      <c r="M927" s="34" t="str">
        <f aca="false">IF(OR(H927="",L927=""),"",H927*L927)</f>
        <v/>
      </c>
      <c r="N927" s="34" t="str">
        <f aca="false">IF(OR(K927="",M927=""),"",K927-M927)</f>
        <v/>
      </c>
      <c r="O927" s="35" t="str">
        <f aca="false">IF(OR(N927="",K927=""),"",IF(K927=0,"",N927/K927))</f>
        <v/>
      </c>
      <c r="P927" s="25"/>
      <c r="Q927" s="25"/>
      <c r="R927" s="25"/>
      <c r="S927" s="36" t="str">
        <f aca="false">IF(A927="","",YEAR(A927)+IF(AND(FYStart&gt;1,MONTH(A927)&gt;=FYStart),1,0))</f>
        <v/>
      </c>
      <c r="T927" s="36" t="str">
        <f aca="false">IF(A927="","",MOD(MONTH(A927)-FYStart,12)+1)</f>
        <v/>
      </c>
      <c r="U927" s="37" t="str">
        <f aca="false">IF(A927="","",TEXT(A927,"mmm"))</f>
        <v/>
      </c>
      <c r="V927" s="37" t="str">
        <f aca="false">IF(Q927="","",IFERROR(INDEX(Settings!$I$11:$I$15,MATCH(Q927,Settings!$H$11:$H$15,0)),"No"))</f>
        <v/>
      </c>
      <c r="W927" s="37" t="str">
        <f aca="false">IF(Q927="","",IFERROR(INDEX(Settings!$J$11:$J$15,MATCH(Q927,Settings!$H$11:$H$15,0)),"No"))</f>
        <v/>
      </c>
    </row>
    <row r="928" customFormat="false" ht="15" hidden="false" customHeight="false" outlineLevel="0" collapsed="false">
      <c r="A928" s="30"/>
      <c r="B928" s="25"/>
      <c r="C928" s="25"/>
      <c r="D928" s="25"/>
      <c r="E928" s="25"/>
      <c r="F928" s="25"/>
      <c r="G928" s="25"/>
      <c r="H928" s="31"/>
      <c r="I928" s="32"/>
      <c r="J928" s="33"/>
      <c r="K928" s="34" t="str">
        <f aca="false">IF(OR(H928="",I928=""),"",H928*I928*(1-N(J928)))</f>
        <v/>
      </c>
      <c r="L928" s="32"/>
      <c r="M928" s="34" t="str">
        <f aca="false">IF(OR(H928="",L928=""),"",H928*L928)</f>
        <v/>
      </c>
      <c r="N928" s="34" t="str">
        <f aca="false">IF(OR(K928="",M928=""),"",K928-M928)</f>
        <v/>
      </c>
      <c r="O928" s="35" t="str">
        <f aca="false">IF(OR(N928="",K928=""),"",IF(K928=0,"",N928/K928))</f>
        <v/>
      </c>
      <c r="P928" s="25"/>
      <c r="Q928" s="25"/>
      <c r="R928" s="25"/>
      <c r="S928" s="36" t="str">
        <f aca="false">IF(A928="","",YEAR(A928)+IF(AND(FYStart&gt;1,MONTH(A928)&gt;=FYStart),1,0))</f>
        <v/>
      </c>
      <c r="T928" s="36" t="str">
        <f aca="false">IF(A928="","",MOD(MONTH(A928)-FYStart,12)+1)</f>
        <v/>
      </c>
      <c r="U928" s="37" t="str">
        <f aca="false">IF(A928="","",TEXT(A928,"mmm"))</f>
        <v/>
      </c>
      <c r="V928" s="37" t="str">
        <f aca="false">IF(Q928="","",IFERROR(INDEX(Settings!$I$11:$I$15,MATCH(Q928,Settings!$H$11:$H$15,0)),"No"))</f>
        <v/>
      </c>
      <c r="W928" s="37" t="str">
        <f aca="false">IF(Q928="","",IFERROR(INDEX(Settings!$J$11:$J$15,MATCH(Q928,Settings!$H$11:$H$15,0)),"No"))</f>
        <v/>
      </c>
    </row>
    <row r="929" customFormat="false" ht="15" hidden="false" customHeight="false" outlineLevel="0" collapsed="false">
      <c r="A929" s="30"/>
      <c r="B929" s="25"/>
      <c r="C929" s="25"/>
      <c r="D929" s="25"/>
      <c r="E929" s="25"/>
      <c r="F929" s="25"/>
      <c r="G929" s="25"/>
      <c r="H929" s="31"/>
      <c r="I929" s="32"/>
      <c r="J929" s="33"/>
      <c r="K929" s="34" t="str">
        <f aca="false">IF(OR(H929="",I929=""),"",H929*I929*(1-N(J929)))</f>
        <v/>
      </c>
      <c r="L929" s="32"/>
      <c r="M929" s="34" t="str">
        <f aca="false">IF(OR(H929="",L929=""),"",H929*L929)</f>
        <v/>
      </c>
      <c r="N929" s="34" t="str">
        <f aca="false">IF(OR(K929="",M929=""),"",K929-M929)</f>
        <v/>
      </c>
      <c r="O929" s="35" t="str">
        <f aca="false">IF(OR(N929="",K929=""),"",IF(K929=0,"",N929/K929))</f>
        <v/>
      </c>
      <c r="P929" s="25"/>
      <c r="Q929" s="25"/>
      <c r="R929" s="25"/>
      <c r="S929" s="36" t="str">
        <f aca="false">IF(A929="","",YEAR(A929)+IF(AND(FYStart&gt;1,MONTH(A929)&gt;=FYStart),1,0))</f>
        <v/>
      </c>
      <c r="T929" s="36" t="str">
        <f aca="false">IF(A929="","",MOD(MONTH(A929)-FYStart,12)+1)</f>
        <v/>
      </c>
      <c r="U929" s="37" t="str">
        <f aca="false">IF(A929="","",TEXT(A929,"mmm"))</f>
        <v/>
      </c>
      <c r="V929" s="37" t="str">
        <f aca="false">IF(Q929="","",IFERROR(INDEX(Settings!$I$11:$I$15,MATCH(Q929,Settings!$H$11:$H$15,0)),"No"))</f>
        <v/>
      </c>
      <c r="W929" s="37" t="str">
        <f aca="false">IF(Q929="","",IFERROR(INDEX(Settings!$J$11:$J$15,MATCH(Q929,Settings!$H$11:$H$15,0)),"No"))</f>
        <v/>
      </c>
    </row>
    <row r="930" customFormat="false" ht="15" hidden="false" customHeight="false" outlineLevel="0" collapsed="false">
      <c r="A930" s="30"/>
      <c r="B930" s="25"/>
      <c r="C930" s="25"/>
      <c r="D930" s="25"/>
      <c r="E930" s="25"/>
      <c r="F930" s="25"/>
      <c r="G930" s="25"/>
      <c r="H930" s="31"/>
      <c r="I930" s="32"/>
      <c r="J930" s="33"/>
      <c r="K930" s="34" t="str">
        <f aca="false">IF(OR(H930="",I930=""),"",H930*I930*(1-N(J930)))</f>
        <v/>
      </c>
      <c r="L930" s="32"/>
      <c r="M930" s="34" t="str">
        <f aca="false">IF(OR(H930="",L930=""),"",H930*L930)</f>
        <v/>
      </c>
      <c r="N930" s="34" t="str">
        <f aca="false">IF(OR(K930="",M930=""),"",K930-M930)</f>
        <v/>
      </c>
      <c r="O930" s="35" t="str">
        <f aca="false">IF(OR(N930="",K930=""),"",IF(K930=0,"",N930/K930))</f>
        <v/>
      </c>
      <c r="P930" s="25"/>
      <c r="Q930" s="25"/>
      <c r="R930" s="25"/>
      <c r="S930" s="36" t="str">
        <f aca="false">IF(A930="","",YEAR(A930)+IF(AND(FYStart&gt;1,MONTH(A930)&gt;=FYStart),1,0))</f>
        <v/>
      </c>
      <c r="T930" s="36" t="str">
        <f aca="false">IF(A930="","",MOD(MONTH(A930)-FYStart,12)+1)</f>
        <v/>
      </c>
      <c r="U930" s="37" t="str">
        <f aca="false">IF(A930="","",TEXT(A930,"mmm"))</f>
        <v/>
      </c>
      <c r="V930" s="37" t="str">
        <f aca="false">IF(Q930="","",IFERROR(INDEX(Settings!$I$11:$I$15,MATCH(Q930,Settings!$H$11:$H$15,0)),"No"))</f>
        <v/>
      </c>
      <c r="W930" s="37" t="str">
        <f aca="false">IF(Q930="","",IFERROR(INDEX(Settings!$J$11:$J$15,MATCH(Q930,Settings!$H$11:$H$15,0)),"No"))</f>
        <v/>
      </c>
    </row>
    <row r="931" customFormat="false" ht="15" hidden="false" customHeight="false" outlineLevel="0" collapsed="false">
      <c r="A931" s="30"/>
      <c r="B931" s="25"/>
      <c r="C931" s="25"/>
      <c r="D931" s="25"/>
      <c r="E931" s="25"/>
      <c r="F931" s="25"/>
      <c r="G931" s="25"/>
      <c r="H931" s="31"/>
      <c r="I931" s="32"/>
      <c r="J931" s="33"/>
      <c r="K931" s="34" t="str">
        <f aca="false">IF(OR(H931="",I931=""),"",H931*I931*(1-N(J931)))</f>
        <v/>
      </c>
      <c r="L931" s="32"/>
      <c r="M931" s="34" t="str">
        <f aca="false">IF(OR(H931="",L931=""),"",H931*L931)</f>
        <v/>
      </c>
      <c r="N931" s="34" t="str">
        <f aca="false">IF(OR(K931="",M931=""),"",K931-M931)</f>
        <v/>
      </c>
      <c r="O931" s="35" t="str">
        <f aca="false">IF(OR(N931="",K931=""),"",IF(K931=0,"",N931/K931))</f>
        <v/>
      </c>
      <c r="P931" s="25"/>
      <c r="Q931" s="25"/>
      <c r="R931" s="25"/>
      <c r="S931" s="36" t="str">
        <f aca="false">IF(A931="","",YEAR(A931)+IF(AND(FYStart&gt;1,MONTH(A931)&gt;=FYStart),1,0))</f>
        <v/>
      </c>
      <c r="T931" s="36" t="str">
        <f aca="false">IF(A931="","",MOD(MONTH(A931)-FYStart,12)+1)</f>
        <v/>
      </c>
      <c r="U931" s="37" t="str">
        <f aca="false">IF(A931="","",TEXT(A931,"mmm"))</f>
        <v/>
      </c>
      <c r="V931" s="37" t="str">
        <f aca="false">IF(Q931="","",IFERROR(INDEX(Settings!$I$11:$I$15,MATCH(Q931,Settings!$H$11:$H$15,0)),"No"))</f>
        <v/>
      </c>
      <c r="W931" s="37" t="str">
        <f aca="false">IF(Q931="","",IFERROR(INDEX(Settings!$J$11:$J$15,MATCH(Q931,Settings!$H$11:$H$15,0)),"No"))</f>
        <v/>
      </c>
    </row>
    <row r="932" customFormat="false" ht="15" hidden="false" customHeight="false" outlineLevel="0" collapsed="false">
      <c r="A932" s="30"/>
      <c r="B932" s="25"/>
      <c r="C932" s="25"/>
      <c r="D932" s="25"/>
      <c r="E932" s="25"/>
      <c r="F932" s="25"/>
      <c r="G932" s="25"/>
      <c r="H932" s="31"/>
      <c r="I932" s="32"/>
      <c r="J932" s="33"/>
      <c r="K932" s="34" t="str">
        <f aca="false">IF(OR(H932="",I932=""),"",H932*I932*(1-N(J932)))</f>
        <v/>
      </c>
      <c r="L932" s="32"/>
      <c r="M932" s="34" t="str">
        <f aca="false">IF(OR(H932="",L932=""),"",H932*L932)</f>
        <v/>
      </c>
      <c r="N932" s="34" t="str">
        <f aca="false">IF(OR(K932="",M932=""),"",K932-M932)</f>
        <v/>
      </c>
      <c r="O932" s="35" t="str">
        <f aca="false">IF(OR(N932="",K932=""),"",IF(K932=0,"",N932/K932))</f>
        <v/>
      </c>
      <c r="P932" s="25"/>
      <c r="Q932" s="25"/>
      <c r="R932" s="25"/>
      <c r="S932" s="36" t="str">
        <f aca="false">IF(A932="","",YEAR(A932)+IF(AND(FYStart&gt;1,MONTH(A932)&gt;=FYStart),1,0))</f>
        <v/>
      </c>
      <c r="T932" s="36" t="str">
        <f aca="false">IF(A932="","",MOD(MONTH(A932)-FYStart,12)+1)</f>
        <v/>
      </c>
      <c r="U932" s="37" t="str">
        <f aca="false">IF(A932="","",TEXT(A932,"mmm"))</f>
        <v/>
      </c>
      <c r="V932" s="37" t="str">
        <f aca="false">IF(Q932="","",IFERROR(INDEX(Settings!$I$11:$I$15,MATCH(Q932,Settings!$H$11:$H$15,0)),"No"))</f>
        <v/>
      </c>
      <c r="W932" s="37" t="str">
        <f aca="false">IF(Q932="","",IFERROR(INDEX(Settings!$J$11:$J$15,MATCH(Q932,Settings!$H$11:$H$15,0)),"No"))</f>
        <v/>
      </c>
    </row>
    <row r="933" customFormat="false" ht="15" hidden="false" customHeight="false" outlineLevel="0" collapsed="false">
      <c r="A933" s="30"/>
      <c r="B933" s="25"/>
      <c r="C933" s="25"/>
      <c r="D933" s="25"/>
      <c r="E933" s="25"/>
      <c r="F933" s="25"/>
      <c r="G933" s="25"/>
      <c r="H933" s="31"/>
      <c r="I933" s="32"/>
      <c r="J933" s="33"/>
      <c r="K933" s="34" t="str">
        <f aca="false">IF(OR(H933="",I933=""),"",H933*I933*(1-N(J933)))</f>
        <v/>
      </c>
      <c r="L933" s="32"/>
      <c r="M933" s="34" t="str">
        <f aca="false">IF(OR(H933="",L933=""),"",H933*L933)</f>
        <v/>
      </c>
      <c r="N933" s="34" t="str">
        <f aca="false">IF(OR(K933="",M933=""),"",K933-M933)</f>
        <v/>
      </c>
      <c r="O933" s="35" t="str">
        <f aca="false">IF(OR(N933="",K933=""),"",IF(K933=0,"",N933/K933))</f>
        <v/>
      </c>
      <c r="P933" s="25"/>
      <c r="Q933" s="25"/>
      <c r="R933" s="25"/>
      <c r="S933" s="36" t="str">
        <f aca="false">IF(A933="","",YEAR(A933)+IF(AND(FYStart&gt;1,MONTH(A933)&gt;=FYStart),1,0))</f>
        <v/>
      </c>
      <c r="T933" s="36" t="str">
        <f aca="false">IF(A933="","",MOD(MONTH(A933)-FYStart,12)+1)</f>
        <v/>
      </c>
      <c r="U933" s="37" t="str">
        <f aca="false">IF(A933="","",TEXT(A933,"mmm"))</f>
        <v/>
      </c>
      <c r="V933" s="37" t="str">
        <f aca="false">IF(Q933="","",IFERROR(INDEX(Settings!$I$11:$I$15,MATCH(Q933,Settings!$H$11:$H$15,0)),"No"))</f>
        <v/>
      </c>
      <c r="W933" s="37" t="str">
        <f aca="false">IF(Q933="","",IFERROR(INDEX(Settings!$J$11:$J$15,MATCH(Q933,Settings!$H$11:$H$15,0)),"No"))</f>
        <v/>
      </c>
    </row>
    <row r="934" customFormat="false" ht="15" hidden="false" customHeight="false" outlineLevel="0" collapsed="false">
      <c r="A934" s="30"/>
      <c r="B934" s="25"/>
      <c r="C934" s="25"/>
      <c r="D934" s="25"/>
      <c r="E934" s="25"/>
      <c r="F934" s="25"/>
      <c r="G934" s="25"/>
      <c r="H934" s="31"/>
      <c r="I934" s="32"/>
      <c r="J934" s="33"/>
      <c r="K934" s="34" t="str">
        <f aca="false">IF(OR(H934="",I934=""),"",H934*I934*(1-N(J934)))</f>
        <v/>
      </c>
      <c r="L934" s="32"/>
      <c r="M934" s="34" t="str">
        <f aca="false">IF(OR(H934="",L934=""),"",H934*L934)</f>
        <v/>
      </c>
      <c r="N934" s="34" t="str">
        <f aca="false">IF(OR(K934="",M934=""),"",K934-M934)</f>
        <v/>
      </c>
      <c r="O934" s="35" t="str">
        <f aca="false">IF(OR(N934="",K934=""),"",IF(K934=0,"",N934/K934))</f>
        <v/>
      </c>
      <c r="P934" s="25"/>
      <c r="Q934" s="25"/>
      <c r="R934" s="25"/>
      <c r="S934" s="36" t="str">
        <f aca="false">IF(A934="","",YEAR(A934)+IF(AND(FYStart&gt;1,MONTH(A934)&gt;=FYStart),1,0))</f>
        <v/>
      </c>
      <c r="T934" s="36" t="str">
        <f aca="false">IF(A934="","",MOD(MONTH(A934)-FYStart,12)+1)</f>
        <v/>
      </c>
      <c r="U934" s="37" t="str">
        <f aca="false">IF(A934="","",TEXT(A934,"mmm"))</f>
        <v/>
      </c>
      <c r="V934" s="37" t="str">
        <f aca="false">IF(Q934="","",IFERROR(INDEX(Settings!$I$11:$I$15,MATCH(Q934,Settings!$H$11:$H$15,0)),"No"))</f>
        <v/>
      </c>
      <c r="W934" s="37" t="str">
        <f aca="false">IF(Q934="","",IFERROR(INDEX(Settings!$J$11:$J$15,MATCH(Q934,Settings!$H$11:$H$15,0)),"No"))</f>
        <v/>
      </c>
    </row>
    <row r="935" customFormat="false" ht="15" hidden="false" customHeight="false" outlineLevel="0" collapsed="false">
      <c r="A935" s="30"/>
      <c r="B935" s="25"/>
      <c r="C935" s="25"/>
      <c r="D935" s="25"/>
      <c r="E935" s="25"/>
      <c r="F935" s="25"/>
      <c r="G935" s="25"/>
      <c r="H935" s="31"/>
      <c r="I935" s="32"/>
      <c r="J935" s="33"/>
      <c r="K935" s="34" t="str">
        <f aca="false">IF(OR(H935="",I935=""),"",H935*I935*(1-N(J935)))</f>
        <v/>
      </c>
      <c r="L935" s="32"/>
      <c r="M935" s="34" t="str">
        <f aca="false">IF(OR(H935="",L935=""),"",H935*L935)</f>
        <v/>
      </c>
      <c r="N935" s="34" t="str">
        <f aca="false">IF(OR(K935="",M935=""),"",K935-M935)</f>
        <v/>
      </c>
      <c r="O935" s="35" t="str">
        <f aca="false">IF(OR(N935="",K935=""),"",IF(K935=0,"",N935/K935))</f>
        <v/>
      </c>
      <c r="P935" s="25"/>
      <c r="Q935" s="25"/>
      <c r="R935" s="25"/>
      <c r="S935" s="36" t="str">
        <f aca="false">IF(A935="","",YEAR(A935)+IF(AND(FYStart&gt;1,MONTH(A935)&gt;=FYStart),1,0))</f>
        <v/>
      </c>
      <c r="T935" s="36" t="str">
        <f aca="false">IF(A935="","",MOD(MONTH(A935)-FYStart,12)+1)</f>
        <v/>
      </c>
      <c r="U935" s="37" t="str">
        <f aca="false">IF(A935="","",TEXT(A935,"mmm"))</f>
        <v/>
      </c>
      <c r="V935" s="37" t="str">
        <f aca="false">IF(Q935="","",IFERROR(INDEX(Settings!$I$11:$I$15,MATCH(Q935,Settings!$H$11:$H$15,0)),"No"))</f>
        <v/>
      </c>
      <c r="W935" s="37" t="str">
        <f aca="false">IF(Q935="","",IFERROR(INDEX(Settings!$J$11:$J$15,MATCH(Q935,Settings!$H$11:$H$15,0)),"No"))</f>
        <v/>
      </c>
    </row>
    <row r="936" customFormat="false" ht="15" hidden="false" customHeight="false" outlineLevel="0" collapsed="false">
      <c r="A936" s="30"/>
      <c r="B936" s="25"/>
      <c r="C936" s="25"/>
      <c r="D936" s="25"/>
      <c r="E936" s="25"/>
      <c r="F936" s="25"/>
      <c r="G936" s="25"/>
      <c r="H936" s="31"/>
      <c r="I936" s="32"/>
      <c r="J936" s="33"/>
      <c r="K936" s="34" t="str">
        <f aca="false">IF(OR(H936="",I936=""),"",H936*I936*(1-N(J936)))</f>
        <v/>
      </c>
      <c r="L936" s="32"/>
      <c r="M936" s="34" t="str">
        <f aca="false">IF(OR(H936="",L936=""),"",H936*L936)</f>
        <v/>
      </c>
      <c r="N936" s="34" t="str">
        <f aca="false">IF(OR(K936="",M936=""),"",K936-M936)</f>
        <v/>
      </c>
      <c r="O936" s="35" t="str">
        <f aca="false">IF(OR(N936="",K936=""),"",IF(K936=0,"",N936/K936))</f>
        <v/>
      </c>
      <c r="P936" s="25"/>
      <c r="Q936" s="25"/>
      <c r="R936" s="25"/>
      <c r="S936" s="36" t="str">
        <f aca="false">IF(A936="","",YEAR(A936)+IF(AND(FYStart&gt;1,MONTH(A936)&gt;=FYStart),1,0))</f>
        <v/>
      </c>
      <c r="T936" s="36" t="str">
        <f aca="false">IF(A936="","",MOD(MONTH(A936)-FYStart,12)+1)</f>
        <v/>
      </c>
      <c r="U936" s="37" t="str">
        <f aca="false">IF(A936="","",TEXT(A936,"mmm"))</f>
        <v/>
      </c>
      <c r="V936" s="37" t="str">
        <f aca="false">IF(Q936="","",IFERROR(INDEX(Settings!$I$11:$I$15,MATCH(Q936,Settings!$H$11:$H$15,0)),"No"))</f>
        <v/>
      </c>
      <c r="W936" s="37" t="str">
        <f aca="false">IF(Q936="","",IFERROR(INDEX(Settings!$J$11:$J$15,MATCH(Q936,Settings!$H$11:$H$15,0)),"No"))</f>
        <v/>
      </c>
    </row>
    <row r="937" customFormat="false" ht="15" hidden="false" customHeight="false" outlineLevel="0" collapsed="false">
      <c r="A937" s="30"/>
      <c r="B937" s="25"/>
      <c r="C937" s="25"/>
      <c r="D937" s="25"/>
      <c r="E937" s="25"/>
      <c r="F937" s="25"/>
      <c r="G937" s="25"/>
      <c r="H937" s="31"/>
      <c r="I937" s="32"/>
      <c r="J937" s="33"/>
      <c r="K937" s="34" t="str">
        <f aca="false">IF(OR(H937="",I937=""),"",H937*I937*(1-N(J937)))</f>
        <v/>
      </c>
      <c r="L937" s="32"/>
      <c r="M937" s="34" t="str">
        <f aca="false">IF(OR(H937="",L937=""),"",H937*L937)</f>
        <v/>
      </c>
      <c r="N937" s="34" t="str">
        <f aca="false">IF(OR(K937="",M937=""),"",K937-M937)</f>
        <v/>
      </c>
      <c r="O937" s="35" t="str">
        <f aca="false">IF(OR(N937="",K937=""),"",IF(K937=0,"",N937/K937))</f>
        <v/>
      </c>
      <c r="P937" s="25"/>
      <c r="Q937" s="25"/>
      <c r="R937" s="25"/>
      <c r="S937" s="36" t="str">
        <f aca="false">IF(A937="","",YEAR(A937)+IF(AND(FYStart&gt;1,MONTH(A937)&gt;=FYStart),1,0))</f>
        <v/>
      </c>
      <c r="T937" s="36" t="str">
        <f aca="false">IF(A937="","",MOD(MONTH(A937)-FYStart,12)+1)</f>
        <v/>
      </c>
      <c r="U937" s="37" t="str">
        <f aca="false">IF(A937="","",TEXT(A937,"mmm"))</f>
        <v/>
      </c>
      <c r="V937" s="37" t="str">
        <f aca="false">IF(Q937="","",IFERROR(INDEX(Settings!$I$11:$I$15,MATCH(Q937,Settings!$H$11:$H$15,0)),"No"))</f>
        <v/>
      </c>
      <c r="W937" s="37" t="str">
        <f aca="false">IF(Q937="","",IFERROR(INDEX(Settings!$J$11:$J$15,MATCH(Q937,Settings!$H$11:$H$15,0)),"No"))</f>
        <v/>
      </c>
    </row>
    <row r="938" customFormat="false" ht="15" hidden="false" customHeight="false" outlineLevel="0" collapsed="false">
      <c r="A938" s="30"/>
      <c r="B938" s="25"/>
      <c r="C938" s="25"/>
      <c r="D938" s="25"/>
      <c r="E938" s="25"/>
      <c r="F938" s="25"/>
      <c r="G938" s="25"/>
      <c r="H938" s="31"/>
      <c r="I938" s="32"/>
      <c r="J938" s="33"/>
      <c r="K938" s="34" t="str">
        <f aca="false">IF(OR(H938="",I938=""),"",H938*I938*(1-N(J938)))</f>
        <v/>
      </c>
      <c r="L938" s="32"/>
      <c r="M938" s="34" t="str">
        <f aca="false">IF(OR(H938="",L938=""),"",H938*L938)</f>
        <v/>
      </c>
      <c r="N938" s="34" t="str">
        <f aca="false">IF(OR(K938="",M938=""),"",K938-M938)</f>
        <v/>
      </c>
      <c r="O938" s="35" t="str">
        <f aca="false">IF(OR(N938="",K938=""),"",IF(K938=0,"",N938/K938))</f>
        <v/>
      </c>
      <c r="P938" s="25"/>
      <c r="Q938" s="25"/>
      <c r="R938" s="25"/>
      <c r="S938" s="36" t="str">
        <f aca="false">IF(A938="","",YEAR(A938)+IF(AND(FYStart&gt;1,MONTH(A938)&gt;=FYStart),1,0))</f>
        <v/>
      </c>
      <c r="T938" s="36" t="str">
        <f aca="false">IF(A938="","",MOD(MONTH(A938)-FYStart,12)+1)</f>
        <v/>
      </c>
      <c r="U938" s="37" t="str">
        <f aca="false">IF(A938="","",TEXT(A938,"mmm"))</f>
        <v/>
      </c>
      <c r="V938" s="37" t="str">
        <f aca="false">IF(Q938="","",IFERROR(INDEX(Settings!$I$11:$I$15,MATCH(Q938,Settings!$H$11:$H$15,0)),"No"))</f>
        <v/>
      </c>
      <c r="W938" s="37" t="str">
        <f aca="false">IF(Q938="","",IFERROR(INDEX(Settings!$J$11:$J$15,MATCH(Q938,Settings!$H$11:$H$15,0)),"No"))</f>
        <v/>
      </c>
    </row>
    <row r="939" customFormat="false" ht="15" hidden="false" customHeight="false" outlineLevel="0" collapsed="false">
      <c r="A939" s="30"/>
      <c r="B939" s="25"/>
      <c r="C939" s="25"/>
      <c r="D939" s="25"/>
      <c r="E939" s="25"/>
      <c r="F939" s="25"/>
      <c r="G939" s="25"/>
      <c r="H939" s="31"/>
      <c r="I939" s="32"/>
      <c r="J939" s="33"/>
      <c r="K939" s="34" t="str">
        <f aca="false">IF(OR(H939="",I939=""),"",H939*I939*(1-N(J939)))</f>
        <v/>
      </c>
      <c r="L939" s="32"/>
      <c r="M939" s="34" t="str">
        <f aca="false">IF(OR(H939="",L939=""),"",H939*L939)</f>
        <v/>
      </c>
      <c r="N939" s="34" t="str">
        <f aca="false">IF(OR(K939="",M939=""),"",K939-M939)</f>
        <v/>
      </c>
      <c r="O939" s="35" t="str">
        <f aca="false">IF(OR(N939="",K939=""),"",IF(K939=0,"",N939/K939))</f>
        <v/>
      </c>
      <c r="P939" s="25"/>
      <c r="Q939" s="25"/>
      <c r="R939" s="25"/>
      <c r="S939" s="36" t="str">
        <f aca="false">IF(A939="","",YEAR(A939)+IF(AND(FYStart&gt;1,MONTH(A939)&gt;=FYStart),1,0))</f>
        <v/>
      </c>
      <c r="T939" s="36" t="str">
        <f aca="false">IF(A939="","",MOD(MONTH(A939)-FYStart,12)+1)</f>
        <v/>
      </c>
      <c r="U939" s="37" t="str">
        <f aca="false">IF(A939="","",TEXT(A939,"mmm"))</f>
        <v/>
      </c>
      <c r="V939" s="37" t="str">
        <f aca="false">IF(Q939="","",IFERROR(INDEX(Settings!$I$11:$I$15,MATCH(Q939,Settings!$H$11:$H$15,0)),"No"))</f>
        <v/>
      </c>
      <c r="W939" s="37" t="str">
        <f aca="false">IF(Q939="","",IFERROR(INDEX(Settings!$J$11:$J$15,MATCH(Q939,Settings!$H$11:$H$15,0)),"No"))</f>
        <v/>
      </c>
    </row>
    <row r="940" customFormat="false" ht="15" hidden="false" customHeight="false" outlineLevel="0" collapsed="false">
      <c r="A940" s="30"/>
      <c r="B940" s="25"/>
      <c r="C940" s="25"/>
      <c r="D940" s="25"/>
      <c r="E940" s="25"/>
      <c r="F940" s="25"/>
      <c r="G940" s="25"/>
      <c r="H940" s="31"/>
      <c r="I940" s="32"/>
      <c r="J940" s="33"/>
      <c r="K940" s="34" t="str">
        <f aca="false">IF(OR(H940="",I940=""),"",H940*I940*(1-N(J940)))</f>
        <v/>
      </c>
      <c r="L940" s="32"/>
      <c r="M940" s="34" t="str">
        <f aca="false">IF(OR(H940="",L940=""),"",H940*L940)</f>
        <v/>
      </c>
      <c r="N940" s="34" t="str">
        <f aca="false">IF(OR(K940="",M940=""),"",K940-M940)</f>
        <v/>
      </c>
      <c r="O940" s="35" t="str">
        <f aca="false">IF(OR(N940="",K940=""),"",IF(K940=0,"",N940/K940))</f>
        <v/>
      </c>
      <c r="P940" s="25"/>
      <c r="Q940" s="25"/>
      <c r="R940" s="25"/>
      <c r="S940" s="36" t="str">
        <f aca="false">IF(A940="","",YEAR(A940)+IF(AND(FYStart&gt;1,MONTH(A940)&gt;=FYStart),1,0))</f>
        <v/>
      </c>
      <c r="T940" s="36" t="str">
        <f aca="false">IF(A940="","",MOD(MONTH(A940)-FYStart,12)+1)</f>
        <v/>
      </c>
      <c r="U940" s="37" t="str">
        <f aca="false">IF(A940="","",TEXT(A940,"mmm"))</f>
        <v/>
      </c>
      <c r="V940" s="37" t="str">
        <f aca="false">IF(Q940="","",IFERROR(INDEX(Settings!$I$11:$I$15,MATCH(Q940,Settings!$H$11:$H$15,0)),"No"))</f>
        <v/>
      </c>
      <c r="W940" s="37" t="str">
        <f aca="false">IF(Q940="","",IFERROR(INDEX(Settings!$J$11:$J$15,MATCH(Q940,Settings!$H$11:$H$15,0)),"No"))</f>
        <v/>
      </c>
    </row>
    <row r="941" customFormat="false" ht="15" hidden="false" customHeight="false" outlineLevel="0" collapsed="false">
      <c r="A941" s="30"/>
      <c r="B941" s="25"/>
      <c r="C941" s="25"/>
      <c r="D941" s="25"/>
      <c r="E941" s="25"/>
      <c r="F941" s="25"/>
      <c r="G941" s="25"/>
      <c r="H941" s="31"/>
      <c r="I941" s="32"/>
      <c r="J941" s="33"/>
      <c r="K941" s="34" t="str">
        <f aca="false">IF(OR(H941="",I941=""),"",H941*I941*(1-N(J941)))</f>
        <v/>
      </c>
      <c r="L941" s="32"/>
      <c r="M941" s="34" t="str">
        <f aca="false">IF(OR(H941="",L941=""),"",H941*L941)</f>
        <v/>
      </c>
      <c r="N941" s="34" t="str">
        <f aca="false">IF(OR(K941="",M941=""),"",K941-M941)</f>
        <v/>
      </c>
      <c r="O941" s="35" t="str">
        <f aca="false">IF(OR(N941="",K941=""),"",IF(K941=0,"",N941/K941))</f>
        <v/>
      </c>
      <c r="P941" s="25"/>
      <c r="Q941" s="25"/>
      <c r="R941" s="25"/>
      <c r="S941" s="36" t="str">
        <f aca="false">IF(A941="","",YEAR(A941)+IF(AND(FYStart&gt;1,MONTH(A941)&gt;=FYStart),1,0))</f>
        <v/>
      </c>
      <c r="T941" s="36" t="str">
        <f aca="false">IF(A941="","",MOD(MONTH(A941)-FYStart,12)+1)</f>
        <v/>
      </c>
      <c r="U941" s="37" t="str">
        <f aca="false">IF(A941="","",TEXT(A941,"mmm"))</f>
        <v/>
      </c>
      <c r="V941" s="37" t="str">
        <f aca="false">IF(Q941="","",IFERROR(INDEX(Settings!$I$11:$I$15,MATCH(Q941,Settings!$H$11:$H$15,0)),"No"))</f>
        <v/>
      </c>
      <c r="W941" s="37" t="str">
        <f aca="false">IF(Q941="","",IFERROR(INDEX(Settings!$J$11:$J$15,MATCH(Q941,Settings!$H$11:$H$15,0)),"No"))</f>
        <v/>
      </c>
    </row>
    <row r="942" customFormat="false" ht="15" hidden="false" customHeight="false" outlineLevel="0" collapsed="false">
      <c r="A942" s="30"/>
      <c r="B942" s="25"/>
      <c r="C942" s="25"/>
      <c r="D942" s="25"/>
      <c r="E942" s="25"/>
      <c r="F942" s="25"/>
      <c r="G942" s="25"/>
      <c r="H942" s="31"/>
      <c r="I942" s="32"/>
      <c r="J942" s="33"/>
      <c r="K942" s="34" t="str">
        <f aca="false">IF(OR(H942="",I942=""),"",H942*I942*(1-N(J942)))</f>
        <v/>
      </c>
      <c r="L942" s="32"/>
      <c r="M942" s="34" t="str">
        <f aca="false">IF(OR(H942="",L942=""),"",H942*L942)</f>
        <v/>
      </c>
      <c r="N942" s="34" t="str">
        <f aca="false">IF(OR(K942="",M942=""),"",K942-M942)</f>
        <v/>
      </c>
      <c r="O942" s="35" t="str">
        <f aca="false">IF(OR(N942="",K942=""),"",IF(K942=0,"",N942/K942))</f>
        <v/>
      </c>
      <c r="P942" s="25"/>
      <c r="Q942" s="25"/>
      <c r="R942" s="25"/>
      <c r="S942" s="36" t="str">
        <f aca="false">IF(A942="","",YEAR(A942)+IF(AND(FYStart&gt;1,MONTH(A942)&gt;=FYStart),1,0))</f>
        <v/>
      </c>
      <c r="T942" s="36" t="str">
        <f aca="false">IF(A942="","",MOD(MONTH(A942)-FYStart,12)+1)</f>
        <v/>
      </c>
      <c r="U942" s="37" t="str">
        <f aca="false">IF(A942="","",TEXT(A942,"mmm"))</f>
        <v/>
      </c>
      <c r="V942" s="37" t="str">
        <f aca="false">IF(Q942="","",IFERROR(INDEX(Settings!$I$11:$I$15,MATCH(Q942,Settings!$H$11:$H$15,0)),"No"))</f>
        <v/>
      </c>
      <c r="W942" s="37" t="str">
        <f aca="false">IF(Q942="","",IFERROR(INDEX(Settings!$J$11:$J$15,MATCH(Q942,Settings!$H$11:$H$15,0)),"No"))</f>
        <v/>
      </c>
    </row>
    <row r="943" customFormat="false" ht="15" hidden="false" customHeight="false" outlineLevel="0" collapsed="false">
      <c r="A943" s="30"/>
      <c r="B943" s="25"/>
      <c r="C943" s="25"/>
      <c r="D943" s="25"/>
      <c r="E943" s="25"/>
      <c r="F943" s="25"/>
      <c r="G943" s="25"/>
      <c r="H943" s="31"/>
      <c r="I943" s="32"/>
      <c r="J943" s="33"/>
      <c r="K943" s="34" t="str">
        <f aca="false">IF(OR(H943="",I943=""),"",H943*I943*(1-N(J943)))</f>
        <v/>
      </c>
      <c r="L943" s="32"/>
      <c r="M943" s="34" t="str">
        <f aca="false">IF(OR(H943="",L943=""),"",H943*L943)</f>
        <v/>
      </c>
      <c r="N943" s="34" t="str">
        <f aca="false">IF(OR(K943="",M943=""),"",K943-M943)</f>
        <v/>
      </c>
      <c r="O943" s="35" t="str">
        <f aca="false">IF(OR(N943="",K943=""),"",IF(K943=0,"",N943/K943))</f>
        <v/>
      </c>
      <c r="P943" s="25"/>
      <c r="Q943" s="25"/>
      <c r="R943" s="25"/>
      <c r="S943" s="36" t="str">
        <f aca="false">IF(A943="","",YEAR(A943)+IF(AND(FYStart&gt;1,MONTH(A943)&gt;=FYStart),1,0))</f>
        <v/>
      </c>
      <c r="T943" s="36" t="str">
        <f aca="false">IF(A943="","",MOD(MONTH(A943)-FYStart,12)+1)</f>
        <v/>
      </c>
      <c r="U943" s="37" t="str">
        <f aca="false">IF(A943="","",TEXT(A943,"mmm"))</f>
        <v/>
      </c>
      <c r="V943" s="37" t="str">
        <f aca="false">IF(Q943="","",IFERROR(INDEX(Settings!$I$11:$I$15,MATCH(Q943,Settings!$H$11:$H$15,0)),"No"))</f>
        <v/>
      </c>
      <c r="W943" s="37" t="str">
        <f aca="false">IF(Q943="","",IFERROR(INDEX(Settings!$J$11:$J$15,MATCH(Q943,Settings!$H$11:$H$15,0)),"No"))</f>
        <v/>
      </c>
    </row>
    <row r="944" customFormat="false" ht="15" hidden="false" customHeight="false" outlineLevel="0" collapsed="false">
      <c r="A944" s="30"/>
      <c r="B944" s="25"/>
      <c r="C944" s="25"/>
      <c r="D944" s="25"/>
      <c r="E944" s="25"/>
      <c r="F944" s="25"/>
      <c r="G944" s="25"/>
      <c r="H944" s="31"/>
      <c r="I944" s="32"/>
      <c r="J944" s="33"/>
      <c r="K944" s="34" t="str">
        <f aca="false">IF(OR(H944="",I944=""),"",H944*I944*(1-N(J944)))</f>
        <v/>
      </c>
      <c r="L944" s="32"/>
      <c r="M944" s="34" t="str">
        <f aca="false">IF(OR(H944="",L944=""),"",H944*L944)</f>
        <v/>
      </c>
      <c r="N944" s="34" t="str">
        <f aca="false">IF(OR(K944="",M944=""),"",K944-M944)</f>
        <v/>
      </c>
      <c r="O944" s="35" t="str">
        <f aca="false">IF(OR(N944="",K944=""),"",IF(K944=0,"",N944/K944))</f>
        <v/>
      </c>
      <c r="P944" s="25"/>
      <c r="Q944" s="25"/>
      <c r="R944" s="25"/>
      <c r="S944" s="36" t="str">
        <f aca="false">IF(A944="","",YEAR(A944)+IF(AND(FYStart&gt;1,MONTH(A944)&gt;=FYStart),1,0))</f>
        <v/>
      </c>
      <c r="T944" s="36" t="str">
        <f aca="false">IF(A944="","",MOD(MONTH(A944)-FYStart,12)+1)</f>
        <v/>
      </c>
      <c r="U944" s="37" t="str">
        <f aca="false">IF(A944="","",TEXT(A944,"mmm"))</f>
        <v/>
      </c>
      <c r="V944" s="37" t="str">
        <f aca="false">IF(Q944="","",IFERROR(INDEX(Settings!$I$11:$I$15,MATCH(Q944,Settings!$H$11:$H$15,0)),"No"))</f>
        <v/>
      </c>
      <c r="W944" s="37" t="str">
        <f aca="false">IF(Q944="","",IFERROR(INDEX(Settings!$J$11:$J$15,MATCH(Q944,Settings!$H$11:$H$15,0)),"No"))</f>
        <v/>
      </c>
    </row>
    <row r="945" customFormat="false" ht="15" hidden="false" customHeight="false" outlineLevel="0" collapsed="false">
      <c r="A945" s="30"/>
      <c r="B945" s="25"/>
      <c r="C945" s="25"/>
      <c r="D945" s="25"/>
      <c r="E945" s="25"/>
      <c r="F945" s="25"/>
      <c r="G945" s="25"/>
      <c r="H945" s="31"/>
      <c r="I945" s="32"/>
      <c r="J945" s="33"/>
      <c r="K945" s="34" t="str">
        <f aca="false">IF(OR(H945="",I945=""),"",H945*I945*(1-N(J945)))</f>
        <v/>
      </c>
      <c r="L945" s="32"/>
      <c r="M945" s="34" t="str">
        <f aca="false">IF(OR(H945="",L945=""),"",H945*L945)</f>
        <v/>
      </c>
      <c r="N945" s="34" t="str">
        <f aca="false">IF(OR(K945="",M945=""),"",K945-M945)</f>
        <v/>
      </c>
      <c r="O945" s="35" t="str">
        <f aca="false">IF(OR(N945="",K945=""),"",IF(K945=0,"",N945/K945))</f>
        <v/>
      </c>
      <c r="P945" s="25"/>
      <c r="Q945" s="25"/>
      <c r="R945" s="25"/>
      <c r="S945" s="36" t="str">
        <f aca="false">IF(A945="","",YEAR(A945)+IF(AND(FYStart&gt;1,MONTH(A945)&gt;=FYStart),1,0))</f>
        <v/>
      </c>
      <c r="T945" s="36" t="str">
        <f aca="false">IF(A945="","",MOD(MONTH(A945)-FYStart,12)+1)</f>
        <v/>
      </c>
      <c r="U945" s="37" t="str">
        <f aca="false">IF(A945="","",TEXT(A945,"mmm"))</f>
        <v/>
      </c>
      <c r="V945" s="37" t="str">
        <f aca="false">IF(Q945="","",IFERROR(INDEX(Settings!$I$11:$I$15,MATCH(Q945,Settings!$H$11:$H$15,0)),"No"))</f>
        <v/>
      </c>
      <c r="W945" s="37" t="str">
        <f aca="false">IF(Q945="","",IFERROR(INDEX(Settings!$J$11:$J$15,MATCH(Q945,Settings!$H$11:$H$15,0)),"No"))</f>
        <v/>
      </c>
    </row>
    <row r="946" customFormat="false" ht="15" hidden="false" customHeight="false" outlineLevel="0" collapsed="false">
      <c r="A946" s="30"/>
      <c r="B946" s="25"/>
      <c r="C946" s="25"/>
      <c r="D946" s="25"/>
      <c r="E946" s="25"/>
      <c r="F946" s="25"/>
      <c r="G946" s="25"/>
      <c r="H946" s="31"/>
      <c r="I946" s="32"/>
      <c r="J946" s="33"/>
      <c r="K946" s="34" t="str">
        <f aca="false">IF(OR(H946="",I946=""),"",H946*I946*(1-N(J946)))</f>
        <v/>
      </c>
      <c r="L946" s="32"/>
      <c r="M946" s="34" t="str">
        <f aca="false">IF(OR(H946="",L946=""),"",H946*L946)</f>
        <v/>
      </c>
      <c r="N946" s="34" t="str">
        <f aca="false">IF(OR(K946="",M946=""),"",K946-M946)</f>
        <v/>
      </c>
      <c r="O946" s="35" t="str">
        <f aca="false">IF(OR(N946="",K946=""),"",IF(K946=0,"",N946/K946))</f>
        <v/>
      </c>
      <c r="P946" s="25"/>
      <c r="Q946" s="25"/>
      <c r="R946" s="25"/>
      <c r="S946" s="36" t="str">
        <f aca="false">IF(A946="","",YEAR(A946)+IF(AND(FYStart&gt;1,MONTH(A946)&gt;=FYStart),1,0))</f>
        <v/>
      </c>
      <c r="T946" s="36" t="str">
        <f aca="false">IF(A946="","",MOD(MONTH(A946)-FYStart,12)+1)</f>
        <v/>
      </c>
      <c r="U946" s="37" t="str">
        <f aca="false">IF(A946="","",TEXT(A946,"mmm"))</f>
        <v/>
      </c>
      <c r="V946" s="37" t="str">
        <f aca="false">IF(Q946="","",IFERROR(INDEX(Settings!$I$11:$I$15,MATCH(Q946,Settings!$H$11:$H$15,0)),"No"))</f>
        <v/>
      </c>
      <c r="W946" s="37" t="str">
        <f aca="false">IF(Q946="","",IFERROR(INDEX(Settings!$J$11:$J$15,MATCH(Q946,Settings!$H$11:$H$15,0)),"No"))</f>
        <v/>
      </c>
    </row>
    <row r="947" customFormat="false" ht="15" hidden="false" customHeight="false" outlineLevel="0" collapsed="false">
      <c r="A947" s="30"/>
      <c r="B947" s="25"/>
      <c r="C947" s="25"/>
      <c r="D947" s="25"/>
      <c r="E947" s="25"/>
      <c r="F947" s="25"/>
      <c r="G947" s="25"/>
      <c r="H947" s="31"/>
      <c r="I947" s="32"/>
      <c r="J947" s="33"/>
      <c r="K947" s="34" t="str">
        <f aca="false">IF(OR(H947="",I947=""),"",H947*I947*(1-N(J947)))</f>
        <v/>
      </c>
      <c r="L947" s="32"/>
      <c r="M947" s="34" t="str">
        <f aca="false">IF(OR(H947="",L947=""),"",H947*L947)</f>
        <v/>
      </c>
      <c r="N947" s="34" t="str">
        <f aca="false">IF(OR(K947="",M947=""),"",K947-M947)</f>
        <v/>
      </c>
      <c r="O947" s="35" t="str">
        <f aca="false">IF(OR(N947="",K947=""),"",IF(K947=0,"",N947/K947))</f>
        <v/>
      </c>
      <c r="P947" s="25"/>
      <c r="Q947" s="25"/>
      <c r="R947" s="25"/>
      <c r="S947" s="36" t="str">
        <f aca="false">IF(A947="","",YEAR(A947)+IF(AND(FYStart&gt;1,MONTH(A947)&gt;=FYStart),1,0))</f>
        <v/>
      </c>
      <c r="T947" s="36" t="str">
        <f aca="false">IF(A947="","",MOD(MONTH(A947)-FYStart,12)+1)</f>
        <v/>
      </c>
      <c r="U947" s="37" t="str">
        <f aca="false">IF(A947="","",TEXT(A947,"mmm"))</f>
        <v/>
      </c>
      <c r="V947" s="37" t="str">
        <f aca="false">IF(Q947="","",IFERROR(INDEX(Settings!$I$11:$I$15,MATCH(Q947,Settings!$H$11:$H$15,0)),"No"))</f>
        <v/>
      </c>
      <c r="W947" s="37" t="str">
        <f aca="false">IF(Q947="","",IFERROR(INDEX(Settings!$J$11:$J$15,MATCH(Q947,Settings!$H$11:$H$15,0)),"No"))</f>
        <v/>
      </c>
    </row>
    <row r="948" customFormat="false" ht="15" hidden="false" customHeight="false" outlineLevel="0" collapsed="false">
      <c r="A948" s="30"/>
      <c r="B948" s="25"/>
      <c r="C948" s="25"/>
      <c r="D948" s="25"/>
      <c r="E948" s="25"/>
      <c r="F948" s="25"/>
      <c r="G948" s="25"/>
      <c r="H948" s="31"/>
      <c r="I948" s="32"/>
      <c r="J948" s="33"/>
      <c r="K948" s="34" t="str">
        <f aca="false">IF(OR(H948="",I948=""),"",H948*I948*(1-N(J948)))</f>
        <v/>
      </c>
      <c r="L948" s="32"/>
      <c r="M948" s="34" t="str">
        <f aca="false">IF(OR(H948="",L948=""),"",H948*L948)</f>
        <v/>
      </c>
      <c r="N948" s="34" t="str">
        <f aca="false">IF(OR(K948="",M948=""),"",K948-M948)</f>
        <v/>
      </c>
      <c r="O948" s="35" t="str">
        <f aca="false">IF(OR(N948="",K948=""),"",IF(K948=0,"",N948/K948))</f>
        <v/>
      </c>
      <c r="P948" s="25"/>
      <c r="Q948" s="25"/>
      <c r="R948" s="25"/>
      <c r="S948" s="36" t="str">
        <f aca="false">IF(A948="","",YEAR(A948)+IF(AND(FYStart&gt;1,MONTH(A948)&gt;=FYStart),1,0))</f>
        <v/>
      </c>
      <c r="T948" s="36" t="str">
        <f aca="false">IF(A948="","",MOD(MONTH(A948)-FYStart,12)+1)</f>
        <v/>
      </c>
      <c r="U948" s="37" t="str">
        <f aca="false">IF(A948="","",TEXT(A948,"mmm"))</f>
        <v/>
      </c>
      <c r="V948" s="37" t="str">
        <f aca="false">IF(Q948="","",IFERROR(INDEX(Settings!$I$11:$I$15,MATCH(Q948,Settings!$H$11:$H$15,0)),"No"))</f>
        <v/>
      </c>
      <c r="W948" s="37" t="str">
        <f aca="false">IF(Q948="","",IFERROR(INDEX(Settings!$J$11:$J$15,MATCH(Q948,Settings!$H$11:$H$15,0)),"No"))</f>
        <v/>
      </c>
    </row>
    <row r="949" customFormat="false" ht="15" hidden="false" customHeight="false" outlineLevel="0" collapsed="false">
      <c r="A949" s="30"/>
      <c r="B949" s="25"/>
      <c r="C949" s="25"/>
      <c r="D949" s="25"/>
      <c r="E949" s="25"/>
      <c r="F949" s="25"/>
      <c r="G949" s="25"/>
      <c r="H949" s="31"/>
      <c r="I949" s="32"/>
      <c r="J949" s="33"/>
      <c r="K949" s="34" t="str">
        <f aca="false">IF(OR(H949="",I949=""),"",H949*I949*(1-N(J949)))</f>
        <v/>
      </c>
      <c r="L949" s="32"/>
      <c r="M949" s="34" t="str">
        <f aca="false">IF(OR(H949="",L949=""),"",H949*L949)</f>
        <v/>
      </c>
      <c r="N949" s="34" t="str">
        <f aca="false">IF(OR(K949="",M949=""),"",K949-M949)</f>
        <v/>
      </c>
      <c r="O949" s="35" t="str">
        <f aca="false">IF(OR(N949="",K949=""),"",IF(K949=0,"",N949/K949))</f>
        <v/>
      </c>
      <c r="P949" s="25"/>
      <c r="Q949" s="25"/>
      <c r="R949" s="25"/>
      <c r="S949" s="36" t="str">
        <f aca="false">IF(A949="","",YEAR(A949)+IF(AND(FYStart&gt;1,MONTH(A949)&gt;=FYStart),1,0))</f>
        <v/>
      </c>
      <c r="T949" s="36" t="str">
        <f aca="false">IF(A949="","",MOD(MONTH(A949)-FYStart,12)+1)</f>
        <v/>
      </c>
      <c r="U949" s="37" t="str">
        <f aca="false">IF(A949="","",TEXT(A949,"mmm"))</f>
        <v/>
      </c>
      <c r="V949" s="37" t="str">
        <f aca="false">IF(Q949="","",IFERROR(INDEX(Settings!$I$11:$I$15,MATCH(Q949,Settings!$H$11:$H$15,0)),"No"))</f>
        <v/>
      </c>
      <c r="W949" s="37" t="str">
        <f aca="false">IF(Q949="","",IFERROR(INDEX(Settings!$J$11:$J$15,MATCH(Q949,Settings!$H$11:$H$15,0)),"No"))</f>
        <v/>
      </c>
    </row>
    <row r="950" customFormat="false" ht="15" hidden="false" customHeight="false" outlineLevel="0" collapsed="false">
      <c r="A950" s="30"/>
      <c r="B950" s="25"/>
      <c r="C950" s="25"/>
      <c r="D950" s="25"/>
      <c r="E950" s="25"/>
      <c r="F950" s="25"/>
      <c r="G950" s="25"/>
      <c r="H950" s="31"/>
      <c r="I950" s="32"/>
      <c r="J950" s="33"/>
      <c r="K950" s="34" t="str">
        <f aca="false">IF(OR(H950="",I950=""),"",H950*I950*(1-N(J950)))</f>
        <v/>
      </c>
      <c r="L950" s="32"/>
      <c r="M950" s="34" t="str">
        <f aca="false">IF(OR(H950="",L950=""),"",H950*L950)</f>
        <v/>
      </c>
      <c r="N950" s="34" t="str">
        <f aca="false">IF(OR(K950="",M950=""),"",K950-M950)</f>
        <v/>
      </c>
      <c r="O950" s="35" t="str">
        <f aca="false">IF(OR(N950="",K950=""),"",IF(K950=0,"",N950/K950))</f>
        <v/>
      </c>
      <c r="P950" s="25"/>
      <c r="Q950" s="25"/>
      <c r="R950" s="25"/>
      <c r="S950" s="36" t="str">
        <f aca="false">IF(A950="","",YEAR(A950)+IF(AND(FYStart&gt;1,MONTH(A950)&gt;=FYStart),1,0))</f>
        <v/>
      </c>
      <c r="T950" s="36" t="str">
        <f aca="false">IF(A950="","",MOD(MONTH(A950)-FYStart,12)+1)</f>
        <v/>
      </c>
      <c r="U950" s="37" t="str">
        <f aca="false">IF(A950="","",TEXT(A950,"mmm"))</f>
        <v/>
      </c>
      <c r="V950" s="37" t="str">
        <f aca="false">IF(Q950="","",IFERROR(INDEX(Settings!$I$11:$I$15,MATCH(Q950,Settings!$H$11:$H$15,0)),"No"))</f>
        <v/>
      </c>
      <c r="W950" s="37" t="str">
        <f aca="false">IF(Q950="","",IFERROR(INDEX(Settings!$J$11:$J$15,MATCH(Q950,Settings!$H$11:$H$15,0)),"No"))</f>
        <v/>
      </c>
    </row>
    <row r="951" customFormat="false" ht="15" hidden="false" customHeight="false" outlineLevel="0" collapsed="false">
      <c r="A951" s="30"/>
      <c r="B951" s="25"/>
      <c r="C951" s="25"/>
      <c r="D951" s="25"/>
      <c r="E951" s="25"/>
      <c r="F951" s="25"/>
      <c r="G951" s="25"/>
      <c r="H951" s="31"/>
      <c r="I951" s="32"/>
      <c r="J951" s="33"/>
      <c r="K951" s="34" t="str">
        <f aca="false">IF(OR(H951="",I951=""),"",H951*I951*(1-N(J951)))</f>
        <v/>
      </c>
      <c r="L951" s="32"/>
      <c r="M951" s="34" t="str">
        <f aca="false">IF(OR(H951="",L951=""),"",H951*L951)</f>
        <v/>
      </c>
      <c r="N951" s="34" t="str">
        <f aca="false">IF(OR(K951="",M951=""),"",K951-M951)</f>
        <v/>
      </c>
      <c r="O951" s="35" t="str">
        <f aca="false">IF(OR(N951="",K951=""),"",IF(K951=0,"",N951/K951))</f>
        <v/>
      </c>
      <c r="P951" s="25"/>
      <c r="Q951" s="25"/>
      <c r="R951" s="25"/>
      <c r="S951" s="36" t="str">
        <f aca="false">IF(A951="","",YEAR(A951)+IF(AND(FYStart&gt;1,MONTH(A951)&gt;=FYStart),1,0))</f>
        <v/>
      </c>
      <c r="T951" s="36" t="str">
        <f aca="false">IF(A951="","",MOD(MONTH(A951)-FYStart,12)+1)</f>
        <v/>
      </c>
      <c r="U951" s="37" t="str">
        <f aca="false">IF(A951="","",TEXT(A951,"mmm"))</f>
        <v/>
      </c>
      <c r="V951" s="37" t="str">
        <f aca="false">IF(Q951="","",IFERROR(INDEX(Settings!$I$11:$I$15,MATCH(Q951,Settings!$H$11:$H$15,0)),"No"))</f>
        <v/>
      </c>
      <c r="W951" s="37" t="str">
        <f aca="false">IF(Q951="","",IFERROR(INDEX(Settings!$J$11:$J$15,MATCH(Q951,Settings!$H$11:$H$15,0)),"No"))</f>
        <v/>
      </c>
    </row>
    <row r="952" customFormat="false" ht="15" hidden="false" customHeight="false" outlineLevel="0" collapsed="false">
      <c r="A952" s="30"/>
      <c r="B952" s="25"/>
      <c r="C952" s="25"/>
      <c r="D952" s="25"/>
      <c r="E952" s="25"/>
      <c r="F952" s="25"/>
      <c r="G952" s="25"/>
      <c r="H952" s="31"/>
      <c r="I952" s="32"/>
      <c r="J952" s="33"/>
      <c r="K952" s="34" t="str">
        <f aca="false">IF(OR(H952="",I952=""),"",H952*I952*(1-N(J952)))</f>
        <v/>
      </c>
      <c r="L952" s="32"/>
      <c r="M952" s="34" t="str">
        <f aca="false">IF(OR(H952="",L952=""),"",H952*L952)</f>
        <v/>
      </c>
      <c r="N952" s="34" t="str">
        <f aca="false">IF(OR(K952="",M952=""),"",K952-M952)</f>
        <v/>
      </c>
      <c r="O952" s="35" t="str">
        <f aca="false">IF(OR(N952="",K952=""),"",IF(K952=0,"",N952/K952))</f>
        <v/>
      </c>
      <c r="P952" s="25"/>
      <c r="Q952" s="25"/>
      <c r="R952" s="25"/>
      <c r="S952" s="36" t="str">
        <f aca="false">IF(A952="","",YEAR(A952)+IF(AND(FYStart&gt;1,MONTH(A952)&gt;=FYStart),1,0))</f>
        <v/>
      </c>
      <c r="T952" s="36" t="str">
        <f aca="false">IF(A952="","",MOD(MONTH(A952)-FYStart,12)+1)</f>
        <v/>
      </c>
      <c r="U952" s="37" t="str">
        <f aca="false">IF(A952="","",TEXT(A952,"mmm"))</f>
        <v/>
      </c>
      <c r="V952" s="37" t="str">
        <f aca="false">IF(Q952="","",IFERROR(INDEX(Settings!$I$11:$I$15,MATCH(Q952,Settings!$H$11:$H$15,0)),"No"))</f>
        <v/>
      </c>
      <c r="W952" s="37" t="str">
        <f aca="false">IF(Q952="","",IFERROR(INDEX(Settings!$J$11:$J$15,MATCH(Q952,Settings!$H$11:$H$15,0)),"No"))</f>
        <v/>
      </c>
    </row>
    <row r="953" customFormat="false" ht="15" hidden="false" customHeight="false" outlineLevel="0" collapsed="false">
      <c r="A953" s="30"/>
      <c r="B953" s="25"/>
      <c r="C953" s="25"/>
      <c r="D953" s="25"/>
      <c r="E953" s="25"/>
      <c r="F953" s="25"/>
      <c r="G953" s="25"/>
      <c r="H953" s="31"/>
      <c r="I953" s="32"/>
      <c r="J953" s="33"/>
      <c r="K953" s="34" t="str">
        <f aca="false">IF(OR(H953="",I953=""),"",H953*I953*(1-N(J953)))</f>
        <v/>
      </c>
      <c r="L953" s="32"/>
      <c r="M953" s="34" t="str">
        <f aca="false">IF(OR(H953="",L953=""),"",H953*L953)</f>
        <v/>
      </c>
      <c r="N953" s="34" t="str">
        <f aca="false">IF(OR(K953="",M953=""),"",K953-M953)</f>
        <v/>
      </c>
      <c r="O953" s="35" t="str">
        <f aca="false">IF(OR(N953="",K953=""),"",IF(K953=0,"",N953/K953))</f>
        <v/>
      </c>
      <c r="P953" s="25"/>
      <c r="Q953" s="25"/>
      <c r="R953" s="25"/>
      <c r="S953" s="36" t="str">
        <f aca="false">IF(A953="","",YEAR(A953)+IF(AND(FYStart&gt;1,MONTH(A953)&gt;=FYStart),1,0))</f>
        <v/>
      </c>
      <c r="T953" s="36" t="str">
        <f aca="false">IF(A953="","",MOD(MONTH(A953)-FYStart,12)+1)</f>
        <v/>
      </c>
      <c r="U953" s="37" t="str">
        <f aca="false">IF(A953="","",TEXT(A953,"mmm"))</f>
        <v/>
      </c>
      <c r="V953" s="37" t="str">
        <f aca="false">IF(Q953="","",IFERROR(INDEX(Settings!$I$11:$I$15,MATCH(Q953,Settings!$H$11:$H$15,0)),"No"))</f>
        <v/>
      </c>
      <c r="W953" s="37" t="str">
        <f aca="false">IF(Q953="","",IFERROR(INDEX(Settings!$J$11:$J$15,MATCH(Q953,Settings!$H$11:$H$15,0)),"No"))</f>
        <v/>
      </c>
    </row>
    <row r="954" customFormat="false" ht="15" hidden="false" customHeight="false" outlineLevel="0" collapsed="false">
      <c r="A954" s="30"/>
      <c r="B954" s="25"/>
      <c r="C954" s="25"/>
      <c r="D954" s="25"/>
      <c r="E954" s="25"/>
      <c r="F954" s="25"/>
      <c r="G954" s="25"/>
      <c r="H954" s="31"/>
      <c r="I954" s="32"/>
      <c r="J954" s="33"/>
      <c r="K954" s="34" t="str">
        <f aca="false">IF(OR(H954="",I954=""),"",H954*I954*(1-N(J954)))</f>
        <v/>
      </c>
      <c r="L954" s="32"/>
      <c r="M954" s="34" t="str">
        <f aca="false">IF(OR(H954="",L954=""),"",H954*L954)</f>
        <v/>
      </c>
      <c r="N954" s="34" t="str">
        <f aca="false">IF(OR(K954="",M954=""),"",K954-M954)</f>
        <v/>
      </c>
      <c r="O954" s="35" t="str">
        <f aca="false">IF(OR(N954="",K954=""),"",IF(K954=0,"",N954/K954))</f>
        <v/>
      </c>
      <c r="P954" s="25"/>
      <c r="Q954" s="25"/>
      <c r="R954" s="25"/>
      <c r="S954" s="36" t="str">
        <f aca="false">IF(A954="","",YEAR(A954)+IF(AND(FYStart&gt;1,MONTH(A954)&gt;=FYStart),1,0))</f>
        <v/>
      </c>
      <c r="T954" s="36" t="str">
        <f aca="false">IF(A954="","",MOD(MONTH(A954)-FYStart,12)+1)</f>
        <v/>
      </c>
      <c r="U954" s="37" t="str">
        <f aca="false">IF(A954="","",TEXT(A954,"mmm"))</f>
        <v/>
      </c>
      <c r="V954" s="37" t="str">
        <f aca="false">IF(Q954="","",IFERROR(INDEX(Settings!$I$11:$I$15,MATCH(Q954,Settings!$H$11:$H$15,0)),"No"))</f>
        <v/>
      </c>
      <c r="W954" s="37" t="str">
        <f aca="false">IF(Q954="","",IFERROR(INDEX(Settings!$J$11:$J$15,MATCH(Q954,Settings!$H$11:$H$15,0)),"No"))</f>
        <v/>
      </c>
    </row>
    <row r="955" customFormat="false" ht="15" hidden="false" customHeight="false" outlineLevel="0" collapsed="false">
      <c r="A955" s="30"/>
      <c r="B955" s="25"/>
      <c r="C955" s="25"/>
      <c r="D955" s="25"/>
      <c r="E955" s="25"/>
      <c r="F955" s="25"/>
      <c r="G955" s="25"/>
      <c r="H955" s="31"/>
      <c r="I955" s="32"/>
      <c r="J955" s="33"/>
      <c r="K955" s="34" t="str">
        <f aca="false">IF(OR(H955="",I955=""),"",H955*I955*(1-N(J955)))</f>
        <v/>
      </c>
      <c r="L955" s="32"/>
      <c r="M955" s="34" t="str">
        <f aca="false">IF(OR(H955="",L955=""),"",H955*L955)</f>
        <v/>
      </c>
      <c r="N955" s="34" t="str">
        <f aca="false">IF(OR(K955="",M955=""),"",K955-M955)</f>
        <v/>
      </c>
      <c r="O955" s="35" t="str">
        <f aca="false">IF(OR(N955="",K955=""),"",IF(K955=0,"",N955/K955))</f>
        <v/>
      </c>
      <c r="P955" s="25"/>
      <c r="Q955" s="25"/>
      <c r="R955" s="25"/>
      <c r="S955" s="36" t="str">
        <f aca="false">IF(A955="","",YEAR(A955)+IF(AND(FYStart&gt;1,MONTH(A955)&gt;=FYStart),1,0))</f>
        <v/>
      </c>
      <c r="T955" s="36" t="str">
        <f aca="false">IF(A955="","",MOD(MONTH(A955)-FYStart,12)+1)</f>
        <v/>
      </c>
      <c r="U955" s="37" t="str">
        <f aca="false">IF(A955="","",TEXT(A955,"mmm"))</f>
        <v/>
      </c>
      <c r="V955" s="37" t="str">
        <f aca="false">IF(Q955="","",IFERROR(INDEX(Settings!$I$11:$I$15,MATCH(Q955,Settings!$H$11:$H$15,0)),"No"))</f>
        <v/>
      </c>
      <c r="W955" s="37" t="str">
        <f aca="false">IF(Q955="","",IFERROR(INDEX(Settings!$J$11:$J$15,MATCH(Q955,Settings!$H$11:$H$15,0)),"No"))</f>
        <v/>
      </c>
    </row>
    <row r="956" customFormat="false" ht="15" hidden="false" customHeight="false" outlineLevel="0" collapsed="false">
      <c r="A956" s="30"/>
      <c r="B956" s="25"/>
      <c r="C956" s="25"/>
      <c r="D956" s="25"/>
      <c r="E956" s="25"/>
      <c r="F956" s="25"/>
      <c r="G956" s="25"/>
      <c r="H956" s="31"/>
      <c r="I956" s="32"/>
      <c r="J956" s="33"/>
      <c r="K956" s="34" t="str">
        <f aca="false">IF(OR(H956="",I956=""),"",H956*I956*(1-N(J956)))</f>
        <v/>
      </c>
      <c r="L956" s="32"/>
      <c r="M956" s="34" t="str">
        <f aca="false">IF(OR(H956="",L956=""),"",H956*L956)</f>
        <v/>
      </c>
      <c r="N956" s="34" t="str">
        <f aca="false">IF(OR(K956="",M956=""),"",K956-M956)</f>
        <v/>
      </c>
      <c r="O956" s="35" t="str">
        <f aca="false">IF(OR(N956="",K956=""),"",IF(K956=0,"",N956/K956))</f>
        <v/>
      </c>
      <c r="P956" s="25"/>
      <c r="Q956" s="25"/>
      <c r="R956" s="25"/>
      <c r="S956" s="36" t="str">
        <f aca="false">IF(A956="","",YEAR(A956)+IF(AND(FYStart&gt;1,MONTH(A956)&gt;=FYStart),1,0))</f>
        <v/>
      </c>
      <c r="T956" s="36" t="str">
        <f aca="false">IF(A956="","",MOD(MONTH(A956)-FYStart,12)+1)</f>
        <v/>
      </c>
      <c r="U956" s="37" t="str">
        <f aca="false">IF(A956="","",TEXT(A956,"mmm"))</f>
        <v/>
      </c>
      <c r="V956" s="37" t="str">
        <f aca="false">IF(Q956="","",IFERROR(INDEX(Settings!$I$11:$I$15,MATCH(Q956,Settings!$H$11:$H$15,0)),"No"))</f>
        <v/>
      </c>
      <c r="W956" s="37" t="str">
        <f aca="false">IF(Q956="","",IFERROR(INDEX(Settings!$J$11:$J$15,MATCH(Q956,Settings!$H$11:$H$15,0)),"No"))</f>
        <v/>
      </c>
    </row>
    <row r="957" customFormat="false" ht="15" hidden="false" customHeight="false" outlineLevel="0" collapsed="false">
      <c r="A957" s="30"/>
      <c r="B957" s="25"/>
      <c r="C957" s="25"/>
      <c r="D957" s="25"/>
      <c r="E957" s="25"/>
      <c r="F957" s="25"/>
      <c r="G957" s="25"/>
      <c r="H957" s="31"/>
      <c r="I957" s="32"/>
      <c r="J957" s="33"/>
      <c r="K957" s="34" t="str">
        <f aca="false">IF(OR(H957="",I957=""),"",H957*I957*(1-N(J957)))</f>
        <v/>
      </c>
      <c r="L957" s="32"/>
      <c r="M957" s="34" t="str">
        <f aca="false">IF(OR(H957="",L957=""),"",H957*L957)</f>
        <v/>
      </c>
      <c r="N957" s="34" t="str">
        <f aca="false">IF(OR(K957="",M957=""),"",K957-M957)</f>
        <v/>
      </c>
      <c r="O957" s="35" t="str">
        <f aca="false">IF(OR(N957="",K957=""),"",IF(K957=0,"",N957/K957))</f>
        <v/>
      </c>
      <c r="P957" s="25"/>
      <c r="Q957" s="25"/>
      <c r="R957" s="25"/>
      <c r="S957" s="36" t="str">
        <f aca="false">IF(A957="","",YEAR(A957)+IF(AND(FYStart&gt;1,MONTH(A957)&gt;=FYStart),1,0))</f>
        <v/>
      </c>
      <c r="T957" s="36" t="str">
        <f aca="false">IF(A957="","",MOD(MONTH(A957)-FYStart,12)+1)</f>
        <v/>
      </c>
      <c r="U957" s="37" t="str">
        <f aca="false">IF(A957="","",TEXT(A957,"mmm"))</f>
        <v/>
      </c>
      <c r="V957" s="37" t="str">
        <f aca="false">IF(Q957="","",IFERROR(INDEX(Settings!$I$11:$I$15,MATCH(Q957,Settings!$H$11:$H$15,0)),"No"))</f>
        <v/>
      </c>
      <c r="W957" s="37" t="str">
        <f aca="false">IF(Q957="","",IFERROR(INDEX(Settings!$J$11:$J$15,MATCH(Q957,Settings!$H$11:$H$15,0)),"No"))</f>
        <v/>
      </c>
    </row>
    <row r="958" customFormat="false" ht="15" hidden="false" customHeight="false" outlineLevel="0" collapsed="false">
      <c r="A958" s="30"/>
      <c r="B958" s="25"/>
      <c r="C958" s="25"/>
      <c r="D958" s="25"/>
      <c r="E958" s="25"/>
      <c r="F958" s="25"/>
      <c r="G958" s="25"/>
      <c r="H958" s="31"/>
      <c r="I958" s="32"/>
      <c r="J958" s="33"/>
      <c r="K958" s="34" t="str">
        <f aca="false">IF(OR(H958="",I958=""),"",H958*I958*(1-N(J958)))</f>
        <v/>
      </c>
      <c r="L958" s="32"/>
      <c r="M958" s="34" t="str">
        <f aca="false">IF(OR(H958="",L958=""),"",H958*L958)</f>
        <v/>
      </c>
      <c r="N958" s="34" t="str">
        <f aca="false">IF(OR(K958="",M958=""),"",K958-M958)</f>
        <v/>
      </c>
      <c r="O958" s="35" t="str">
        <f aca="false">IF(OR(N958="",K958=""),"",IF(K958=0,"",N958/K958))</f>
        <v/>
      </c>
      <c r="P958" s="25"/>
      <c r="Q958" s="25"/>
      <c r="R958" s="25"/>
      <c r="S958" s="36" t="str">
        <f aca="false">IF(A958="","",YEAR(A958)+IF(AND(FYStart&gt;1,MONTH(A958)&gt;=FYStart),1,0))</f>
        <v/>
      </c>
      <c r="T958" s="36" t="str">
        <f aca="false">IF(A958="","",MOD(MONTH(A958)-FYStart,12)+1)</f>
        <v/>
      </c>
      <c r="U958" s="37" t="str">
        <f aca="false">IF(A958="","",TEXT(A958,"mmm"))</f>
        <v/>
      </c>
      <c r="V958" s="37" t="str">
        <f aca="false">IF(Q958="","",IFERROR(INDEX(Settings!$I$11:$I$15,MATCH(Q958,Settings!$H$11:$H$15,0)),"No"))</f>
        <v/>
      </c>
      <c r="W958" s="37" t="str">
        <f aca="false">IF(Q958="","",IFERROR(INDEX(Settings!$J$11:$J$15,MATCH(Q958,Settings!$H$11:$H$15,0)),"No"))</f>
        <v/>
      </c>
    </row>
    <row r="959" customFormat="false" ht="15" hidden="false" customHeight="false" outlineLevel="0" collapsed="false">
      <c r="A959" s="30"/>
      <c r="B959" s="25"/>
      <c r="C959" s="25"/>
      <c r="D959" s="25"/>
      <c r="E959" s="25"/>
      <c r="F959" s="25"/>
      <c r="G959" s="25"/>
      <c r="H959" s="31"/>
      <c r="I959" s="32"/>
      <c r="J959" s="33"/>
      <c r="K959" s="34" t="str">
        <f aca="false">IF(OR(H959="",I959=""),"",H959*I959*(1-N(J959)))</f>
        <v/>
      </c>
      <c r="L959" s="32"/>
      <c r="M959" s="34" t="str">
        <f aca="false">IF(OR(H959="",L959=""),"",H959*L959)</f>
        <v/>
      </c>
      <c r="N959" s="34" t="str">
        <f aca="false">IF(OR(K959="",M959=""),"",K959-M959)</f>
        <v/>
      </c>
      <c r="O959" s="35" t="str">
        <f aca="false">IF(OR(N959="",K959=""),"",IF(K959=0,"",N959/K959))</f>
        <v/>
      </c>
      <c r="P959" s="25"/>
      <c r="Q959" s="25"/>
      <c r="R959" s="25"/>
      <c r="S959" s="36" t="str">
        <f aca="false">IF(A959="","",YEAR(A959)+IF(AND(FYStart&gt;1,MONTH(A959)&gt;=FYStart),1,0))</f>
        <v/>
      </c>
      <c r="T959" s="36" t="str">
        <f aca="false">IF(A959="","",MOD(MONTH(A959)-FYStart,12)+1)</f>
        <v/>
      </c>
      <c r="U959" s="37" t="str">
        <f aca="false">IF(A959="","",TEXT(A959,"mmm"))</f>
        <v/>
      </c>
      <c r="V959" s="37" t="str">
        <f aca="false">IF(Q959="","",IFERROR(INDEX(Settings!$I$11:$I$15,MATCH(Q959,Settings!$H$11:$H$15,0)),"No"))</f>
        <v/>
      </c>
      <c r="W959" s="37" t="str">
        <f aca="false">IF(Q959="","",IFERROR(INDEX(Settings!$J$11:$J$15,MATCH(Q959,Settings!$H$11:$H$15,0)),"No"))</f>
        <v/>
      </c>
    </row>
    <row r="960" customFormat="false" ht="15" hidden="false" customHeight="false" outlineLevel="0" collapsed="false">
      <c r="A960" s="30"/>
      <c r="B960" s="25"/>
      <c r="C960" s="25"/>
      <c r="D960" s="25"/>
      <c r="E960" s="25"/>
      <c r="F960" s="25"/>
      <c r="G960" s="25"/>
      <c r="H960" s="31"/>
      <c r="I960" s="32"/>
      <c r="J960" s="33"/>
      <c r="K960" s="34" t="str">
        <f aca="false">IF(OR(H960="",I960=""),"",H960*I960*(1-N(J960)))</f>
        <v/>
      </c>
      <c r="L960" s="32"/>
      <c r="M960" s="34" t="str">
        <f aca="false">IF(OR(H960="",L960=""),"",H960*L960)</f>
        <v/>
      </c>
      <c r="N960" s="34" t="str">
        <f aca="false">IF(OR(K960="",M960=""),"",K960-M960)</f>
        <v/>
      </c>
      <c r="O960" s="35" t="str">
        <f aca="false">IF(OR(N960="",K960=""),"",IF(K960=0,"",N960/K960))</f>
        <v/>
      </c>
      <c r="P960" s="25"/>
      <c r="Q960" s="25"/>
      <c r="R960" s="25"/>
      <c r="S960" s="36" t="str">
        <f aca="false">IF(A960="","",YEAR(A960)+IF(AND(FYStart&gt;1,MONTH(A960)&gt;=FYStart),1,0))</f>
        <v/>
      </c>
      <c r="T960" s="36" t="str">
        <f aca="false">IF(A960="","",MOD(MONTH(A960)-FYStart,12)+1)</f>
        <v/>
      </c>
      <c r="U960" s="37" t="str">
        <f aca="false">IF(A960="","",TEXT(A960,"mmm"))</f>
        <v/>
      </c>
      <c r="V960" s="37" t="str">
        <f aca="false">IF(Q960="","",IFERROR(INDEX(Settings!$I$11:$I$15,MATCH(Q960,Settings!$H$11:$H$15,0)),"No"))</f>
        <v/>
      </c>
      <c r="W960" s="37" t="str">
        <f aca="false">IF(Q960="","",IFERROR(INDEX(Settings!$J$11:$J$15,MATCH(Q960,Settings!$H$11:$H$15,0)),"No"))</f>
        <v/>
      </c>
    </row>
    <row r="961" customFormat="false" ht="15" hidden="false" customHeight="false" outlineLevel="0" collapsed="false">
      <c r="A961" s="30"/>
      <c r="B961" s="25"/>
      <c r="C961" s="25"/>
      <c r="D961" s="25"/>
      <c r="E961" s="25"/>
      <c r="F961" s="25"/>
      <c r="G961" s="25"/>
      <c r="H961" s="31"/>
      <c r="I961" s="32"/>
      <c r="J961" s="33"/>
      <c r="K961" s="34" t="str">
        <f aca="false">IF(OR(H961="",I961=""),"",H961*I961*(1-N(J961)))</f>
        <v/>
      </c>
      <c r="L961" s="32"/>
      <c r="M961" s="34" t="str">
        <f aca="false">IF(OR(H961="",L961=""),"",H961*L961)</f>
        <v/>
      </c>
      <c r="N961" s="34" t="str">
        <f aca="false">IF(OR(K961="",M961=""),"",K961-M961)</f>
        <v/>
      </c>
      <c r="O961" s="35" t="str">
        <f aca="false">IF(OR(N961="",K961=""),"",IF(K961=0,"",N961/K961))</f>
        <v/>
      </c>
      <c r="P961" s="25"/>
      <c r="Q961" s="25"/>
      <c r="R961" s="25"/>
      <c r="S961" s="36" t="str">
        <f aca="false">IF(A961="","",YEAR(A961)+IF(AND(FYStart&gt;1,MONTH(A961)&gt;=FYStart),1,0))</f>
        <v/>
      </c>
      <c r="T961" s="36" t="str">
        <f aca="false">IF(A961="","",MOD(MONTH(A961)-FYStart,12)+1)</f>
        <v/>
      </c>
      <c r="U961" s="37" t="str">
        <f aca="false">IF(A961="","",TEXT(A961,"mmm"))</f>
        <v/>
      </c>
      <c r="V961" s="37" t="str">
        <f aca="false">IF(Q961="","",IFERROR(INDEX(Settings!$I$11:$I$15,MATCH(Q961,Settings!$H$11:$H$15,0)),"No"))</f>
        <v/>
      </c>
      <c r="W961" s="37" t="str">
        <f aca="false">IF(Q961="","",IFERROR(INDEX(Settings!$J$11:$J$15,MATCH(Q961,Settings!$H$11:$H$15,0)),"No"))</f>
        <v/>
      </c>
    </row>
    <row r="962" customFormat="false" ht="15" hidden="false" customHeight="false" outlineLevel="0" collapsed="false">
      <c r="A962" s="30"/>
      <c r="B962" s="25"/>
      <c r="C962" s="25"/>
      <c r="D962" s="25"/>
      <c r="E962" s="25"/>
      <c r="F962" s="25"/>
      <c r="G962" s="25"/>
      <c r="H962" s="31"/>
      <c r="I962" s="32"/>
      <c r="J962" s="33"/>
      <c r="K962" s="34" t="str">
        <f aca="false">IF(OR(H962="",I962=""),"",H962*I962*(1-N(J962)))</f>
        <v/>
      </c>
      <c r="L962" s="32"/>
      <c r="M962" s="34" t="str">
        <f aca="false">IF(OR(H962="",L962=""),"",H962*L962)</f>
        <v/>
      </c>
      <c r="N962" s="34" t="str">
        <f aca="false">IF(OR(K962="",M962=""),"",K962-M962)</f>
        <v/>
      </c>
      <c r="O962" s="35" t="str">
        <f aca="false">IF(OR(N962="",K962=""),"",IF(K962=0,"",N962/K962))</f>
        <v/>
      </c>
      <c r="P962" s="25"/>
      <c r="Q962" s="25"/>
      <c r="R962" s="25"/>
      <c r="S962" s="36" t="str">
        <f aca="false">IF(A962="","",YEAR(A962)+IF(AND(FYStart&gt;1,MONTH(A962)&gt;=FYStart),1,0))</f>
        <v/>
      </c>
      <c r="T962" s="36" t="str">
        <f aca="false">IF(A962="","",MOD(MONTH(A962)-FYStart,12)+1)</f>
        <v/>
      </c>
      <c r="U962" s="37" t="str">
        <f aca="false">IF(A962="","",TEXT(A962,"mmm"))</f>
        <v/>
      </c>
      <c r="V962" s="37" t="str">
        <f aca="false">IF(Q962="","",IFERROR(INDEX(Settings!$I$11:$I$15,MATCH(Q962,Settings!$H$11:$H$15,0)),"No"))</f>
        <v/>
      </c>
      <c r="W962" s="37" t="str">
        <f aca="false">IF(Q962="","",IFERROR(INDEX(Settings!$J$11:$J$15,MATCH(Q962,Settings!$H$11:$H$15,0)),"No"))</f>
        <v/>
      </c>
    </row>
    <row r="963" customFormat="false" ht="15" hidden="false" customHeight="false" outlineLevel="0" collapsed="false">
      <c r="A963" s="30"/>
      <c r="B963" s="25"/>
      <c r="C963" s="25"/>
      <c r="D963" s="25"/>
      <c r="E963" s="25"/>
      <c r="F963" s="25"/>
      <c r="G963" s="25"/>
      <c r="H963" s="31"/>
      <c r="I963" s="32"/>
      <c r="J963" s="33"/>
      <c r="K963" s="34" t="str">
        <f aca="false">IF(OR(H963="",I963=""),"",H963*I963*(1-N(J963)))</f>
        <v/>
      </c>
      <c r="L963" s="32"/>
      <c r="M963" s="34" t="str">
        <f aca="false">IF(OR(H963="",L963=""),"",H963*L963)</f>
        <v/>
      </c>
      <c r="N963" s="34" t="str">
        <f aca="false">IF(OR(K963="",M963=""),"",K963-M963)</f>
        <v/>
      </c>
      <c r="O963" s="35" t="str">
        <f aca="false">IF(OR(N963="",K963=""),"",IF(K963=0,"",N963/K963))</f>
        <v/>
      </c>
      <c r="P963" s="25"/>
      <c r="Q963" s="25"/>
      <c r="R963" s="25"/>
      <c r="S963" s="36" t="str">
        <f aca="false">IF(A963="","",YEAR(A963)+IF(AND(FYStart&gt;1,MONTH(A963)&gt;=FYStart),1,0))</f>
        <v/>
      </c>
      <c r="T963" s="36" t="str">
        <f aca="false">IF(A963="","",MOD(MONTH(A963)-FYStart,12)+1)</f>
        <v/>
      </c>
      <c r="U963" s="37" t="str">
        <f aca="false">IF(A963="","",TEXT(A963,"mmm"))</f>
        <v/>
      </c>
      <c r="V963" s="37" t="str">
        <f aca="false">IF(Q963="","",IFERROR(INDEX(Settings!$I$11:$I$15,MATCH(Q963,Settings!$H$11:$H$15,0)),"No"))</f>
        <v/>
      </c>
      <c r="W963" s="37" t="str">
        <f aca="false">IF(Q963="","",IFERROR(INDEX(Settings!$J$11:$J$15,MATCH(Q963,Settings!$H$11:$H$15,0)),"No"))</f>
        <v/>
      </c>
    </row>
    <row r="964" customFormat="false" ht="15" hidden="false" customHeight="false" outlineLevel="0" collapsed="false">
      <c r="A964" s="30"/>
      <c r="B964" s="25"/>
      <c r="C964" s="25"/>
      <c r="D964" s="25"/>
      <c r="E964" s="25"/>
      <c r="F964" s="25"/>
      <c r="G964" s="25"/>
      <c r="H964" s="31"/>
      <c r="I964" s="32"/>
      <c r="J964" s="33"/>
      <c r="K964" s="34" t="str">
        <f aca="false">IF(OR(H964="",I964=""),"",H964*I964*(1-N(J964)))</f>
        <v/>
      </c>
      <c r="L964" s="32"/>
      <c r="M964" s="34" t="str">
        <f aca="false">IF(OR(H964="",L964=""),"",H964*L964)</f>
        <v/>
      </c>
      <c r="N964" s="34" t="str">
        <f aca="false">IF(OR(K964="",M964=""),"",K964-M964)</f>
        <v/>
      </c>
      <c r="O964" s="35" t="str">
        <f aca="false">IF(OR(N964="",K964=""),"",IF(K964=0,"",N964/K964))</f>
        <v/>
      </c>
      <c r="P964" s="25"/>
      <c r="Q964" s="25"/>
      <c r="R964" s="25"/>
      <c r="S964" s="36" t="str">
        <f aca="false">IF(A964="","",YEAR(A964)+IF(AND(FYStart&gt;1,MONTH(A964)&gt;=FYStart),1,0))</f>
        <v/>
      </c>
      <c r="T964" s="36" t="str">
        <f aca="false">IF(A964="","",MOD(MONTH(A964)-FYStart,12)+1)</f>
        <v/>
      </c>
      <c r="U964" s="37" t="str">
        <f aca="false">IF(A964="","",TEXT(A964,"mmm"))</f>
        <v/>
      </c>
      <c r="V964" s="37" t="str">
        <f aca="false">IF(Q964="","",IFERROR(INDEX(Settings!$I$11:$I$15,MATCH(Q964,Settings!$H$11:$H$15,0)),"No"))</f>
        <v/>
      </c>
      <c r="W964" s="37" t="str">
        <f aca="false">IF(Q964="","",IFERROR(INDEX(Settings!$J$11:$J$15,MATCH(Q964,Settings!$H$11:$H$15,0)),"No"))</f>
        <v/>
      </c>
    </row>
    <row r="965" customFormat="false" ht="15" hidden="false" customHeight="false" outlineLevel="0" collapsed="false">
      <c r="A965" s="30"/>
      <c r="B965" s="25"/>
      <c r="C965" s="25"/>
      <c r="D965" s="25"/>
      <c r="E965" s="25"/>
      <c r="F965" s="25"/>
      <c r="G965" s="25"/>
      <c r="H965" s="31"/>
      <c r="I965" s="32"/>
      <c r="J965" s="33"/>
      <c r="K965" s="34" t="str">
        <f aca="false">IF(OR(H965="",I965=""),"",H965*I965*(1-N(J965)))</f>
        <v/>
      </c>
      <c r="L965" s="32"/>
      <c r="M965" s="34" t="str">
        <f aca="false">IF(OR(H965="",L965=""),"",H965*L965)</f>
        <v/>
      </c>
      <c r="N965" s="34" t="str">
        <f aca="false">IF(OR(K965="",M965=""),"",K965-M965)</f>
        <v/>
      </c>
      <c r="O965" s="35" t="str">
        <f aca="false">IF(OR(N965="",K965=""),"",IF(K965=0,"",N965/K965))</f>
        <v/>
      </c>
      <c r="P965" s="25"/>
      <c r="Q965" s="25"/>
      <c r="R965" s="25"/>
      <c r="S965" s="36" t="str">
        <f aca="false">IF(A965="","",YEAR(A965)+IF(AND(FYStart&gt;1,MONTH(A965)&gt;=FYStart),1,0))</f>
        <v/>
      </c>
      <c r="T965" s="36" t="str">
        <f aca="false">IF(A965="","",MOD(MONTH(A965)-FYStart,12)+1)</f>
        <v/>
      </c>
      <c r="U965" s="37" t="str">
        <f aca="false">IF(A965="","",TEXT(A965,"mmm"))</f>
        <v/>
      </c>
      <c r="V965" s="37" t="str">
        <f aca="false">IF(Q965="","",IFERROR(INDEX(Settings!$I$11:$I$15,MATCH(Q965,Settings!$H$11:$H$15,0)),"No"))</f>
        <v/>
      </c>
      <c r="W965" s="37" t="str">
        <f aca="false">IF(Q965="","",IFERROR(INDEX(Settings!$J$11:$J$15,MATCH(Q965,Settings!$H$11:$H$15,0)),"No"))</f>
        <v/>
      </c>
    </row>
    <row r="966" customFormat="false" ht="15" hidden="false" customHeight="false" outlineLevel="0" collapsed="false">
      <c r="A966" s="30"/>
      <c r="B966" s="25"/>
      <c r="C966" s="25"/>
      <c r="D966" s="25"/>
      <c r="E966" s="25"/>
      <c r="F966" s="25"/>
      <c r="G966" s="25"/>
      <c r="H966" s="31"/>
      <c r="I966" s="32"/>
      <c r="J966" s="33"/>
      <c r="K966" s="34" t="str">
        <f aca="false">IF(OR(H966="",I966=""),"",H966*I966*(1-N(J966)))</f>
        <v/>
      </c>
      <c r="L966" s="32"/>
      <c r="M966" s="34" t="str">
        <f aca="false">IF(OR(H966="",L966=""),"",H966*L966)</f>
        <v/>
      </c>
      <c r="N966" s="34" t="str">
        <f aca="false">IF(OR(K966="",M966=""),"",K966-M966)</f>
        <v/>
      </c>
      <c r="O966" s="35" t="str">
        <f aca="false">IF(OR(N966="",K966=""),"",IF(K966=0,"",N966/K966))</f>
        <v/>
      </c>
      <c r="P966" s="25"/>
      <c r="Q966" s="25"/>
      <c r="R966" s="25"/>
      <c r="S966" s="36" t="str">
        <f aca="false">IF(A966="","",YEAR(A966)+IF(AND(FYStart&gt;1,MONTH(A966)&gt;=FYStart),1,0))</f>
        <v/>
      </c>
      <c r="T966" s="36" t="str">
        <f aca="false">IF(A966="","",MOD(MONTH(A966)-FYStart,12)+1)</f>
        <v/>
      </c>
      <c r="U966" s="37" t="str">
        <f aca="false">IF(A966="","",TEXT(A966,"mmm"))</f>
        <v/>
      </c>
      <c r="V966" s="37" t="str">
        <f aca="false">IF(Q966="","",IFERROR(INDEX(Settings!$I$11:$I$15,MATCH(Q966,Settings!$H$11:$H$15,0)),"No"))</f>
        <v/>
      </c>
      <c r="W966" s="37" t="str">
        <f aca="false">IF(Q966="","",IFERROR(INDEX(Settings!$J$11:$J$15,MATCH(Q966,Settings!$H$11:$H$15,0)),"No"))</f>
        <v/>
      </c>
    </row>
    <row r="967" customFormat="false" ht="15" hidden="false" customHeight="false" outlineLevel="0" collapsed="false">
      <c r="A967" s="30"/>
      <c r="B967" s="25"/>
      <c r="C967" s="25"/>
      <c r="D967" s="25"/>
      <c r="E967" s="25"/>
      <c r="F967" s="25"/>
      <c r="G967" s="25"/>
      <c r="H967" s="31"/>
      <c r="I967" s="32"/>
      <c r="J967" s="33"/>
      <c r="K967" s="34" t="str">
        <f aca="false">IF(OR(H967="",I967=""),"",H967*I967*(1-N(J967)))</f>
        <v/>
      </c>
      <c r="L967" s="32"/>
      <c r="M967" s="34" t="str">
        <f aca="false">IF(OR(H967="",L967=""),"",H967*L967)</f>
        <v/>
      </c>
      <c r="N967" s="34" t="str">
        <f aca="false">IF(OR(K967="",M967=""),"",K967-M967)</f>
        <v/>
      </c>
      <c r="O967" s="35" t="str">
        <f aca="false">IF(OR(N967="",K967=""),"",IF(K967=0,"",N967/K967))</f>
        <v/>
      </c>
      <c r="P967" s="25"/>
      <c r="Q967" s="25"/>
      <c r="R967" s="25"/>
      <c r="S967" s="36" t="str">
        <f aca="false">IF(A967="","",YEAR(A967)+IF(AND(FYStart&gt;1,MONTH(A967)&gt;=FYStart),1,0))</f>
        <v/>
      </c>
      <c r="T967" s="36" t="str">
        <f aca="false">IF(A967="","",MOD(MONTH(A967)-FYStart,12)+1)</f>
        <v/>
      </c>
      <c r="U967" s="37" t="str">
        <f aca="false">IF(A967="","",TEXT(A967,"mmm"))</f>
        <v/>
      </c>
      <c r="V967" s="37" t="str">
        <f aca="false">IF(Q967="","",IFERROR(INDEX(Settings!$I$11:$I$15,MATCH(Q967,Settings!$H$11:$H$15,0)),"No"))</f>
        <v/>
      </c>
      <c r="W967" s="37" t="str">
        <f aca="false">IF(Q967="","",IFERROR(INDEX(Settings!$J$11:$J$15,MATCH(Q967,Settings!$H$11:$H$15,0)),"No"))</f>
        <v/>
      </c>
    </row>
    <row r="968" customFormat="false" ht="15" hidden="false" customHeight="false" outlineLevel="0" collapsed="false">
      <c r="A968" s="30"/>
      <c r="B968" s="25"/>
      <c r="C968" s="25"/>
      <c r="D968" s="25"/>
      <c r="E968" s="25"/>
      <c r="F968" s="25"/>
      <c r="G968" s="25"/>
      <c r="H968" s="31"/>
      <c r="I968" s="32"/>
      <c r="J968" s="33"/>
      <c r="K968" s="34" t="str">
        <f aca="false">IF(OR(H968="",I968=""),"",H968*I968*(1-N(J968)))</f>
        <v/>
      </c>
      <c r="L968" s="32"/>
      <c r="M968" s="34" t="str">
        <f aca="false">IF(OR(H968="",L968=""),"",H968*L968)</f>
        <v/>
      </c>
      <c r="N968" s="34" t="str">
        <f aca="false">IF(OR(K968="",M968=""),"",K968-M968)</f>
        <v/>
      </c>
      <c r="O968" s="35" t="str">
        <f aca="false">IF(OR(N968="",K968=""),"",IF(K968=0,"",N968/K968))</f>
        <v/>
      </c>
      <c r="P968" s="25"/>
      <c r="Q968" s="25"/>
      <c r="R968" s="25"/>
      <c r="S968" s="36" t="str">
        <f aca="false">IF(A968="","",YEAR(A968)+IF(AND(FYStart&gt;1,MONTH(A968)&gt;=FYStart),1,0))</f>
        <v/>
      </c>
      <c r="T968" s="36" t="str">
        <f aca="false">IF(A968="","",MOD(MONTH(A968)-FYStart,12)+1)</f>
        <v/>
      </c>
      <c r="U968" s="37" t="str">
        <f aca="false">IF(A968="","",TEXT(A968,"mmm"))</f>
        <v/>
      </c>
      <c r="V968" s="37" t="str">
        <f aca="false">IF(Q968="","",IFERROR(INDEX(Settings!$I$11:$I$15,MATCH(Q968,Settings!$H$11:$H$15,0)),"No"))</f>
        <v/>
      </c>
      <c r="W968" s="37" t="str">
        <f aca="false">IF(Q968="","",IFERROR(INDEX(Settings!$J$11:$J$15,MATCH(Q968,Settings!$H$11:$H$15,0)),"No"))</f>
        <v/>
      </c>
    </row>
    <row r="969" customFormat="false" ht="15" hidden="false" customHeight="false" outlineLevel="0" collapsed="false">
      <c r="A969" s="30"/>
      <c r="B969" s="25"/>
      <c r="C969" s="25"/>
      <c r="D969" s="25"/>
      <c r="E969" s="25"/>
      <c r="F969" s="25"/>
      <c r="G969" s="25"/>
      <c r="H969" s="31"/>
      <c r="I969" s="32"/>
      <c r="J969" s="33"/>
      <c r="K969" s="34" t="str">
        <f aca="false">IF(OR(H969="",I969=""),"",H969*I969*(1-N(J969)))</f>
        <v/>
      </c>
      <c r="L969" s="32"/>
      <c r="M969" s="34" t="str">
        <f aca="false">IF(OR(H969="",L969=""),"",H969*L969)</f>
        <v/>
      </c>
      <c r="N969" s="34" t="str">
        <f aca="false">IF(OR(K969="",M969=""),"",K969-M969)</f>
        <v/>
      </c>
      <c r="O969" s="35" t="str">
        <f aca="false">IF(OR(N969="",K969=""),"",IF(K969=0,"",N969/K969))</f>
        <v/>
      </c>
      <c r="P969" s="25"/>
      <c r="Q969" s="25"/>
      <c r="R969" s="25"/>
      <c r="S969" s="36" t="str">
        <f aca="false">IF(A969="","",YEAR(A969)+IF(AND(FYStart&gt;1,MONTH(A969)&gt;=FYStart),1,0))</f>
        <v/>
      </c>
      <c r="T969" s="36" t="str">
        <f aca="false">IF(A969="","",MOD(MONTH(A969)-FYStart,12)+1)</f>
        <v/>
      </c>
      <c r="U969" s="37" t="str">
        <f aca="false">IF(A969="","",TEXT(A969,"mmm"))</f>
        <v/>
      </c>
      <c r="V969" s="37" t="str">
        <f aca="false">IF(Q969="","",IFERROR(INDEX(Settings!$I$11:$I$15,MATCH(Q969,Settings!$H$11:$H$15,0)),"No"))</f>
        <v/>
      </c>
      <c r="W969" s="37" t="str">
        <f aca="false">IF(Q969="","",IFERROR(INDEX(Settings!$J$11:$J$15,MATCH(Q969,Settings!$H$11:$H$15,0)),"No"))</f>
        <v/>
      </c>
    </row>
    <row r="970" customFormat="false" ht="15" hidden="false" customHeight="false" outlineLevel="0" collapsed="false">
      <c r="A970" s="30"/>
      <c r="B970" s="25"/>
      <c r="C970" s="25"/>
      <c r="D970" s="25"/>
      <c r="E970" s="25"/>
      <c r="F970" s="25"/>
      <c r="G970" s="25"/>
      <c r="H970" s="31"/>
      <c r="I970" s="32"/>
      <c r="J970" s="33"/>
      <c r="K970" s="34" t="str">
        <f aca="false">IF(OR(H970="",I970=""),"",H970*I970*(1-N(J970)))</f>
        <v/>
      </c>
      <c r="L970" s="32"/>
      <c r="M970" s="34" t="str">
        <f aca="false">IF(OR(H970="",L970=""),"",H970*L970)</f>
        <v/>
      </c>
      <c r="N970" s="34" t="str">
        <f aca="false">IF(OR(K970="",M970=""),"",K970-M970)</f>
        <v/>
      </c>
      <c r="O970" s="35" t="str">
        <f aca="false">IF(OR(N970="",K970=""),"",IF(K970=0,"",N970/K970))</f>
        <v/>
      </c>
      <c r="P970" s="25"/>
      <c r="Q970" s="25"/>
      <c r="R970" s="25"/>
      <c r="S970" s="36" t="str">
        <f aca="false">IF(A970="","",YEAR(A970)+IF(AND(FYStart&gt;1,MONTH(A970)&gt;=FYStart),1,0))</f>
        <v/>
      </c>
      <c r="T970" s="36" t="str">
        <f aca="false">IF(A970="","",MOD(MONTH(A970)-FYStart,12)+1)</f>
        <v/>
      </c>
      <c r="U970" s="37" t="str">
        <f aca="false">IF(A970="","",TEXT(A970,"mmm"))</f>
        <v/>
      </c>
      <c r="V970" s="37" t="str">
        <f aca="false">IF(Q970="","",IFERROR(INDEX(Settings!$I$11:$I$15,MATCH(Q970,Settings!$H$11:$H$15,0)),"No"))</f>
        <v/>
      </c>
      <c r="W970" s="37" t="str">
        <f aca="false">IF(Q970="","",IFERROR(INDEX(Settings!$J$11:$J$15,MATCH(Q970,Settings!$H$11:$H$15,0)),"No"))</f>
        <v/>
      </c>
    </row>
    <row r="971" customFormat="false" ht="15" hidden="false" customHeight="false" outlineLevel="0" collapsed="false">
      <c r="A971" s="30"/>
      <c r="B971" s="25"/>
      <c r="C971" s="25"/>
      <c r="D971" s="25"/>
      <c r="E971" s="25"/>
      <c r="F971" s="25"/>
      <c r="G971" s="25"/>
      <c r="H971" s="31"/>
      <c r="I971" s="32"/>
      <c r="J971" s="33"/>
      <c r="K971" s="34" t="str">
        <f aca="false">IF(OR(H971="",I971=""),"",H971*I971*(1-N(J971)))</f>
        <v/>
      </c>
      <c r="L971" s="32"/>
      <c r="M971" s="34" t="str">
        <f aca="false">IF(OR(H971="",L971=""),"",H971*L971)</f>
        <v/>
      </c>
      <c r="N971" s="34" t="str">
        <f aca="false">IF(OR(K971="",M971=""),"",K971-M971)</f>
        <v/>
      </c>
      <c r="O971" s="35" t="str">
        <f aca="false">IF(OR(N971="",K971=""),"",IF(K971=0,"",N971/K971))</f>
        <v/>
      </c>
      <c r="P971" s="25"/>
      <c r="Q971" s="25"/>
      <c r="R971" s="25"/>
      <c r="S971" s="36" t="str">
        <f aca="false">IF(A971="","",YEAR(A971)+IF(AND(FYStart&gt;1,MONTH(A971)&gt;=FYStart),1,0))</f>
        <v/>
      </c>
      <c r="T971" s="36" t="str">
        <f aca="false">IF(A971="","",MOD(MONTH(A971)-FYStart,12)+1)</f>
        <v/>
      </c>
      <c r="U971" s="37" t="str">
        <f aca="false">IF(A971="","",TEXT(A971,"mmm"))</f>
        <v/>
      </c>
      <c r="V971" s="37" t="str">
        <f aca="false">IF(Q971="","",IFERROR(INDEX(Settings!$I$11:$I$15,MATCH(Q971,Settings!$H$11:$H$15,0)),"No"))</f>
        <v/>
      </c>
      <c r="W971" s="37" t="str">
        <f aca="false">IF(Q971="","",IFERROR(INDEX(Settings!$J$11:$J$15,MATCH(Q971,Settings!$H$11:$H$15,0)),"No"))</f>
        <v/>
      </c>
    </row>
    <row r="972" customFormat="false" ht="15" hidden="false" customHeight="false" outlineLevel="0" collapsed="false">
      <c r="A972" s="30"/>
      <c r="B972" s="25"/>
      <c r="C972" s="25"/>
      <c r="D972" s="25"/>
      <c r="E972" s="25"/>
      <c r="F972" s="25"/>
      <c r="G972" s="25"/>
      <c r="H972" s="31"/>
      <c r="I972" s="32"/>
      <c r="J972" s="33"/>
      <c r="K972" s="34" t="str">
        <f aca="false">IF(OR(H972="",I972=""),"",H972*I972*(1-N(J972)))</f>
        <v/>
      </c>
      <c r="L972" s="32"/>
      <c r="M972" s="34" t="str">
        <f aca="false">IF(OR(H972="",L972=""),"",H972*L972)</f>
        <v/>
      </c>
      <c r="N972" s="34" t="str">
        <f aca="false">IF(OR(K972="",M972=""),"",K972-M972)</f>
        <v/>
      </c>
      <c r="O972" s="35" t="str">
        <f aca="false">IF(OR(N972="",K972=""),"",IF(K972=0,"",N972/K972))</f>
        <v/>
      </c>
      <c r="P972" s="25"/>
      <c r="Q972" s="25"/>
      <c r="R972" s="25"/>
      <c r="S972" s="36" t="str">
        <f aca="false">IF(A972="","",YEAR(A972)+IF(AND(FYStart&gt;1,MONTH(A972)&gt;=FYStart),1,0))</f>
        <v/>
      </c>
      <c r="T972" s="36" t="str">
        <f aca="false">IF(A972="","",MOD(MONTH(A972)-FYStart,12)+1)</f>
        <v/>
      </c>
      <c r="U972" s="37" t="str">
        <f aca="false">IF(A972="","",TEXT(A972,"mmm"))</f>
        <v/>
      </c>
      <c r="V972" s="37" t="str">
        <f aca="false">IF(Q972="","",IFERROR(INDEX(Settings!$I$11:$I$15,MATCH(Q972,Settings!$H$11:$H$15,0)),"No"))</f>
        <v/>
      </c>
      <c r="W972" s="37" t="str">
        <f aca="false">IF(Q972="","",IFERROR(INDEX(Settings!$J$11:$J$15,MATCH(Q972,Settings!$H$11:$H$15,0)),"No"))</f>
        <v/>
      </c>
    </row>
    <row r="973" customFormat="false" ht="15" hidden="false" customHeight="false" outlineLevel="0" collapsed="false">
      <c r="A973" s="30"/>
      <c r="B973" s="25"/>
      <c r="C973" s="25"/>
      <c r="D973" s="25"/>
      <c r="E973" s="25"/>
      <c r="F973" s="25"/>
      <c r="G973" s="25"/>
      <c r="H973" s="31"/>
      <c r="I973" s="32"/>
      <c r="J973" s="33"/>
      <c r="K973" s="34" t="str">
        <f aca="false">IF(OR(H973="",I973=""),"",H973*I973*(1-N(J973)))</f>
        <v/>
      </c>
      <c r="L973" s="32"/>
      <c r="M973" s="34" t="str">
        <f aca="false">IF(OR(H973="",L973=""),"",H973*L973)</f>
        <v/>
      </c>
      <c r="N973" s="34" t="str">
        <f aca="false">IF(OR(K973="",M973=""),"",K973-M973)</f>
        <v/>
      </c>
      <c r="O973" s="35" t="str">
        <f aca="false">IF(OR(N973="",K973=""),"",IF(K973=0,"",N973/K973))</f>
        <v/>
      </c>
      <c r="P973" s="25"/>
      <c r="Q973" s="25"/>
      <c r="R973" s="25"/>
      <c r="S973" s="36" t="str">
        <f aca="false">IF(A973="","",YEAR(A973)+IF(AND(FYStart&gt;1,MONTH(A973)&gt;=FYStart),1,0))</f>
        <v/>
      </c>
      <c r="T973" s="36" t="str">
        <f aca="false">IF(A973="","",MOD(MONTH(A973)-FYStart,12)+1)</f>
        <v/>
      </c>
      <c r="U973" s="37" t="str">
        <f aca="false">IF(A973="","",TEXT(A973,"mmm"))</f>
        <v/>
      </c>
      <c r="V973" s="37" t="str">
        <f aca="false">IF(Q973="","",IFERROR(INDEX(Settings!$I$11:$I$15,MATCH(Q973,Settings!$H$11:$H$15,0)),"No"))</f>
        <v/>
      </c>
      <c r="W973" s="37" t="str">
        <f aca="false">IF(Q973="","",IFERROR(INDEX(Settings!$J$11:$J$15,MATCH(Q973,Settings!$H$11:$H$15,0)),"No"))</f>
        <v/>
      </c>
    </row>
    <row r="974" customFormat="false" ht="15" hidden="false" customHeight="false" outlineLevel="0" collapsed="false">
      <c r="A974" s="30"/>
      <c r="B974" s="25"/>
      <c r="C974" s="25"/>
      <c r="D974" s="25"/>
      <c r="E974" s="25"/>
      <c r="F974" s="25"/>
      <c r="G974" s="25"/>
      <c r="H974" s="31"/>
      <c r="I974" s="32"/>
      <c r="J974" s="33"/>
      <c r="K974" s="34" t="str">
        <f aca="false">IF(OR(H974="",I974=""),"",H974*I974*(1-N(J974)))</f>
        <v/>
      </c>
      <c r="L974" s="32"/>
      <c r="M974" s="34" t="str">
        <f aca="false">IF(OR(H974="",L974=""),"",H974*L974)</f>
        <v/>
      </c>
      <c r="N974" s="34" t="str">
        <f aca="false">IF(OR(K974="",M974=""),"",K974-M974)</f>
        <v/>
      </c>
      <c r="O974" s="35" t="str">
        <f aca="false">IF(OR(N974="",K974=""),"",IF(K974=0,"",N974/K974))</f>
        <v/>
      </c>
      <c r="P974" s="25"/>
      <c r="Q974" s="25"/>
      <c r="R974" s="25"/>
      <c r="S974" s="36" t="str">
        <f aca="false">IF(A974="","",YEAR(A974)+IF(AND(FYStart&gt;1,MONTH(A974)&gt;=FYStart),1,0))</f>
        <v/>
      </c>
      <c r="T974" s="36" t="str">
        <f aca="false">IF(A974="","",MOD(MONTH(A974)-FYStart,12)+1)</f>
        <v/>
      </c>
      <c r="U974" s="37" t="str">
        <f aca="false">IF(A974="","",TEXT(A974,"mmm"))</f>
        <v/>
      </c>
      <c r="V974" s="37" t="str">
        <f aca="false">IF(Q974="","",IFERROR(INDEX(Settings!$I$11:$I$15,MATCH(Q974,Settings!$H$11:$H$15,0)),"No"))</f>
        <v/>
      </c>
      <c r="W974" s="37" t="str">
        <f aca="false">IF(Q974="","",IFERROR(INDEX(Settings!$J$11:$J$15,MATCH(Q974,Settings!$H$11:$H$15,0)),"No"))</f>
        <v/>
      </c>
    </row>
    <row r="975" customFormat="false" ht="15" hidden="false" customHeight="false" outlineLevel="0" collapsed="false">
      <c r="A975" s="30"/>
      <c r="B975" s="25"/>
      <c r="C975" s="25"/>
      <c r="D975" s="25"/>
      <c r="E975" s="25"/>
      <c r="F975" s="25"/>
      <c r="G975" s="25"/>
      <c r="H975" s="31"/>
      <c r="I975" s="32"/>
      <c r="J975" s="33"/>
      <c r="K975" s="34" t="str">
        <f aca="false">IF(OR(H975="",I975=""),"",H975*I975*(1-N(J975)))</f>
        <v/>
      </c>
      <c r="L975" s="32"/>
      <c r="M975" s="34" t="str">
        <f aca="false">IF(OR(H975="",L975=""),"",H975*L975)</f>
        <v/>
      </c>
      <c r="N975" s="34" t="str">
        <f aca="false">IF(OR(K975="",M975=""),"",K975-M975)</f>
        <v/>
      </c>
      <c r="O975" s="35" t="str">
        <f aca="false">IF(OR(N975="",K975=""),"",IF(K975=0,"",N975/K975))</f>
        <v/>
      </c>
      <c r="P975" s="25"/>
      <c r="Q975" s="25"/>
      <c r="R975" s="25"/>
      <c r="S975" s="36" t="str">
        <f aca="false">IF(A975="","",YEAR(A975)+IF(AND(FYStart&gt;1,MONTH(A975)&gt;=FYStart),1,0))</f>
        <v/>
      </c>
      <c r="T975" s="36" t="str">
        <f aca="false">IF(A975="","",MOD(MONTH(A975)-FYStart,12)+1)</f>
        <v/>
      </c>
      <c r="U975" s="37" t="str">
        <f aca="false">IF(A975="","",TEXT(A975,"mmm"))</f>
        <v/>
      </c>
      <c r="V975" s="37" t="str">
        <f aca="false">IF(Q975="","",IFERROR(INDEX(Settings!$I$11:$I$15,MATCH(Q975,Settings!$H$11:$H$15,0)),"No"))</f>
        <v/>
      </c>
      <c r="W975" s="37" t="str">
        <f aca="false">IF(Q975="","",IFERROR(INDEX(Settings!$J$11:$J$15,MATCH(Q975,Settings!$H$11:$H$15,0)),"No"))</f>
        <v/>
      </c>
    </row>
    <row r="976" customFormat="false" ht="15" hidden="false" customHeight="false" outlineLevel="0" collapsed="false">
      <c r="A976" s="30"/>
      <c r="B976" s="25"/>
      <c r="C976" s="25"/>
      <c r="D976" s="25"/>
      <c r="E976" s="25"/>
      <c r="F976" s="25"/>
      <c r="G976" s="25"/>
      <c r="H976" s="31"/>
      <c r="I976" s="32"/>
      <c r="J976" s="33"/>
      <c r="K976" s="34" t="str">
        <f aca="false">IF(OR(H976="",I976=""),"",H976*I976*(1-N(J976)))</f>
        <v/>
      </c>
      <c r="L976" s="32"/>
      <c r="M976" s="34" t="str">
        <f aca="false">IF(OR(H976="",L976=""),"",H976*L976)</f>
        <v/>
      </c>
      <c r="N976" s="34" t="str">
        <f aca="false">IF(OR(K976="",M976=""),"",K976-M976)</f>
        <v/>
      </c>
      <c r="O976" s="35" t="str">
        <f aca="false">IF(OR(N976="",K976=""),"",IF(K976=0,"",N976/K976))</f>
        <v/>
      </c>
      <c r="P976" s="25"/>
      <c r="Q976" s="25"/>
      <c r="R976" s="25"/>
      <c r="S976" s="36" t="str">
        <f aca="false">IF(A976="","",YEAR(A976)+IF(AND(FYStart&gt;1,MONTH(A976)&gt;=FYStart),1,0))</f>
        <v/>
      </c>
      <c r="T976" s="36" t="str">
        <f aca="false">IF(A976="","",MOD(MONTH(A976)-FYStart,12)+1)</f>
        <v/>
      </c>
      <c r="U976" s="37" t="str">
        <f aca="false">IF(A976="","",TEXT(A976,"mmm"))</f>
        <v/>
      </c>
      <c r="V976" s="37" t="str">
        <f aca="false">IF(Q976="","",IFERROR(INDEX(Settings!$I$11:$I$15,MATCH(Q976,Settings!$H$11:$H$15,0)),"No"))</f>
        <v/>
      </c>
      <c r="W976" s="37" t="str">
        <f aca="false">IF(Q976="","",IFERROR(INDEX(Settings!$J$11:$J$15,MATCH(Q976,Settings!$H$11:$H$15,0)),"No"))</f>
        <v/>
      </c>
    </row>
    <row r="977" customFormat="false" ht="15" hidden="false" customHeight="false" outlineLevel="0" collapsed="false">
      <c r="A977" s="30"/>
      <c r="B977" s="25"/>
      <c r="C977" s="25"/>
      <c r="D977" s="25"/>
      <c r="E977" s="25"/>
      <c r="F977" s="25"/>
      <c r="G977" s="25"/>
      <c r="H977" s="31"/>
      <c r="I977" s="32"/>
      <c r="J977" s="33"/>
      <c r="K977" s="34" t="str">
        <f aca="false">IF(OR(H977="",I977=""),"",H977*I977*(1-N(J977)))</f>
        <v/>
      </c>
      <c r="L977" s="32"/>
      <c r="M977" s="34" t="str">
        <f aca="false">IF(OR(H977="",L977=""),"",H977*L977)</f>
        <v/>
      </c>
      <c r="N977" s="34" t="str">
        <f aca="false">IF(OR(K977="",M977=""),"",K977-M977)</f>
        <v/>
      </c>
      <c r="O977" s="35" t="str">
        <f aca="false">IF(OR(N977="",K977=""),"",IF(K977=0,"",N977/K977))</f>
        <v/>
      </c>
      <c r="P977" s="25"/>
      <c r="Q977" s="25"/>
      <c r="R977" s="25"/>
      <c r="S977" s="36" t="str">
        <f aca="false">IF(A977="","",YEAR(A977)+IF(AND(FYStart&gt;1,MONTH(A977)&gt;=FYStart),1,0))</f>
        <v/>
      </c>
      <c r="T977" s="36" t="str">
        <f aca="false">IF(A977="","",MOD(MONTH(A977)-FYStart,12)+1)</f>
        <v/>
      </c>
      <c r="U977" s="37" t="str">
        <f aca="false">IF(A977="","",TEXT(A977,"mmm"))</f>
        <v/>
      </c>
      <c r="V977" s="37" t="str">
        <f aca="false">IF(Q977="","",IFERROR(INDEX(Settings!$I$11:$I$15,MATCH(Q977,Settings!$H$11:$H$15,0)),"No"))</f>
        <v/>
      </c>
      <c r="W977" s="37" t="str">
        <f aca="false">IF(Q977="","",IFERROR(INDEX(Settings!$J$11:$J$15,MATCH(Q977,Settings!$H$11:$H$15,0)),"No"))</f>
        <v/>
      </c>
    </row>
    <row r="978" customFormat="false" ht="15" hidden="false" customHeight="false" outlineLevel="0" collapsed="false">
      <c r="A978" s="30"/>
      <c r="B978" s="25"/>
      <c r="C978" s="25"/>
      <c r="D978" s="25"/>
      <c r="E978" s="25"/>
      <c r="F978" s="25"/>
      <c r="G978" s="25"/>
      <c r="H978" s="31"/>
      <c r="I978" s="32"/>
      <c r="J978" s="33"/>
      <c r="K978" s="34" t="str">
        <f aca="false">IF(OR(H978="",I978=""),"",H978*I978*(1-N(J978)))</f>
        <v/>
      </c>
      <c r="L978" s="32"/>
      <c r="M978" s="34" t="str">
        <f aca="false">IF(OR(H978="",L978=""),"",H978*L978)</f>
        <v/>
      </c>
      <c r="N978" s="34" t="str">
        <f aca="false">IF(OR(K978="",M978=""),"",K978-M978)</f>
        <v/>
      </c>
      <c r="O978" s="35" t="str">
        <f aca="false">IF(OR(N978="",K978=""),"",IF(K978=0,"",N978/K978))</f>
        <v/>
      </c>
      <c r="P978" s="25"/>
      <c r="Q978" s="25"/>
      <c r="R978" s="25"/>
      <c r="S978" s="36" t="str">
        <f aca="false">IF(A978="","",YEAR(A978)+IF(AND(FYStart&gt;1,MONTH(A978)&gt;=FYStart),1,0))</f>
        <v/>
      </c>
      <c r="T978" s="36" t="str">
        <f aca="false">IF(A978="","",MOD(MONTH(A978)-FYStart,12)+1)</f>
        <v/>
      </c>
      <c r="U978" s="37" t="str">
        <f aca="false">IF(A978="","",TEXT(A978,"mmm"))</f>
        <v/>
      </c>
      <c r="V978" s="37" t="str">
        <f aca="false">IF(Q978="","",IFERROR(INDEX(Settings!$I$11:$I$15,MATCH(Q978,Settings!$H$11:$H$15,0)),"No"))</f>
        <v/>
      </c>
      <c r="W978" s="37" t="str">
        <f aca="false">IF(Q978="","",IFERROR(INDEX(Settings!$J$11:$J$15,MATCH(Q978,Settings!$H$11:$H$15,0)),"No"))</f>
        <v/>
      </c>
    </row>
    <row r="979" customFormat="false" ht="15" hidden="false" customHeight="false" outlineLevel="0" collapsed="false">
      <c r="A979" s="30"/>
      <c r="B979" s="25"/>
      <c r="C979" s="25"/>
      <c r="D979" s="25"/>
      <c r="E979" s="25"/>
      <c r="F979" s="25"/>
      <c r="G979" s="25"/>
      <c r="H979" s="31"/>
      <c r="I979" s="32"/>
      <c r="J979" s="33"/>
      <c r="K979" s="34" t="str">
        <f aca="false">IF(OR(H979="",I979=""),"",H979*I979*(1-N(J979)))</f>
        <v/>
      </c>
      <c r="L979" s="32"/>
      <c r="M979" s="34" t="str">
        <f aca="false">IF(OR(H979="",L979=""),"",H979*L979)</f>
        <v/>
      </c>
      <c r="N979" s="34" t="str">
        <f aca="false">IF(OR(K979="",M979=""),"",K979-M979)</f>
        <v/>
      </c>
      <c r="O979" s="35" t="str">
        <f aca="false">IF(OR(N979="",K979=""),"",IF(K979=0,"",N979/K979))</f>
        <v/>
      </c>
      <c r="P979" s="25"/>
      <c r="Q979" s="25"/>
      <c r="R979" s="25"/>
      <c r="S979" s="36" t="str">
        <f aca="false">IF(A979="","",YEAR(A979)+IF(AND(FYStart&gt;1,MONTH(A979)&gt;=FYStart),1,0))</f>
        <v/>
      </c>
      <c r="T979" s="36" t="str">
        <f aca="false">IF(A979="","",MOD(MONTH(A979)-FYStart,12)+1)</f>
        <v/>
      </c>
      <c r="U979" s="37" t="str">
        <f aca="false">IF(A979="","",TEXT(A979,"mmm"))</f>
        <v/>
      </c>
      <c r="V979" s="37" t="str">
        <f aca="false">IF(Q979="","",IFERROR(INDEX(Settings!$I$11:$I$15,MATCH(Q979,Settings!$H$11:$H$15,0)),"No"))</f>
        <v/>
      </c>
      <c r="W979" s="37" t="str">
        <f aca="false">IF(Q979="","",IFERROR(INDEX(Settings!$J$11:$J$15,MATCH(Q979,Settings!$H$11:$H$15,0)),"No"))</f>
        <v/>
      </c>
    </row>
    <row r="980" customFormat="false" ht="15" hidden="false" customHeight="false" outlineLevel="0" collapsed="false">
      <c r="A980" s="30"/>
      <c r="B980" s="25"/>
      <c r="C980" s="25"/>
      <c r="D980" s="25"/>
      <c r="E980" s="25"/>
      <c r="F980" s="25"/>
      <c r="G980" s="25"/>
      <c r="H980" s="31"/>
      <c r="I980" s="32"/>
      <c r="J980" s="33"/>
      <c r="K980" s="34" t="str">
        <f aca="false">IF(OR(H980="",I980=""),"",H980*I980*(1-N(J980)))</f>
        <v/>
      </c>
      <c r="L980" s="32"/>
      <c r="M980" s="34" t="str">
        <f aca="false">IF(OR(H980="",L980=""),"",H980*L980)</f>
        <v/>
      </c>
      <c r="N980" s="34" t="str">
        <f aca="false">IF(OR(K980="",M980=""),"",K980-M980)</f>
        <v/>
      </c>
      <c r="O980" s="35" t="str">
        <f aca="false">IF(OR(N980="",K980=""),"",IF(K980=0,"",N980/K980))</f>
        <v/>
      </c>
      <c r="P980" s="25"/>
      <c r="Q980" s="25"/>
      <c r="R980" s="25"/>
      <c r="S980" s="36" t="str">
        <f aca="false">IF(A980="","",YEAR(A980)+IF(AND(FYStart&gt;1,MONTH(A980)&gt;=FYStart),1,0))</f>
        <v/>
      </c>
      <c r="T980" s="36" t="str">
        <f aca="false">IF(A980="","",MOD(MONTH(A980)-FYStart,12)+1)</f>
        <v/>
      </c>
      <c r="U980" s="37" t="str">
        <f aca="false">IF(A980="","",TEXT(A980,"mmm"))</f>
        <v/>
      </c>
      <c r="V980" s="37" t="str">
        <f aca="false">IF(Q980="","",IFERROR(INDEX(Settings!$I$11:$I$15,MATCH(Q980,Settings!$H$11:$H$15,0)),"No"))</f>
        <v/>
      </c>
      <c r="W980" s="37" t="str">
        <f aca="false">IF(Q980="","",IFERROR(INDEX(Settings!$J$11:$J$15,MATCH(Q980,Settings!$H$11:$H$15,0)),"No"))</f>
        <v/>
      </c>
    </row>
    <row r="981" customFormat="false" ht="15" hidden="false" customHeight="false" outlineLevel="0" collapsed="false">
      <c r="A981" s="30"/>
      <c r="B981" s="25"/>
      <c r="C981" s="25"/>
      <c r="D981" s="25"/>
      <c r="E981" s="25"/>
      <c r="F981" s="25"/>
      <c r="G981" s="25"/>
      <c r="H981" s="31"/>
      <c r="I981" s="32"/>
      <c r="J981" s="33"/>
      <c r="K981" s="34" t="str">
        <f aca="false">IF(OR(H981="",I981=""),"",H981*I981*(1-N(J981)))</f>
        <v/>
      </c>
      <c r="L981" s="32"/>
      <c r="M981" s="34" t="str">
        <f aca="false">IF(OR(H981="",L981=""),"",H981*L981)</f>
        <v/>
      </c>
      <c r="N981" s="34" t="str">
        <f aca="false">IF(OR(K981="",M981=""),"",K981-M981)</f>
        <v/>
      </c>
      <c r="O981" s="35" t="str">
        <f aca="false">IF(OR(N981="",K981=""),"",IF(K981=0,"",N981/K981))</f>
        <v/>
      </c>
      <c r="P981" s="25"/>
      <c r="Q981" s="25"/>
      <c r="R981" s="25"/>
      <c r="S981" s="36" t="str">
        <f aca="false">IF(A981="","",YEAR(A981)+IF(AND(FYStart&gt;1,MONTH(A981)&gt;=FYStart),1,0))</f>
        <v/>
      </c>
      <c r="T981" s="36" t="str">
        <f aca="false">IF(A981="","",MOD(MONTH(A981)-FYStart,12)+1)</f>
        <v/>
      </c>
      <c r="U981" s="37" t="str">
        <f aca="false">IF(A981="","",TEXT(A981,"mmm"))</f>
        <v/>
      </c>
      <c r="V981" s="37" t="str">
        <f aca="false">IF(Q981="","",IFERROR(INDEX(Settings!$I$11:$I$15,MATCH(Q981,Settings!$H$11:$H$15,0)),"No"))</f>
        <v/>
      </c>
      <c r="W981" s="37" t="str">
        <f aca="false">IF(Q981="","",IFERROR(INDEX(Settings!$J$11:$J$15,MATCH(Q981,Settings!$H$11:$H$15,0)),"No"))</f>
        <v/>
      </c>
    </row>
    <row r="982" customFormat="false" ht="15" hidden="false" customHeight="false" outlineLevel="0" collapsed="false">
      <c r="A982" s="30"/>
      <c r="B982" s="25"/>
      <c r="C982" s="25"/>
      <c r="D982" s="25"/>
      <c r="E982" s="25"/>
      <c r="F982" s="25"/>
      <c r="G982" s="25"/>
      <c r="H982" s="31"/>
      <c r="I982" s="32"/>
      <c r="J982" s="33"/>
      <c r="K982" s="34" t="str">
        <f aca="false">IF(OR(H982="",I982=""),"",H982*I982*(1-N(J982)))</f>
        <v/>
      </c>
      <c r="L982" s="32"/>
      <c r="M982" s="34" t="str">
        <f aca="false">IF(OR(H982="",L982=""),"",H982*L982)</f>
        <v/>
      </c>
      <c r="N982" s="34" t="str">
        <f aca="false">IF(OR(K982="",M982=""),"",K982-M982)</f>
        <v/>
      </c>
      <c r="O982" s="35" t="str">
        <f aca="false">IF(OR(N982="",K982=""),"",IF(K982=0,"",N982/K982))</f>
        <v/>
      </c>
      <c r="P982" s="25"/>
      <c r="Q982" s="25"/>
      <c r="R982" s="25"/>
      <c r="S982" s="36" t="str">
        <f aca="false">IF(A982="","",YEAR(A982)+IF(AND(FYStart&gt;1,MONTH(A982)&gt;=FYStart),1,0))</f>
        <v/>
      </c>
      <c r="T982" s="36" t="str">
        <f aca="false">IF(A982="","",MOD(MONTH(A982)-FYStart,12)+1)</f>
        <v/>
      </c>
      <c r="U982" s="37" t="str">
        <f aca="false">IF(A982="","",TEXT(A982,"mmm"))</f>
        <v/>
      </c>
      <c r="V982" s="37" t="str">
        <f aca="false">IF(Q982="","",IFERROR(INDEX(Settings!$I$11:$I$15,MATCH(Q982,Settings!$H$11:$H$15,0)),"No"))</f>
        <v/>
      </c>
      <c r="W982" s="37" t="str">
        <f aca="false">IF(Q982="","",IFERROR(INDEX(Settings!$J$11:$J$15,MATCH(Q982,Settings!$H$11:$H$15,0)),"No"))</f>
        <v/>
      </c>
    </row>
    <row r="983" customFormat="false" ht="15" hidden="false" customHeight="false" outlineLevel="0" collapsed="false">
      <c r="A983" s="30"/>
      <c r="B983" s="25"/>
      <c r="C983" s="25"/>
      <c r="D983" s="25"/>
      <c r="E983" s="25"/>
      <c r="F983" s="25"/>
      <c r="G983" s="25"/>
      <c r="H983" s="31"/>
      <c r="I983" s="32"/>
      <c r="J983" s="33"/>
      <c r="K983" s="34" t="str">
        <f aca="false">IF(OR(H983="",I983=""),"",H983*I983*(1-N(J983)))</f>
        <v/>
      </c>
      <c r="L983" s="32"/>
      <c r="M983" s="34" t="str">
        <f aca="false">IF(OR(H983="",L983=""),"",H983*L983)</f>
        <v/>
      </c>
      <c r="N983" s="34" t="str">
        <f aca="false">IF(OR(K983="",M983=""),"",K983-M983)</f>
        <v/>
      </c>
      <c r="O983" s="35" t="str">
        <f aca="false">IF(OR(N983="",K983=""),"",IF(K983=0,"",N983/K983))</f>
        <v/>
      </c>
      <c r="P983" s="25"/>
      <c r="Q983" s="25"/>
      <c r="R983" s="25"/>
      <c r="S983" s="36" t="str">
        <f aca="false">IF(A983="","",YEAR(A983)+IF(AND(FYStart&gt;1,MONTH(A983)&gt;=FYStart),1,0))</f>
        <v/>
      </c>
      <c r="T983" s="36" t="str">
        <f aca="false">IF(A983="","",MOD(MONTH(A983)-FYStart,12)+1)</f>
        <v/>
      </c>
      <c r="U983" s="37" t="str">
        <f aca="false">IF(A983="","",TEXT(A983,"mmm"))</f>
        <v/>
      </c>
      <c r="V983" s="37" t="str">
        <f aca="false">IF(Q983="","",IFERROR(INDEX(Settings!$I$11:$I$15,MATCH(Q983,Settings!$H$11:$H$15,0)),"No"))</f>
        <v/>
      </c>
      <c r="W983" s="37" t="str">
        <f aca="false">IF(Q983="","",IFERROR(INDEX(Settings!$J$11:$J$15,MATCH(Q983,Settings!$H$11:$H$15,0)),"No"))</f>
        <v/>
      </c>
    </row>
    <row r="984" customFormat="false" ht="15" hidden="false" customHeight="false" outlineLevel="0" collapsed="false">
      <c r="A984" s="30"/>
      <c r="B984" s="25"/>
      <c r="C984" s="25"/>
      <c r="D984" s="25"/>
      <c r="E984" s="25"/>
      <c r="F984" s="25"/>
      <c r="G984" s="25"/>
      <c r="H984" s="31"/>
      <c r="I984" s="32"/>
      <c r="J984" s="33"/>
      <c r="K984" s="34" t="str">
        <f aca="false">IF(OR(H984="",I984=""),"",H984*I984*(1-N(J984)))</f>
        <v/>
      </c>
      <c r="L984" s="32"/>
      <c r="M984" s="34" t="str">
        <f aca="false">IF(OR(H984="",L984=""),"",H984*L984)</f>
        <v/>
      </c>
      <c r="N984" s="34" t="str">
        <f aca="false">IF(OR(K984="",M984=""),"",K984-M984)</f>
        <v/>
      </c>
      <c r="O984" s="35" t="str">
        <f aca="false">IF(OR(N984="",K984=""),"",IF(K984=0,"",N984/K984))</f>
        <v/>
      </c>
      <c r="P984" s="25"/>
      <c r="Q984" s="25"/>
      <c r="R984" s="25"/>
      <c r="S984" s="36" t="str">
        <f aca="false">IF(A984="","",YEAR(A984)+IF(AND(FYStart&gt;1,MONTH(A984)&gt;=FYStart),1,0))</f>
        <v/>
      </c>
      <c r="T984" s="36" t="str">
        <f aca="false">IF(A984="","",MOD(MONTH(A984)-FYStart,12)+1)</f>
        <v/>
      </c>
      <c r="U984" s="37" t="str">
        <f aca="false">IF(A984="","",TEXT(A984,"mmm"))</f>
        <v/>
      </c>
      <c r="V984" s="37" t="str">
        <f aca="false">IF(Q984="","",IFERROR(INDEX(Settings!$I$11:$I$15,MATCH(Q984,Settings!$H$11:$H$15,0)),"No"))</f>
        <v/>
      </c>
      <c r="W984" s="37" t="str">
        <f aca="false">IF(Q984="","",IFERROR(INDEX(Settings!$J$11:$J$15,MATCH(Q984,Settings!$H$11:$H$15,0)),"No"))</f>
        <v/>
      </c>
    </row>
    <row r="985" customFormat="false" ht="15" hidden="false" customHeight="false" outlineLevel="0" collapsed="false">
      <c r="A985" s="30"/>
      <c r="B985" s="25"/>
      <c r="C985" s="25"/>
      <c r="D985" s="25"/>
      <c r="E985" s="25"/>
      <c r="F985" s="25"/>
      <c r="G985" s="25"/>
      <c r="H985" s="31"/>
      <c r="I985" s="32"/>
      <c r="J985" s="33"/>
      <c r="K985" s="34" t="str">
        <f aca="false">IF(OR(H985="",I985=""),"",H985*I985*(1-N(J985)))</f>
        <v/>
      </c>
      <c r="L985" s="32"/>
      <c r="M985" s="34" t="str">
        <f aca="false">IF(OR(H985="",L985=""),"",H985*L985)</f>
        <v/>
      </c>
      <c r="N985" s="34" t="str">
        <f aca="false">IF(OR(K985="",M985=""),"",K985-M985)</f>
        <v/>
      </c>
      <c r="O985" s="35" t="str">
        <f aca="false">IF(OR(N985="",K985=""),"",IF(K985=0,"",N985/K985))</f>
        <v/>
      </c>
      <c r="P985" s="25"/>
      <c r="Q985" s="25"/>
      <c r="R985" s="25"/>
      <c r="S985" s="36" t="str">
        <f aca="false">IF(A985="","",YEAR(A985)+IF(AND(FYStart&gt;1,MONTH(A985)&gt;=FYStart),1,0))</f>
        <v/>
      </c>
      <c r="T985" s="36" t="str">
        <f aca="false">IF(A985="","",MOD(MONTH(A985)-FYStart,12)+1)</f>
        <v/>
      </c>
      <c r="U985" s="37" t="str">
        <f aca="false">IF(A985="","",TEXT(A985,"mmm"))</f>
        <v/>
      </c>
      <c r="V985" s="37" t="str">
        <f aca="false">IF(Q985="","",IFERROR(INDEX(Settings!$I$11:$I$15,MATCH(Q985,Settings!$H$11:$H$15,0)),"No"))</f>
        <v/>
      </c>
      <c r="W985" s="37" t="str">
        <f aca="false">IF(Q985="","",IFERROR(INDEX(Settings!$J$11:$J$15,MATCH(Q985,Settings!$H$11:$H$15,0)),"No"))</f>
        <v/>
      </c>
    </row>
    <row r="986" customFormat="false" ht="15" hidden="false" customHeight="false" outlineLevel="0" collapsed="false">
      <c r="A986" s="30"/>
      <c r="B986" s="25"/>
      <c r="C986" s="25"/>
      <c r="D986" s="25"/>
      <c r="E986" s="25"/>
      <c r="F986" s="25"/>
      <c r="G986" s="25"/>
      <c r="H986" s="31"/>
      <c r="I986" s="32"/>
      <c r="J986" s="33"/>
      <c r="K986" s="34" t="str">
        <f aca="false">IF(OR(H986="",I986=""),"",H986*I986*(1-N(J986)))</f>
        <v/>
      </c>
      <c r="L986" s="32"/>
      <c r="M986" s="34" t="str">
        <f aca="false">IF(OR(H986="",L986=""),"",H986*L986)</f>
        <v/>
      </c>
      <c r="N986" s="34" t="str">
        <f aca="false">IF(OR(K986="",M986=""),"",K986-M986)</f>
        <v/>
      </c>
      <c r="O986" s="35" t="str">
        <f aca="false">IF(OR(N986="",K986=""),"",IF(K986=0,"",N986/K986))</f>
        <v/>
      </c>
      <c r="P986" s="25"/>
      <c r="Q986" s="25"/>
      <c r="R986" s="25"/>
      <c r="S986" s="36" t="str">
        <f aca="false">IF(A986="","",YEAR(A986)+IF(AND(FYStart&gt;1,MONTH(A986)&gt;=FYStart),1,0))</f>
        <v/>
      </c>
      <c r="T986" s="36" t="str">
        <f aca="false">IF(A986="","",MOD(MONTH(A986)-FYStart,12)+1)</f>
        <v/>
      </c>
      <c r="U986" s="37" t="str">
        <f aca="false">IF(A986="","",TEXT(A986,"mmm"))</f>
        <v/>
      </c>
      <c r="V986" s="37" t="str">
        <f aca="false">IF(Q986="","",IFERROR(INDEX(Settings!$I$11:$I$15,MATCH(Q986,Settings!$H$11:$H$15,0)),"No"))</f>
        <v/>
      </c>
      <c r="W986" s="37" t="str">
        <f aca="false">IF(Q986="","",IFERROR(INDEX(Settings!$J$11:$J$15,MATCH(Q986,Settings!$H$11:$H$15,0)),"No"))</f>
        <v/>
      </c>
    </row>
    <row r="987" customFormat="false" ht="15" hidden="false" customHeight="false" outlineLevel="0" collapsed="false">
      <c r="A987" s="30"/>
      <c r="B987" s="25"/>
      <c r="C987" s="25"/>
      <c r="D987" s="25"/>
      <c r="E987" s="25"/>
      <c r="F987" s="25"/>
      <c r="G987" s="25"/>
      <c r="H987" s="31"/>
      <c r="I987" s="32"/>
      <c r="J987" s="33"/>
      <c r="K987" s="34" t="str">
        <f aca="false">IF(OR(H987="",I987=""),"",H987*I987*(1-N(J987)))</f>
        <v/>
      </c>
      <c r="L987" s="32"/>
      <c r="M987" s="34" t="str">
        <f aca="false">IF(OR(H987="",L987=""),"",H987*L987)</f>
        <v/>
      </c>
      <c r="N987" s="34" t="str">
        <f aca="false">IF(OR(K987="",M987=""),"",K987-M987)</f>
        <v/>
      </c>
      <c r="O987" s="35" t="str">
        <f aca="false">IF(OR(N987="",K987=""),"",IF(K987=0,"",N987/K987))</f>
        <v/>
      </c>
      <c r="P987" s="25"/>
      <c r="Q987" s="25"/>
      <c r="R987" s="25"/>
      <c r="S987" s="36" t="str">
        <f aca="false">IF(A987="","",YEAR(A987)+IF(AND(FYStart&gt;1,MONTH(A987)&gt;=FYStart),1,0))</f>
        <v/>
      </c>
      <c r="T987" s="36" t="str">
        <f aca="false">IF(A987="","",MOD(MONTH(A987)-FYStart,12)+1)</f>
        <v/>
      </c>
      <c r="U987" s="37" t="str">
        <f aca="false">IF(A987="","",TEXT(A987,"mmm"))</f>
        <v/>
      </c>
      <c r="V987" s="37" t="str">
        <f aca="false">IF(Q987="","",IFERROR(INDEX(Settings!$I$11:$I$15,MATCH(Q987,Settings!$H$11:$H$15,0)),"No"))</f>
        <v/>
      </c>
      <c r="W987" s="37" t="str">
        <f aca="false">IF(Q987="","",IFERROR(INDEX(Settings!$J$11:$J$15,MATCH(Q987,Settings!$H$11:$H$15,0)),"No"))</f>
        <v/>
      </c>
    </row>
    <row r="988" customFormat="false" ht="15" hidden="false" customHeight="false" outlineLevel="0" collapsed="false">
      <c r="A988" s="30"/>
      <c r="B988" s="25"/>
      <c r="C988" s="25"/>
      <c r="D988" s="25"/>
      <c r="E988" s="25"/>
      <c r="F988" s="25"/>
      <c r="G988" s="25"/>
      <c r="H988" s="31"/>
      <c r="I988" s="32"/>
      <c r="J988" s="33"/>
      <c r="K988" s="34" t="str">
        <f aca="false">IF(OR(H988="",I988=""),"",H988*I988*(1-N(J988)))</f>
        <v/>
      </c>
      <c r="L988" s="32"/>
      <c r="M988" s="34" t="str">
        <f aca="false">IF(OR(H988="",L988=""),"",H988*L988)</f>
        <v/>
      </c>
      <c r="N988" s="34" t="str">
        <f aca="false">IF(OR(K988="",M988=""),"",K988-M988)</f>
        <v/>
      </c>
      <c r="O988" s="35" t="str">
        <f aca="false">IF(OR(N988="",K988=""),"",IF(K988=0,"",N988/K988))</f>
        <v/>
      </c>
      <c r="P988" s="25"/>
      <c r="Q988" s="25"/>
      <c r="R988" s="25"/>
      <c r="S988" s="36" t="str">
        <f aca="false">IF(A988="","",YEAR(A988)+IF(AND(FYStart&gt;1,MONTH(A988)&gt;=FYStart),1,0))</f>
        <v/>
      </c>
      <c r="T988" s="36" t="str">
        <f aca="false">IF(A988="","",MOD(MONTH(A988)-FYStart,12)+1)</f>
        <v/>
      </c>
      <c r="U988" s="37" t="str">
        <f aca="false">IF(A988="","",TEXT(A988,"mmm"))</f>
        <v/>
      </c>
      <c r="V988" s="37" t="str">
        <f aca="false">IF(Q988="","",IFERROR(INDEX(Settings!$I$11:$I$15,MATCH(Q988,Settings!$H$11:$H$15,0)),"No"))</f>
        <v/>
      </c>
      <c r="W988" s="37" t="str">
        <f aca="false">IF(Q988="","",IFERROR(INDEX(Settings!$J$11:$J$15,MATCH(Q988,Settings!$H$11:$H$15,0)),"No"))</f>
        <v/>
      </c>
    </row>
    <row r="989" customFormat="false" ht="15" hidden="false" customHeight="false" outlineLevel="0" collapsed="false">
      <c r="A989" s="30"/>
      <c r="B989" s="25"/>
      <c r="C989" s="25"/>
      <c r="D989" s="25"/>
      <c r="E989" s="25"/>
      <c r="F989" s="25"/>
      <c r="G989" s="25"/>
      <c r="H989" s="31"/>
      <c r="I989" s="32"/>
      <c r="J989" s="33"/>
      <c r="K989" s="34" t="str">
        <f aca="false">IF(OR(H989="",I989=""),"",H989*I989*(1-N(J989)))</f>
        <v/>
      </c>
      <c r="L989" s="32"/>
      <c r="M989" s="34" t="str">
        <f aca="false">IF(OR(H989="",L989=""),"",H989*L989)</f>
        <v/>
      </c>
      <c r="N989" s="34" t="str">
        <f aca="false">IF(OR(K989="",M989=""),"",K989-M989)</f>
        <v/>
      </c>
      <c r="O989" s="35" t="str">
        <f aca="false">IF(OR(N989="",K989=""),"",IF(K989=0,"",N989/K989))</f>
        <v/>
      </c>
      <c r="P989" s="25"/>
      <c r="Q989" s="25"/>
      <c r="R989" s="25"/>
      <c r="S989" s="36" t="str">
        <f aca="false">IF(A989="","",YEAR(A989)+IF(AND(FYStart&gt;1,MONTH(A989)&gt;=FYStart),1,0))</f>
        <v/>
      </c>
      <c r="T989" s="36" t="str">
        <f aca="false">IF(A989="","",MOD(MONTH(A989)-FYStart,12)+1)</f>
        <v/>
      </c>
      <c r="U989" s="37" t="str">
        <f aca="false">IF(A989="","",TEXT(A989,"mmm"))</f>
        <v/>
      </c>
      <c r="V989" s="37" t="str">
        <f aca="false">IF(Q989="","",IFERROR(INDEX(Settings!$I$11:$I$15,MATCH(Q989,Settings!$H$11:$H$15,0)),"No"))</f>
        <v/>
      </c>
      <c r="W989" s="37" t="str">
        <f aca="false">IF(Q989="","",IFERROR(INDEX(Settings!$J$11:$J$15,MATCH(Q989,Settings!$H$11:$H$15,0)),"No"))</f>
        <v/>
      </c>
    </row>
    <row r="990" customFormat="false" ht="15" hidden="false" customHeight="false" outlineLevel="0" collapsed="false">
      <c r="A990" s="30"/>
      <c r="B990" s="25"/>
      <c r="C990" s="25"/>
      <c r="D990" s="25"/>
      <c r="E990" s="25"/>
      <c r="F990" s="25"/>
      <c r="G990" s="25"/>
      <c r="H990" s="31"/>
      <c r="I990" s="32"/>
      <c r="J990" s="33"/>
      <c r="K990" s="34" t="str">
        <f aca="false">IF(OR(H990="",I990=""),"",H990*I990*(1-N(J990)))</f>
        <v/>
      </c>
      <c r="L990" s="32"/>
      <c r="M990" s="34" t="str">
        <f aca="false">IF(OR(H990="",L990=""),"",H990*L990)</f>
        <v/>
      </c>
      <c r="N990" s="34" t="str">
        <f aca="false">IF(OR(K990="",M990=""),"",K990-M990)</f>
        <v/>
      </c>
      <c r="O990" s="35" t="str">
        <f aca="false">IF(OR(N990="",K990=""),"",IF(K990=0,"",N990/K990))</f>
        <v/>
      </c>
      <c r="P990" s="25"/>
      <c r="Q990" s="25"/>
      <c r="R990" s="25"/>
      <c r="S990" s="36" t="str">
        <f aca="false">IF(A990="","",YEAR(A990)+IF(AND(FYStart&gt;1,MONTH(A990)&gt;=FYStart),1,0))</f>
        <v/>
      </c>
      <c r="T990" s="36" t="str">
        <f aca="false">IF(A990="","",MOD(MONTH(A990)-FYStart,12)+1)</f>
        <v/>
      </c>
      <c r="U990" s="37" t="str">
        <f aca="false">IF(A990="","",TEXT(A990,"mmm"))</f>
        <v/>
      </c>
      <c r="V990" s="37" t="str">
        <f aca="false">IF(Q990="","",IFERROR(INDEX(Settings!$I$11:$I$15,MATCH(Q990,Settings!$H$11:$H$15,0)),"No"))</f>
        <v/>
      </c>
      <c r="W990" s="37" t="str">
        <f aca="false">IF(Q990="","",IFERROR(INDEX(Settings!$J$11:$J$15,MATCH(Q990,Settings!$H$11:$H$15,0)),"No"))</f>
        <v/>
      </c>
    </row>
    <row r="991" customFormat="false" ht="15" hidden="false" customHeight="false" outlineLevel="0" collapsed="false">
      <c r="A991" s="30"/>
      <c r="B991" s="25"/>
      <c r="C991" s="25"/>
      <c r="D991" s="25"/>
      <c r="E991" s="25"/>
      <c r="F991" s="25"/>
      <c r="G991" s="25"/>
      <c r="H991" s="31"/>
      <c r="I991" s="32"/>
      <c r="J991" s="33"/>
      <c r="K991" s="34" t="str">
        <f aca="false">IF(OR(H991="",I991=""),"",H991*I991*(1-N(J991)))</f>
        <v/>
      </c>
      <c r="L991" s="32"/>
      <c r="M991" s="34" t="str">
        <f aca="false">IF(OR(H991="",L991=""),"",H991*L991)</f>
        <v/>
      </c>
      <c r="N991" s="34" t="str">
        <f aca="false">IF(OR(K991="",M991=""),"",K991-M991)</f>
        <v/>
      </c>
      <c r="O991" s="35" t="str">
        <f aca="false">IF(OR(N991="",K991=""),"",IF(K991=0,"",N991/K991))</f>
        <v/>
      </c>
      <c r="P991" s="25"/>
      <c r="Q991" s="25"/>
      <c r="R991" s="25"/>
      <c r="S991" s="36" t="str">
        <f aca="false">IF(A991="","",YEAR(A991)+IF(AND(FYStart&gt;1,MONTH(A991)&gt;=FYStart),1,0))</f>
        <v/>
      </c>
      <c r="T991" s="36" t="str">
        <f aca="false">IF(A991="","",MOD(MONTH(A991)-FYStart,12)+1)</f>
        <v/>
      </c>
      <c r="U991" s="37" t="str">
        <f aca="false">IF(A991="","",TEXT(A991,"mmm"))</f>
        <v/>
      </c>
      <c r="V991" s="37" t="str">
        <f aca="false">IF(Q991="","",IFERROR(INDEX(Settings!$I$11:$I$15,MATCH(Q991,Settings!$H$11:$H$15,0)),"No"))</f>
        <v/>
      </c>
      <c r="W991" s="37" t="str">
        <f aca="false">IF(Q991="","",IFERROR(INDEX(Settings!$J$11:$J$15,MATCH(Q991,Settings!$H$11:$H$15,0)),"No"))</f>
        <v/>
      </c>
    </row>
    <row r="992" customFormat="false" ht="15" hidden="false" customHeight="false" outlineLevel="0" collapsed="false">
      <c r="A992" s="30"/>
      <c r="B992" s="25"/>
      <c r="C992" s="25"/>
      <c r="D992" s="25"/>
      <c r="E992" s="25"/>
      <c r="F992" s="25"/>
      <c r="G992" s="25"/>
      <c r="H992" s="31"/>
      <c r="I992" s="32"/>
      <c r="J992" s="33"/>
      <c r="K992" s="34" t="str">
        <f aca="false">IF(OR(H992="",I992=""),"",H992*I992*(1-N(J992)))</f>
        <v/>
      </c>
      <c r="L992" s="32"/>
      <c r="M992" s="34" t="str">
        <f aca="false">IF(OR(H992="",L992=""),"",H992*L992)</f>
        <v/>
      </c>
      <c r="N992" s="34" t="str">
        <f aca="false">IF(OR(K992="",M992=""),"",K992-M992)</f>
        <v/>
      </c>
      <c r="O992" s="35" t="str">
        <f aca="false">IF(OR(N992="",K992=""),"",IF(K992=0,"",N992/K992))</f>
        <v/>
      </c>
      <c r="P992" s="25"/>
      <c r="Q992" s="25"/>
      <c r="R992" s="25"/>
      <c r="S992" s="36" t="str">
        <f aca="false">IF(A992="","",YEAR(A992)+IF(AND(FYStart&gt;1,MONTH(A992)&gt;=FYStart),1,0))</f>
        <v/>
      </c>
      <c r="T992" s="36" t="str">
        <f aca="false">IF(A992="","",MOD(MONTH(A992)-FYStart,12)+1)</f>
        <v/>
      </c>
      <c r="U992" s="37" t="str">
        <f aca="false">IF(A992="","",TEXT(A992,"mmm"))</f>
        <v/>
      </c>
      <c r="V992" s="37" t="str">
        <f aca="false">IF(Q992="","",IFERROR(INDEX(Settings!$I$11:$I$15,MATCH(Q992,Settings!$H$11:$H$15,0)),"No"))</f>
        <v/>
      </c>
      <c r="W992" s="37" t="str">
        <f aca="false">IF(Q992="","",IFERROR(INDEX(Settings!$J$11:$J$15,MATCH(Q992,Settings!$H$11:$H$15,0)),"No"))</f>
        <v/>
      </c>
    </row>
    <row r="993" customFormat="false" ht="15" hidden="false" customHeight="false" outlineLevel="0" collapsed="false">
      <c r="A993" s="30"/>
      <c r="B993" s="25"/>
      <c r="C993" s="25"/>
      <c r="D993" s="25"/>
      <c r="E993" s="25"/>
      <c r="F993" s="25"/>
      <c r="G993" s="25"/>
      <c r="H993" s="31"/>
      <c r="I993" s="32"/>
      <c r="J993" s="33"/>
      <c r="K993" s="34" t="str">
        <f aca="false">IF(OR(H993="",I993=""),"",H993*I993*(1-N(J993)))</f>
        <v/>
      </c>
      <c r="L993" s="32"/>
      <c r="M993" s="34" t="str">
        <f aca="false">IF(OR(H993="",L993=""),"",H993*L993)</f>
        <v/>
      </c>
      <c r="N993" s="34" t="str">
        <f aca="false">IF(OR(K993="",M993=""),"",K993-M993)</f>
        <v/>
      </c>
      <c r="O993" s="35" t="str">
        <f aca="false">IF(OR(N993="",K993=""),"",IF(K993=0,"",N993/K993))</f>
        <v/>
      </c>
      <c r="P993" s="25"/>
      <c r="Q993" s="25"/>
      <c r="R993" s="25"/>
      <c r="S993" s="36" t="str">
        <f aca="false">IF(A993="","",YEAR(A993)+IF(AND(FYStart&gt;1,MONTH(A993)&gt;=FYStart),1,0))</f>
        <v/>
      </c>
      <c r="T993" s="36" t="str">
        <f aca="false">IF(A993="","",MOD(MONTH(A993)-FYStart,12)+1)</f>
        <v/>
      </c>
      <c r="U993" s="37" t="str">
        <f aca="false">IF(A993="","",TEXT(A993,"mmm"))</f>
        <v/>
      </c>
      <c r="V993" s="37" t="str">
        <f aca="false">IF(Q993="","",IFERROR(INDEX(Settings!$I$11:$I$15,MATCH(Q993,Settings!$H$11:$H$15,0)),"No"))</f>
        <v/>
      </c>
      <c r="W993" s="37" t="str">
        <f aca="false">IF(Q993="","",IFERROR(INDEX(Settings!$J$11:$J$15,MATCH(Q993,Settings!$H$11:$H$15,0)),"No"))</f>
        <v/>
      </c>
    </row>
    <row r="994" customFormat="false" ht="15" hidden="false" customHeight="false" outlineLevel="0" collapsed="false">
      <c r="A994" s="30"/>
      <c r="B994" s="25"/>
      <c r="C994" s="25"/>
      <c r="D994" s="25"/>
      <c r="E994" s="25"/>
      <c r="F994" s="25"/>
      <c r="G994" s="25"/>
      <c r="H994" s="31"/>
      <c r="I994" s="32"/>
      <c r="J994" s="33"/>
      <c r="K994" s="34" t="str">
        <f aca="false">IF(OR(H994="",I994=""),"",H994*I994*(1-N(J994)))</f>
        <v/>
      </c>
      <c r="L994" s="32"/>
      <c r="M994" s="34" t="str">
        <f aca="false">IF(OR(H994="",L994=""),"",H994*L994)</f>
        <v/>
      </c>
      <c r="N994" s="34" t="str">
        <f aca="false">IF(OR(K994="",M994=""),"",K994-M994)</f>
        <v/>
      </c>
      <c r="O994" s="35" t="str">
        <f aca="false">IF(OR(N994="",K994=""),"",IF(K994=0,"",N994/K994))</f>
        <v/>
      </c>
      <c r="P994" s="25"/>
      <c r="Q994" s="25"/>
      <c r="R994" s="25"/>
      <c r="S994" s="36" t="str">
        <f aca="false">IF(A994="","",YEAR(A994)+IF(AND(FYStart&gt;1,MONTH(A994)&gt;=FYStart),1,0))</f>
        <v/>
      </c>
      <c r="T994" s="36" t="str">
        <f aca="false">IF(A994="","",MOD(MONTH(A994)-FYStart,12)+1)</f>
        <v/>
      </c>
      <c r="U994" s="37" t="str">
        <f aca="false">IF(A994="","",TEXT(A994,"mmm"))</f>
        <v/>
      </c>
      <c r="V994" s="37" t="str">
        <f aca="false">IF(Q994="","",IFERROR(INDEX(Settings!$I$11:$I$15,MATCH(Q994,Settings!$H$11:$H$15,0)),"No"))</f>
        <v/>
      </c>
      <c r="W994" s="37" t="str">
        <f aca="false">IF(Q994="","",IFERROR(INDEX(Settings!$J$11:$J$15,MATCH(Q994,Settings!$H$11:$H$15,0)),"No"))</f>
        <v/>
      </c>
    </row>
    <row r="995" customFormat="false" ht="15" hidden="false" customHeight="false" outlineLevel="0" collapsed="false">
      <c r="A995" s="30"/>
      <c r="B995" s="25"/>
      <c r="C995" s="25"/>
      <c r="D995" s="25"/>
      <c r="E995" s="25"/>
      <c r="F995" s="25"/>
      <c r="G995" s="25"/>
      <c r="H995" s="31"/>
      <c r="I995" s="32"/>
      <c r="J995" s="33"/>
      <c r="K995" s="34" t="str">
        <f aca="false">IF(OR(H995="",I995=""),"",H995*I995*(1-N(J995)))</f>
        <v/>
      </c>
      <c r="L995" s="32"/>
      <c r="M995" s="34" t="str">
        <f aca="false">IF(OR(H995="",L995=""),"",H995*L995)</f>
        <v/>
      </c>
      <c r="N995" s="34" t="str">
        <f aca="false">IF(OR(K995="",M995=""),"",K995-M995)</f>
        <v/>
      </c>
      <c r="O995" s="35" t="str">
        <f aca="false">IF(OR(N995="",K995=""),"",IF(K995=0,"",N995/K995))</f>
        <v/>
      </c>
      <c r="P995" s="25"/>
      <c r="Q995" s="25"/>
      <c r="R995" s="25"/>
      <c r="S995" s="36" t="str">
        <f aca="false">IF(A995="","",YEAR(A995)+IF(AND(FYStart&gt;1,MONTH(A995)&gt;=FYStart),1,0))</f>
        <v/>
      </c>
      <c r="T995" s="36" t="str">
        <f aca="false">IF(A995="","",MOD(MONTH(A995)-FYStart,12)+1)</f>
        <v/>
      </c>
      <c r="U995" s="37" t="str">
        <f aca="false">IF(A995="","",TEXT(A995,"mmm"))</f>
        <v/>
      </c>
      <c r="V995" s="37" t="str">
        <f aca="false">IF(Q995="","",IFERROR(INDEX(Settings!$I$11:$I$15,MATCH(Q995,Settings!$H$11:$H$15,0)),"No"))</f>
        <v/>
      </c>
      <c r="W995" s="37" t="str">
        <f aca="false">IF(Q995="","",IFERROR(INDEX(Settings!$J$11:$J$15,MATCH(Q995,Settings!$H$11:$H$15,0)),"No"))</f>
        <v/>
      </c>
    </row>
    <row r="996" customFormat="false" ht="15" hidden="false" customHeight="false" outlineLevel="0" collapsed="false">
      <c r="A996" s="30"/>
      <c r="B996" s="25"/>
      <c r="C996" s="25"/>
      <c r="D996" s="25"/>
      <c r="E996" s="25"/>
      <c r="F996" s="25"/>
      <c r="G996" s="25"/>
      <c r="H996" s="31"/>
      <c r="I996" s="32"/>
      <c r="J996" s="33"/>
      <c r="K996" s="34" t="str">
        <f aca="false">IF(OR(H996="",I996=""),"",H996*I996*(1-N(J996)))</f>
        <v/>
      </c>
      <c r="L996" s="32"/>
      <c r="M996" s="34" t="str">
        <f aca="false">IF(OR(H996="",L996=""),"",H996*L996)</f>
        <v/>
      </c>
      <c r="N996" s="34" t="str">
        <f aca="false">IF(OR(K996="",M996=""),"",K996-M996)</f>
        <v/>
      </c>
      <c r="O996" s="35" t="str">
        <f aca="false">IF(OR(N996="",K996=""),"",IF(K996=0,"",N996/K996))</f>
        <v/>
      </c>
      <c r="P996" s="25"/>
      <c r="Q996" s="25"/>
      <c r="R996" s="25"/>
      <c r="S996" s="36" t="str">
        <f aca="false">IF(A996="","",YEAR(A996)+IF(AND(FYStart&gt;1,MONTH(A996)&gt;=FYStart),1,0))</f>
        <v/>
      </c>
      <c r="T996" s="36" t="str">
        <f aca="false">IF(A996="","",MOD(MONTH(A996)-FYStart,12)+1)</f>
        <v/>
      </c>
      <c r="U996" s="37" t="str">
        <f aca="false">IF(A996="","",TEXT(A996,"mmm"))</f>
        <v/>
      </c>
      <c r="V996" s="37" t="str">
        <f aca="false">IF(Q996="","",IFERROR(INDEX(Settings!$I$11:$I$15,MATCH(Q996,Settings!$H$11:$H$15,0)),"No"))</f>
        <v/>
      </c>
      <c r="W996" s="37" t="str">
        <f aca="false">IF(Q996="","",IFERROR(INDEX(Settings!$J$11:$J$15,MATCH(Q996,Settings!$H$11:$H$15,0)),"No"))</f>
        <v/>
      </c>
    </row>
    <row r="997" customFormat="false" ht="15" hidden="false" customHeight="false" outlineLevel="0" collapsed="false">
      <c r="A997" s="30"/>
      <c r="B997" s="25"/>
      <c r="C997" s="25"/>
      <c r="D997" s="25"/>
      <c r="E997" s="25"/>
      <c r="F997" s="25"/>
      <c r="G997" s="25"/>
      <c r="H997" s="31"/>
      <c r="I997" s="32"/>
      <c r="J997" s="33"/>
      <c r="K997" s="34" t="str">
        <f aca="false">IF(OR(H997="",I997=""),"",H997*I997*(1-N(J997)))</f>
        <v/>
      </c>
      <c r="L997" s="32"/>
      <c r="M997" s="34" t="str">
        <f aca="false">IF(OR(H997="",L997=""),"",H997*L997)</f>
        <v/>
      </c>
      <c r="N997" s="34" t="str">
        <f aca="false">IF(OR(K997="",M997=""),"",K997-M997)</f>
        <v/>
      </c>
      <c r="O997" s="35" t="str">
        <f aca="false">IF(OR(N997="",K997=""),"",IF(K997=0,"",N997/K997))</f>
        <v/>
      </c>
      <c r="P997" s="25"/>
      <c r="Q997" s="25"/>
      <c r="R997" s="25"/>
      <c r="S997" s="36" t="str">
        <f aca="false">IF(A997="","",YEAR(A997)+IF(AND(FYStart&gt;1,MONTH(A997)&gt;=FYStart),1,0))</f>
        <v/>
      </c>
      <c r="T997" s="36" t="str">
        <f aca="false">IF(A997="","",MOD(MONTH(A997)-FYStart,12)+1)</f>
        <v/>
      </c>
      <c r="U997" s="37" t="str">
        <f aca="false">IF(A997="","",TEXT(A997,"mmm"))</f>
        <v/>
      </c>
      <c r="V997" s="37" t="str">
        <f aca="false">IF(Q997="","",IFERROR(INDEX(Settings!$I$11:$I$15,MATCH(Q997,Settings!$H$11:$H$15,0)),"No"))</f>
        <v/>
      </c>
      <c r="W997" s="37" t="str">
        <f aca="false">IF(Q997="","",IFERROR(INDEX(Settings!$J$11:$J$15,MATCH(Q997,Settings!$H$11:$H$15,0)),"No"))</f>
        <v/>
      </c>
    </row>
    <row r="998" customFormat="false" ht="15" hidden="false" customHeight="false" outlineLevel="0" collapsed="false">
      <c r="A998" s="30"/>
      <c r="B998" s="25"/>
      <c r="C998" s="25"/>
      <c r="D998" s="25"/>
      <c r="E998" s="25"/>
      <c r="F998" s="25"/>
      <c r="G998" s="25"/>
      <c r="H998" s="31"/>
      <c r="I998" s="32"/>
      <c r="J998" s="33"/>
      <c r="K998" s="34" t="str">
        <f aca="false">IF(OR(H998="",I998=""),"",H998*I998*(1-N(J998)))</f>
        <v/>
      </c>
      <c r="L998" s="32"/>
      <c r="M998" s="34" t="str">
        <f aca="false">IF(OR(H998="",L998=""),"",H998*L998)</f>
        <v/>
      </c>
      <c r="N998" s="34" t="str">
        <f aca="false">IF(OR(K998="",M998=""),"",K998-M998)</f>
        <v/>
      </c>
      <c r="O998" s="35" t="str">
        <f aca="false">IF(OR(N998="",K998=""),"",IF(K998=0,"",N998/K998))</f>
        <v/>
      </c>
      <c r="P998" s="25"/>
      <c r="Q998" s="25"/>
      <c r="R998" s="25"/>
      <c r="S998" s="36" t="str">
        <f aca="false">IF(A998="","",YEAR(A998)+IF(AND(FYStart&gt;1,MONTH(A998)&gt;=FYStart),1,0))</f>
        <v/>
      </c>
      <c r="T998" s="36" t="str">
        <f aca="false">IF(A998="","",MOD(MONTH(A998)-FYStart,12)+1)</f>
        <v/>
      </c>
      <c r="U998" s="37" t="str">
        <f aca="false">IF(A998="","",TEXT(A998,"mmm"))</f>
        <v/>
      </c>
      <c r="V998" s="37" t="str">
        <f aca="false">IF(Q998="","",IFERROR(INDEX(Settings!$I$11:$I$15,MATCH(Q998,Settings!$H$11:$H$15,0)),"No"))</f>
        <v/>
      </c>
      <c r="W998" s="37" t="str">
        <f aca="false">IF(Q998="","",IFERROR(INDEX(Settings!$J$11:$J$15,MATCH(Q998,Settings!$H$11:$H$15,0)),"No"))</f>
        <v/>
      </c>
    </row>
    <row r="999" customFormat="false" ht="15" hidden="false" customHeight="false" outlineLevel="0" collapsed="false">
      <c r="A999" s="30"/>
      <c r="B999" s="25"/>
      <c r="C999" s="25"/>
      <c r="D999" s="25"/>
      <c r="E999" s="25"/>
      <c r="F999" s="25"/>
      <c r="G999" s="25"/>
      <c r="H999" s="31"/>
      <c r="I999" s="32"/>
      <c r="J999" s="33"/>
      <c r="K999" s="34" t="str">
        <f aca="false">IF(OR(H999="",I999=""),"",H999*I999*(1-N(J999)))</f>
        <v/>
      </c>
      <c r="L999" s="32"/>
      <c r="M999" s="34" t="str">
        <f aca="false">IF(OR(H999="",L999=""),"",H999*L999)</f>
        <v/>
      </c>
      <c r="N999" s="34" t="str">
        <f aca="false">IF(OR(K999="",M999=""),"",K999-M999)</f>
        <v/>
      </c>
      <c r="O999" s="35" t="str">
        <f aca="false">IF(OR(N999="",K999=""),"",IF(K999=0,"",N999/K999))</f>
        <v/>
      </c>
      <c r="P999" s="25"/>
      <c r="Q999" s="25"/>
      <c r="R999" s="25"/>
      <c r="S999" s="36" t="str">
        <f aca="false">IF(A999="","",YEAR(A999)+IF(AND(FYStart&gt;1,MONTH(A999)&gt;=FYStart),1,0))</f>
        <v/>
      </c>
      <c r="T999" s="36" t="str">
        <f aca="false">IF(A999="","",MOD(MONTH(A999)-FYStart,12)+1)</f>
        <v/>
      </c>
      <c r="U999" s="37" t="str">
        <f aca="false">IF(A999="","",TEXT(A999,"mmm"))</f>
        <v/>
      </c>
      <c r="V999" s="37" t="str">
        <f aca="false">IF(Q999="","",IFERROR(INDEX(Settings!$I$11:$I$15,MATCH(Q999,Settings!$H$11:$H$15,0)),"No"))</f>
        <v/>
      </c>
      <c r="W999" s="37" t="str">
        <f aca="false">IF(Q999="","",IFERROR(INDEX(Settings!$J$11:$J$15,MATCH(Q999,Settings!$H$11:$H$15,0)),"No"))</f>
        <v/>
      </c>
    </row>
    <row r="1000" customFormat="false" ht="15" hidden="false" customHeight="false" outlineLevel="0" collapsed="false">
      <c r="A1000" s="30"/>
      <c r="B1000" s="25"/>
      <c r="C1000" s="25"/>
      <c r="D1000" s="25"/>
      <c r="E1000" s="25"/>
      <c r="F1000" s="25"/>
      <c r="G1000" s="25"/>
      <c r="H1000" s="31"/>
      <c r="I1000" s="32"/>
      <c r="J1000" s="33"/>
      <c r="K1000" s="34" t="str">
        <f aca="false">IF(OR(H1000="",I1000=""),"",H1000*I1000*(1-N(J1000)))</f>
        <v/>
      </c>
      <c r="L1000" s="32"/>
      <c r="M1000" s="34" t="str">
        <f aca="false">IF(OR(H1000="",L1000=""),"",H1000*L1000)</f>
        <v/>
      </c>
      <c r="N1000" s="34" t="str">
        <f aca="false">IF(OR(K1000="",M1000=""),"",K1000-M1000)</f>
        <v/>
      </c>
      <c r="O1000" s="35" t="str">
        <f aca="false">IF(OR(N1000="",K1000=""),"",IF(K1000=0,"",N1000/K1000))</f>
        <v/>
      </c>
      <c r="P1000" s="25"/>
      <c r="Q1000" s="25"/>
      <c r="R1000" s="25"/>
      <c r="S1000" s="36" t="str">
        <f aca="false">IF(A1000="","",YEAR(A1000)+IF(AND(FYStart&gt;1,MONTH(A1000)&gt;=FYStart),1,0))</f>
        <v/>
      </c>
      <c r="T1000" s="36" t="str">
        <f aca="false">IF(A1000="","",MOD(MONTH(A1000)-FYStart,12)+1)</f>
        <v/>
      </c>
      <c r="U1000" s="37" t="str">
        <f aca="false">IF(A1000="","",TEXT(A1000,"mmm"))</f>
        <v/>
      </c>
      <c r="V1000" s="37" t="str">
        <f aca="false">IF(Q1000="","",IFERROR(INDEX(Settings!$I$11:$I$15,MATCH(Q1000,Settings!$H$11:$H$15,0)),"No"))</f>
        <v/>
      </c>
      <c r="W1000" s="37" t="str">
        <f aca="false">IF(Q1000="","",IFERROR(INDEX(Settings!$J$11:$J$15,MATCH(Q1000,Settings!$H$11:$H$15,0)),"No"))</f>
        <v/>
      </c>
    </row>
    <row r="1001" customFormat="false" ht="15" hidden="false" customHeight="false" outlineLevel="0" collapsed="false">
      <c r="A1001" s="30"/>
      <c r="B1001" s="25"/>
      <c r="C1001" s="25"/>
      <c r="D1001" s="25"/>
      <c r="E1001" s="25"/>
      <c r="F1001" s="25"/>
      <c r="G1001" s="25"/>
      <c r="H1001" s="31"/>
      <c r="I1001" s="32"/>
      <c r="J1001" s="33"/>
      <c r="K1001" s="34" t="str">
        <f aca="false">IF(OR(H1001="",I1001=""),"",H1001*I1001*(1-N(J1001)))</f>
        <v/>
      </c>
      <c r="L1001" s="32"/>
      <c r="M1001" s="34" t="str">
        <f aca="false">IF(OR(H1001="",L1001=""),"",H1001*L1001)</f>
        <v/>
      </c>
      <c r="N1001" s="34" t="str">
        <f aca="false">IF(OR(K1001="",M1001=""),"",K1001-M1001)</f>
        <v/>
      </c>
      <c r="O1001" s="35" t="str">
        <f aca="false">IF(OR(N1001="",K1001=""),"",IF(K1001=0,"",N1001/K1001))</f>
        <v/>
      </c>
      <c r="P1001" s="25"/>
      <c r="Q1001" s="25"/>
      <c r="R1001" s="25"/>
      <c r="S1001" s="36" t="str">
        <f aca="false">IF(A1001="","",YEAR(A1001)+IF(AND(FYStart&gt;1,MONTH(A1001)&gt;=FYStart),1,0))</f>
        <v/>
      </c>
      <c r="T1001" s="36" t="str">
        <f aca="false">IF(A1001="","",MOD(MONTH(A1001)-FYStart,12)+1)</f>
        <v/>
      </c>
      <c r="U1001" s="37" t="str">
        <f aca="false">IF(A1001="","",TEXT(A1001,"mmm"))</f>
        <v/>
      </c>
      <c r="V1001" s="37" t="str">
        <f aca="false">IF(Q1001="","",IFERROR(INDEX(Settings!$I$11:$I$15,MATCH(Q1001,Settings!$H$11:$H$15,0)),"No"))</f>
        <v/>
      </c>
      <c r="W1001" s="37" t="str">
        <f aca="false">IF(Q1001="","",IFERROR(INDEX(Settings!$J$11:$J$15,MATCH(Q1001,Settings!$H$11:$H$15,0)),"No"))</f>
        <v/>
      </c>
    </row>
    <row r="1002" customFormat="false" ht="15" hidden="false" customHeight="false" outlineLevel="0" collapsed="false">
      <c r="A1002" s="30"/>
      <c r="B1002" s="25"/>
      <c r="C1002" s="25"/>
      <c r="D1002" s="25"/>
      <c r="E1002" s="25"/>
      <c r="F1002" s="25"/>
      <c r="G1002" s="25"/>
      <c r="H1002" s="31"/>
      <c r="I1002" s="32"/>
      <c r="J1002" s="33"/>
      <c r="K1002" s="34" t="str">
        <f aca="false">IF(OR(H1002="",I1002=""),"",H1002*I1002*(1-N(J1002)))</f>
        <v/>
      </c>
      <c r="L1002" s="32"/>
      <c r="M1002" s="34" t="str">
        <f aca="false">IF(OR(H1002="",L1002=""),"",H1002*L1002)</f>
        <v/>
      </c>
      <c r="N1002" s="34" t="str">
        <f aca="false">IF(OR(K1002="",M1002=""),"",K1002-M1002)</f>
        <v/>
      </c>
      <c r="O1002" s="35" t="str">
        <f aca="false">IF(OR(N1002="",K1002=""),"",IF(K1002=0,"",N1002/K1002))</f>
        <v/>
      </c>
      <c r="P1002" s="25"/>
      <c r="Q1002" s="25"/>
      <c r="R1002" s="25"/>
      <c r="S1002" s="36" t="str">
        <f aca="false">IF(A1002="","",YEAR(A1002)+IF(AND(FYStart&gt;1,MONTH(A1002)&gt;=FYStart),1,0))</f>
        <v/>
      </c>
      <c r="T1002" s="36" t="str">
        <f aca="false">IF(A1002="","",MOD(MONTH(A1002)-FYStart,12)+1)</f>
        <v/>
      </c>
      <c r="U1002" s="37" t="str">
        <f aca="false">IF(A1002="","",TEXT(A1002,"mmm"))</f>
        <v/>
      </c>
      <c r="V1002" s="37" t="str">
        <f aca="false">IF(Q1002="","",IFERROR(INDEX(Settings!$I$11:$I$15,MATCH(Q1002,Settings!$H$11:$H$15,0)),"No"))</f>
        <v/>
      </c>
      <c r="W1002" s="37" t="str">
        <f aca="false">IF(Q1002="","",IFERROR(INDEX(Settings!$J$11:$J$15,MATCH(Q1002,Settings!$H$11:$H$15,0)),"No"))</f>
        <v/>
      </c>
    </row>
    <row r="1003" customFormat="false" ht="15" hidden="false" customHeight="false" outlineLevel="0" collapsed="false">
      <c r="A1003" s="30"/>
      <c r="B1003" s="25"/>
      <c r="C1003" s="25"/>
      <c r="D1003" s="25"/>
      <c r="E1003" s="25"/>
      <c r="F1003" s="25"/>
      <c r="G1003" s="25"/>
      <c r="H1003" s="31"/>
      <c r="I1003" s="32"/>
      <c r="J1003" s="33"/>
      <c r="K1003" s="34" t="str">
        <f aca="false">IF(OR(H1003="",I1003=""),"",H1003*I1003*(1-N(J1003)))</f>
        <v/>
      </c>
      <c r="L1003" s="32"/>
      <c r="M1003" s="34" t="str">
        <f aca="false">IF(OR(H1003="",L1003=""),"",H1003*L1003)</f>
        <v/>
      </c>
      <c r="N1003" s="34" t="str">
        <f aca="false">IF(OR(K1003="",M1003=""),"",K1003-M1003)</f>
        <v/>
      </c>
      <c r="O1003" s="35" t="str">
        <f aca="false">IF(OR(N1003="",K1003=""),"",IF(K1003=0,"",N1003/K1003))</f>
        <v/>
      </c>
      <c r="P1003" s="25"/>
      <c r="Q1003" s="25"/>
      <c r="R1003" s="25"/>
      <c r="S1003" s="36" t="str">
        <f aca="false">IF(A1003="","",YEAR(A1003)+IF(AND(FYStart&gt;1,MONTH(A1003)&gt;=FYStart),1,0))</f>
        <v/>
      </c>
      <c r="T1003" s="36" t="str">
        <f aca="false">IF(A1003="","",MOD(MONTH(A1003)-FYStart,12)+1)</f>
        <v/>
      </c>
      <c r="U1003" s="37" t="str">
        <f aca="false">IF(A1003="","",TEXT(A1003,"mmm"))</f>
        <v/>
      </c>
      <c r="V1003" s="37" t="str">
        <f aca="false">IF(Q1003="","",IFERROR(INDEX(Settings!$I$11:$I$15,MATCH(Q1003,Settings!$H$11:$H$15,0)),"No"))</f>
        <v/>
      </c>
      <c r="W1003" s="37" t="str">
        <f aca="false">IF(Q1003="","",IFERROR(INDEX(Settings!$J$11:$J$15,MATCH(Q1003,Settings!$H$11:$H$15,0)),"No"))</f>
        <v/>
      </c>
    </row>
    <row r="1004" customFormat="false" ht="15" hidden="false" customHeight="false" outlineLevel="0" collapsed="false">
      <c r="A1004" s="30"/>
      <c r="B1004" s="25"/>
      <c r="C1004" s="25"/>
      <c r="D1004" s="25"/>
      <c r="E1004" s="25"/>
      <c r="F1004" s="25"/>
      <c r="G1004" s="25"/>
      <c r="H1004" s="31"/>
      <c r="I1004" s="32"/>
      <c r="J1004" s="33"/>
      <c r="K1004" s="34" t="str">
        <f aca="false">IF(OR(H1004="",I1004=""),"",H1004*I1004*(1-N(J1004)))</f>
        <v/>
      </c>
      <c r="L1004" s="32"/>
      <c r="M1004" s="34" t="str">
        <f aca="false">IF(OR(H1004="",L1004=""),"",H1004*L1004)</f>
        <v/>
      </c>
      <c r="N1004" s="34" t="str">
        <f aca="false">IF(OR(K1004="",M1004=""),"",K1004-M1004)</f>
        <v/>
      </c>
      <c r="O1004" s="35" t="str">
        <f aca="false">IF(OR(N1004="",K1004=""),"",IF(K1004=0,"",N1004/K1004))</f>
        <v/>
      </c>
      <c r="P1004" s="25"/>
      <c r="Q1004" s="25"/>
      <c r="R1004" s="25"/>
      <c r="S1004" s="36" t="str">
        <f aca="false">IF(A1004="","",YEAR(A1004)+IF(AND(FYStart&gt;1,MONTH(A1004)&gt;=FYStart),1,0))</f>
        <v/>
      </c>
      <c r="T1004" s="36" t="str">
        <f aca="false">IF(A1004="","",MOD(MONTH(A1004)-FYStart,12)+1)</f>
        <v/>
      </c>
      <c r="U1004" s="37" t="str">
        <f aca="false">IF(A1004="","",TEXT(A1004,"mmm"))</f>
        <v/>
      </c>
      <c r="V1004" s="37" t="str">
        <f aca="false">IF(Q1004="","",IFERROR(INDEX(Settings!$I$11:$I$15,MATCH(Q1004,Settings!$H$11:$H$15,0)),"No"))</f>
        <v/>
      </c>
      <c r="W1004" s="37" t="str">
        <f aca="false">IF(Q1004="","",IFERROR(INDEX(Settings!$J$11:$J$15,MATCH(Q1004,Settings!$H$11:$H$15,0)),"No"))</f>
        <v/>
      </c>
    </row>
    <row r="1005" customFormat="false" ht="15" hidden="false" customHeight="false" outlineLevel="0" collapsed="false">
      <c r="A1005" s="30"/>
      <c r="B1005" s="25"/>
      <c r="C1005" s="25"/>
      <c r="D1005" s="25"/>
      <c r="E1005" s="25"/>
      <c r="F1005" s="25"/>
      <c r="G1005" s="25"/>
      <c r="H1005" s="31"/>
      <c r="I1005" s="32"/>
      <c r="J1005" s="33"/>
      <c r="K1005" s="34" t="str">
        <f aca="false">IF(OR(H1005="",I1005=""),"",H1005*I1005*(1-N(J1005)))</f>
        <v/>
      </c>
      <c r="L1005" s="32"/>
      <c r="M1005" s="34" t="str">
        <f aca="false">IF(OR(H1005="",L1005=""),"",H1005*L1005)</f>
        <v/>
      </c>
      <c r="N1005" s="34" t="str">
        <f aca="false">IF(OR(K1005="",M1005=""),"",K1005-M1005)</f>
        <v/>
      </c>
      <c r="O1005" s="35" t="str">
        <f aca="false">IF(OR(N1005="",K1005=""),"",IF(K1005=0,"",N1005/K1005))</f>
        <v/>
      </c>
      <c r="P1005" s="25"/>
      <c r="Q1005" s="25"/>
      <c r="R1005" s="25"/>
      <c r="S1005" s="36" t="str">
        <f aca="false">IF(A1005="","",YEAR(A1005)+IF(AND(FYStart&gt;1,MONTH(A1005)&gt;=FYStart),1,0))</f>
        <v/>
      </c>
      <c r="T1005" s="36" t="str">
        <f aca="false">IF(A1005="","",MOD(MONTH(A1005)-FYStart,12)+1)</f>
        <v/>
      </c>
      <c r="U1005" s="37" t="str">
        <f aca="false">IF(A1005="","",TEXT(A1005,"mmm"))</f>
        <v/>
      </c>
      <c r="V1005" s="37" t="str">
        <f aca="false">IF(Q1005="","",IFERROR(INDEX(Settings!$I$11:$I$15,MATCH(Q1005,Settings!$H$11:$H$15,0)),"No"))</f>
        <v/>
      </c>
      <c r="W1005" s="37" t="str">
        <f aca="false">IF(Q1005="","",IFERROR(INDEX(Settings!$J$11:$J$15,MATCH(Q1005,Settings!$H$11:$H$15,0)),"No"))</f>
        <v/>
      </c>
    </row>
    <row r="1006" customFormat="false" ht="15" hidden="false" customHeight="false" outlineLevel="0" collapsed="false">
      <c r="A1006" s="30"/>
      <c r="B1006" s="25"/>
      <c r="C1006" s="25"/>
      <c r="D1006" s="25"/>
      <c r="E1006" s="25"/>
      <c r="F1006" s="25"/>
      <c r="G1006" s="25"/>
      <c r="H1006" s="31"/>
      <c r="I1006" s="32"/>
      <c r="J1006" s="33"/>
      <c r="K1006" s="34" t="str">
        <f aca="false">IF(OR(H1006="",I1006=""),"",H1006*I1006*(1-N(J1006)))</f>
        <v/>
      </c>
      <c r="L1006" s="32"/>
      <c r="M1006" s="34" t="str">
        <f aca="false">IF(OR(H1006="",L1006=""),"",H1006*L1006)</f>
        <v/>
      </c>
      <c r="N1006" s="34" t="str">
        <f aca="false">IF(OR(K1006="",M1006=""),"",K1006-M1006)</f>
        <v/>
      </c>
      <c r="O1006" s="35" t="str">
        <f aca="false">IF(OR(N1006="",K1006=""),"",IF(K1006=0,"",N1006/K1006))</f>
        <v/>
      </c>
      <c r="P1006" s="25"/>
      <c r="Q1006" s="25"/>
      <c r="R1006" s="25"/>
      <c r="S1006" s="36" t="str">
        <f aca="false">IF(A1006="","",YEAR(A1006)+IF(AND(FYStart&gt;1,MONTH(A1006)&gt;=FYStart),1,0))</f>
        <v/>
      </c>
      <c r="T1006" s="36" t="str">
        <f aca="false">IF(A1006="","",MOD(MONTH(A1006)-FYStart,12)+1)</f>
        <v/>
      </c>
      <c r="U1006" s="37" t="str">
        <f aca="false">IF(A1006="","",TEXT(A1006,"mmm"))</f>
        <v/>
      </c>
      <c r="V1006" s="37" t="str">
        <f aca="false">IF(Q1006="","",IFERROR(INDEX(Settings!$I$11:$I$15,MATCH(Q1006,Settings!$H$11:$H$15,0)),"No"))</f>
        <v/>
      </c>
      <c r="W1006" s="37" t="str">
        <f aca="false">IF(Q1006="","",IFERROR(INDEX(Settings!$J$11:$J$15,MATCH(Q1006,Settings!$H$11:$H$15,0)),"No"))</f>
        <v/>
      </c>
    </row>
    <row r="1007" customFormat="false" ht="15" hidden="false" customHeight="false" outlineLevel="0" collapsed="false">
      <c r="A1007" s="30"/>
      <c r="B1007" s="25"/>
      <c r="C1007" s="25"/>
      <c r="D1007" s="25"/>
      <c r="E1007" s="25"/>
      <c r="F1007" s="25"/>
      <c r="G1007" s="25"/>
      <c r="H1007" s="31"/>
      <c r="I1007" s="32"/>
      <c r="J1007" s="33"/>
      <c r="K1007" s="34" t="str">
        <f aca="false">IF(OR(H1007="",I1007=""),"",H1007*I1007*(1-N(J1007)))</f>
        <v/>
      </c>
      <c r="L1007" s="32"/>
      <c r="M1007" s="34" t="str">
        <f aca="false">IF(OR(H1007="",L1007=""),"",H1007*L1007)</f>
        <v/>
      </c>
      <c r="N1007" s="34" t="str">
        <f aca="false">IF(OR(K1007="",M1007=""),"",K1007-M1007)</f>
        <v/>
      </c>
      <c r="O1007" s="35" t="str">
        <f aca="false">IF(OR(N1007="",K1007=""),"",IF(K1007=0,"",N1007/K1007))</f>
        <v/>
      </c>
      <c r="P1007" s="25"/>
      <c r="Q1007" s="25"/>
      <c r="R1007" s="25"/>
      <c r="S1007" s="36" t="str">
        <f aca="false">IF(A1007="","",YEAR(A1007)+IF(AND(FYStart&gt;1,MONTH(A1007)&gt;=FYStart),1,0))</f>
        <v/>
      </c>
      <c r="T1007" s="36" t="str">
        <f aca="false">IF(A1007="","",MOD(MONTH(A1007)-FYStart,12)+1)</f>
        <v/>
      </c>
      <c r="U1007" s="37" t="str">
        <f aca="false">IF(A1007="","",TEXT(A1007,"mmm"))</f>
        <v/>
      </c>
      <c r="V1007" s="37" t="str">
        <f aca="false">IF(Q1007="","",IFERROR(INDEX(Settings!$I$11:$I$15,MATCH(Q1007,Settings!$H$11:$H$15,0)),"No"))</f>
        <v/>
      </c>
      <c r="W1007" s="37" t="str">
        <f aca="false">IF(Q1007="","",IFERROR(INDEX(Settings!$J$11:$J$15,MATCH(Q1007,Settings!$H$11:$H$15,0)),"No"))</f>
        <v/>
      </c>
    </row>
    <row r="1008" customFormat="false" ht="15" hidden="false" customHeight="false" outlineLevel="0" collapsed="false">
      <c r="A1008" s="30"/>
      <c r="B1008" s="25"/>
      <c r="C1008" s="25"/>
      <c r="D1008" s="25"/>
      <c r="E1008" s="25"/>
      <c r="F1008" s="25"/>
      <c r="G1008" s="25"/>
      <c r="H1008" s="31"/>
      <c r="I1008" s="32"/>
      <c r="J1008" s="33"/>
      <c r="K1008" s="34" t="str">
        <f aca="false">IF(OR(H1008="",I1008=""),"",H1008*I1008*(1-N(J1008)))</f>
        <v/>
      </c>
      <c r="L1008" s="32"/>
      <c r="M1008" s="34" t="str">
        <f aca="false">IF(OR(H1008="",L1008=""),"",H1008*L1008)</f>
        <v/>
      </c>
      <c r="N1008" s="34" t="str">
        <f aca="false">IF(OR(K1008="",M1008=""),"",K1008-M1008)</f>
        <v/>
      </c>
      <c r="O1008" s="35" t="str">
        <f aca="false">IF(OR(N1008="",K1008=""),"",IF(K1008=0,"",N1008/K1008))</f>
        <v/>
      </c>
      <c r="P1008" s="25"/>
      <c r="Q1008" s="25"/>
      <c r="R1008" s="25"/>
      <c r="S1008" s="36" t="str">
        <f aca="false">IF(A1008="","",YEAR(A1008)+IF(AND(FYStart&gt;1,MONTH(A1008)&gt;=FYStart),1,0))</f>
        <v/>
      </c>
      <c r="T1008" s="36" t="str">
        <f aca="false">IF(A1008="","",MOD(MONTH(A1008)-FYStart,12)+1)</f>
        <v/>
      </c>
      <c r="U1008" s="37" t="str">
        <f aca="false">IF(A1008="","",TEXT(A1008,"mmm"))</f>
        <v/>
      </c>
      <c r="V1008" s="37" t="str">
        <f aca="false">IF(Q1008="","",IFERROR(INDEX(Settings!$I$11:$I$15,MATCH(Q1008,Settings!$H$11:$H$15,0)),"No"))</f>
        <v/>
      </c>
      <c r="W1008" s="37" t="str">
        <f aca="false">IF(Q1008="","",IFERROR(INDEX(Settings!$J$11:$J$15,MATCH(Q1008,Settings!$H$11:$H$15,0)),"No"))</f>
        <v/>
      </c>
    </row>
    <row r="1009" customFormat="false" ht="15" hidden="false" customHeight="false" outlineLevel="0" collapsed="false">
      <c r="A1009" s="30"/>
      <c r="B1009" s="25"/>
      <c r="C1009" s="25"/>
      <c r="D1009" s="25"/>
      <c r="E1009" s="25"/>
      <c r="F1009" s="25"/>
      <c r="G1009" s="25"/>
      <c r="H1009" s="31"/>
      <c r="I1009" s="32"/>
      <c r="J1009" s="33"/>
      <c r="K1009" s="34" t="str">
        <f aca="false">IF(OR(H1009="",I1009=""),"",H1009*I1009*(1-N(J1009)))</f>
        <v/>
      </c>
      <c r="L1009" s="32"/>
      <c r="M1009" s="34" t="str">
        <f aca="false">IF(OR(H1009="",L1009=""),"",H1009*L1009)</f>
        <v/>
      </c>
      <c r="N1009" s="34" t="str">
        <f aca="false">IF(OR(K1009="",M1009=""),"",K1009-M1009)</f>
        <v/>
      </c>
      <c r="O1009" s="35" t="str">
        <f aca="false">IF(OR(N1009="",K1009=""),"",IF(K1009=0,"",N1009/K1009))</f>
        <v/>
      </c>
      <c r="P1009" s="25"/>
      <c r="Q1009" s="25"/>
      <c r="R1009" s="25"/>
      <c r="S1009" s="36" t="str">
        <f aca="false">IF(A1009="","",YEAR(A1009)+IF(AND(FYStart&gt;1,MONTH(A1009)&gt;=FYStart),1,0))</f>
        <v/>
      </c>
      <c r="T1009" s="36" t="str">
        <f aca="false">IF(A1009="","",MOD(MONTH(A1009)-FYStart,12)+1)</f>
        <v/>
      </c>
      <c r="U1009" s="37" t="str">
        <f aca="false">IF(A1009="","",TEXT(A1009,"mmm"))</f>
        <v/>
      </c>
      <c r="V1009" s="37" t="str">
        <f aca="false">IF(Q1009="","",IFERROR(INDEX(Settings!$I$11:$I$15,MATCH(Q1009,Settings!$H$11:$H$15,0)),"No"))</f>
        <v/>
      </c>
      <c r="W1009" s="37" t="str">
        <f aca="false">IF(Q1009="","",IFERROR(INDEX(Settings!$J$11:$J$15,MATCH(Q1009,Settings!$H$11:$H$15,0)),"No"))</f>
        <v/>
      </c>
    </row>
    <row r="1010" customFormat="false" ht="15" hidden="false" customHeight="false" outlineLevel="0" collapsed="false">
      <c r="A1010" s="30"/>
      <c r="B1010" s="25"/>
      <c r="C1010" s="25"/>
      <c r="D1010" s="25"/>
      <c r="E1010" s="25"/>
      <c r="F1010" s="25"/>
      <c r="G1010" s="25"/>
      <c r="H1010" s="31"/>
      <c r="I1010" s="32"/>
      <c r="J1010" s="33"/>
      <c r="K1010" s="34" t="str">
        <f aca="false">IF(OR(H1010="",I1010=""),"",H1010*I1010*(1-N(J1010)))</f>
        <v/>
      </c>
      <c r="L1010" s="32"/>
      <c r="M1010" s="34" t="str">
        <f aca="false">IF(OR(H1010="",L1010=""),"",H1010*L1010)</f>
        <v/>
      </c>
      <c r="N1010" s="34" t="str">
        <f aca="false">IF(OR(K1010="",M1010=""),"",K1010-M1010)</f>
        <v/>
      </c>
      <c r="O1010" s="35" t="str">
        <f aca="false">IF(OR(N1010="",K1010=""),"",IF(K1010=0,"",N1010/K1010))</f>
        <v/>
      </c>
      <c r="P1010" s="25"/>
      <c r="Q1010" s="25"/>
      <c r="R1010" s="25"/>
      <c r="S1010" s="36" t="str">
        <f aca="false">IF(A1010="","",YEAR(A1010)+IF(AND(FYStart&gt;1,MONTH(A1010)&gt;=FYStart),1,0))</f>
        <v/>
      </c>
      <c r="T1010" s="36" t="str">
        <f aca="false">IF(A1010="","",MOD(MONTH(A1010)-FYStart,12)+1)</f>
        <v/>
      </c>
      <c r="U1010" s="37" t="str">
        <f aca="false">IF(A1010="","",TEXT(A1010,"mmm"))</f>
        <v/>
      </c>
      <c r="V1010" s="37" t="str">
        <f aca="false">IF(Q1010="","",IFERROR(INDEX(Settings!$I$11:$I$15,MATCH(Q1010,Settings!$H$11:$H$15,0)),"No"))</f>
        <v/>
      </c>
      <c r="W1010" s="37" t="str">
        <f aca="false">IF(Q1010="","",IFERROR(INDEX(Settings!$J$11:$J$15,MATCH(Q1010,Settings!$H$11:$H$15,0)),"No"))</f>
        <v/>
      </c>
    </row>
    <row r="1011" customFormat="false" ht="15" hidden="false" customHeight="false" outlineLevel="0" collapsed="false">
      <c r="A1011" s="30"/>
      <c r="B1011" s="25"/>
      <c r="C1011" s="25"/>
      <c r="D1011" s="25"/>
      <c r="E1011" s="25"/>
      <c r="F1011" s="25"/>
      <c r="G1011" s="25"/>
      <c r="H1011" s="31"/>
      <c r="I1011" s="32"/>
      <c r="J1011" s="33"/>
      <c r="K1011" s="34" t="str">
        <f aca="false">IF(OR(H1011="",I1011=""),"",H1011*I1011*(1-N(J1011)))</f>
        <v/>
      </c>
      <c r="L1011" s="32"/>
      <c r="M1011" s="34" t="str">
        <f aca="false">IF(OR(H1011="",L1011=""),"",H1011*L1011)</f>
        <v/>
      </c>
      <c r="N1011" s="34" t="str">
        <f aca="false">IF(OR(K1011="",M1011=""),"",K1011-M1011)</f>
        <v/>
      </c>
      <c r="O1011" s="35" t="str">
        <f aca="false">IF(OR(N1011="",K1011=""),"",IF(K1011=0,"",N1011/K1011))</f>
        <v/>
      </c>
      <c r="P1011" s="25"/>
      <c r="Q1011" s="25"/>
      <c r="R1011" s="25"/>
      <c r="S1011" s="36" t="str">
        <f aca="false">IF(A1011="","",YEAR(A1011)+IF(AND(FYStart&gt;1,MONTH(A1011)&gt;=FYStart),1,0))</f>
        <v/>
      </c>
      <c r="T1011" s="36" t="str">
        <f aca="false">IF(A1011="","",MOD(MONTH(A1011)-FYStart,12)+1)</f>
        <v/>
      </c>
      <c r="U1011" s="37" t="str">
        <f aca="false">IF(A1011="","",TEXT(A1011,"mmm"))</f>
        <v/>
      </c>
      <c r="V1011" s="37" t="str">
        <f aca="false">IF(Q1011="","",IFERROR(INDEX(Settings!$I$11:$I$15,MATCH(Q1011,Settings!$H$11:$H$15,0)),"No"))</f>
        <v/>
      </c>
      <c r="W1011" s="37" t="str">
        <f aca="false">IF(Q1011="","",IFERROR(INDEX(Settings!$J$11:$J$15,MATCH(Q1011,Settings!$H$11:$H$15,0)),"No"))</f>
        <v/>
      </c>
    </row>
    <row r="1012" customFormat="false" ht="15" hidden="false" customHeight="false" outlineLevel="0" collapsed="false">
      <c r="A1012" s="30"/>
      <c r="B1012" s="25"/>
      <c r="C1012" s="25"/>
      <c r="D1012" s="25"/>
      <c r="E1012" s="25"/>
      <c r="F1012" s="25"/>
      <c r="G1012" s="25"/>
      <c r="H1012" s="31"/>
      <c r="I1012" s="32"/>
      <c r="J1012" s="33"/>
      <c r="K1012" s="34" t="str">
        <f aca="false">IF(OR(H1012="",I1012=""),"",H1012*I1012*(1-N(J1012)))</f>
        <v/>
      </c>
      <c r="L1012" s="32"/>
      <c r="M1012" s="34" t="str">
        <f aca="false">IF(OR(H1012="",L1012=""),"",H1012*L1012)</f>
        <v/>
      </c>
      <c r="N1012" s="34" t="str">
        <f aca="false">IF(OR(K1012="",M1012=""),"",K1012-M1012)</f>
        <v/>
      </c>
      <c r="O1012" s="35" t="str">
        <f aca="false">IF(OR(N1012="",K1012=""),"",IF(K1012=0,"",N1012/K1012))</f>
        <v/>
      </c>
      <c r="P1012" s="25"/>
      <c r="Q1012" s="25"/>
      <c r="R1012" s="25"/>
      <c r="S1012" s="36" t="str">
        <f aca="false">IF(A1012="","",YEAR(A1012)+IF(AND(FYStart&gt;1,MONTH(A1012)&gt;=FYStart),1,0))</f>
        <v/>
      </c>
      <c r="T1012" s="36" t="str">
        <f aca="false">IF(A1012="","",MOD(MONTH(A1012)-FYStart,12)+1)</f>
        <v/>
      </c>
      <c r="U1012" s="37" t="str">
        <f aca="false">IF(A1012="","",TEXT(A1012,"mmm"))</f>
        <v/>
      </c>
      <c r="V1012" s="37" t="str">
        <f aca="false">IF(Q1012="","",IFERROR(INDEX(Settings!$I$11:$I$15,MATCH(Q1012,Settings!$H$11:$H$15,0)),"No"))</f>
        <v/>
      </c>
      <c r="W1012" s="37" t="str">
        <f aca="false">IF(Q1012="","",IFERROR(INDEX(Settings!$J$11:$J$15,MATCH(Q1012,Settings!$H$11:$H$15,0)),"No"))</f>
        <v/>
      </c>
    </row>
    <row r="1013" customFormat="false" ht="15" hidden="false" customHeight="false" outlineLevel="0" collapsed="false">
      <c r="A1013" s="30"/>
      <c r="B1013" s="25"/>
      <c r="C1013" s="25"/>
      <c r="D1013" s="25"/>
      <c r="E1013" s="25"/>
      <c r="F1013" s="25"/>
      <c r="G1013" s="25"/>
      <c r="H1013" s="31"/>
      <c r="I1013" s="32"/>
      <c r="J1013" s="33"/>
      <c r="K1013" s="34" t="str">
        <f aca="false">IF(OR(H1013="",I1013=""),"",H1013*I1013*(1-N(J1013)))</f>
        <v/>
      </c>
      <c r="L1013" s="32"/>
      <c r="M1013" s="34" t="str">
        <f aca="false">IF(OR(H1013="",L1013=""),"",H1013*L1013)</f>
        <v/>
      </c>
      <c r="N1013" s="34" t="str">
        <f aca="false">IF(OR(K1013="",M1013=""),"",K1013-M1013)</f>
        <v/>
      </c>
      <c r="O1013" s="35" t="str">
        <f aca="false">IF(OR(N1013="",K1013=""),"",IF(K1013=0,"",N1013/K1013))</f>
        <v/>
      </c>
      <c r="P1013" s="25"/>
      <c r="Q1013" s="25"/>
      <c r="R1013" s="25"/>
      <c r="S1013" s="36" t="str">
        <f aca="false">IF(A1013="","",YEAR(A1013)+IF(AND(FYStart&gt;1,MONTH(A1013)&gt;=FYStart),1,0))</f>
        <v/>
      </c>
      <c r="T1013" s="36" t="str">
        <f aca="false">IF(A1013="","",MOD(MONTH(A1013)-FYStart,12)+1)</f>
        <v/>
      </c>
      <c r="U1013" s="37" t="str">
        <f aca="false">IF(A1013="","",TEXT(A1013,"mmm"))</f>
        <v/>
      </c>
      <c r="V1013" s="37" t="str">
        <f aca="false">IF(Q1013="","",IFERROR(INDEX(Settings!$I$11:$I$15,MATCH(Q1013,Settings!$H$11:$H$15,0)),"No"))</f>
        <v/>
      </c>
      <c r="W1013" s="37" t="str">
        <f aca="false">IF(Q1013="","",IFERROR(INDEX(Settings!$J$11:$J$15,MATCH(Q1013,Settings!$H$11:$H$15,0)),"No"))</f>
        <v/>
      </c>
    </row>
    <row r="1014" customFormat="false" ht="15" hidden="false" customHeight="false" outlineLevel="0" collapsed="false">
      <c r="A1014" s="30"/>
      <c r="B1014" s="25"/>
      <c r="C1014" s="25"/>
      <c r="D1014" s="25"/>
      <c r="E1014" s="25"/>
      <c r="F1014" s="25"/>
      <c r="G1014" s="25"/>
      <c r="H1014" s="31"/>
      <c r="I1014" s="32"/>
      <c r="J1014" s="33"/>
      <c r="K1014" s="34" t="str">
        <f aca="false">IF(OR(H1014="",I1014=""),"",H1014*I1014*(1-N(J1014)))</f>
        <v/>
      </c>
      <c r="L1014" s="32"/>
      <c r="M1014" s="34" t="str">
        <f aca="false">IF(OR(H1014="",L1014=""),"",H1014*L1014)</f>
        <v/>
      </c>
      <c r="N1014" s="34" t="str">
        <f aca="false">IF(OR(K1014="",M1014=""),"",K1014-M1014)</f>
        <v/>
      </c>
      <c r="O1014" s="35" t="str">
        <f aca="false">IF(OR(N1014="",K1014=""),"",IF(K1014=0,"",N1014/K1014))</f>
        <v/>
      </c>
      <c r="P1014" s="25"/>
      <c r="Q1014" s="25"/>
      <c r="R1014" s="25"/>
      <c r="S1014" s="36" t="str">
        <f aca="false">IF(A1014="","",YEAR(A1014)+IF(AND(FYStart&gt;1,MONTH(A1014)&gt;=FYStart),1,0))</f>
        <v/>
      </c>
      <c r="T1014" s="36" t="str">
        <f aca="false">IF(A1014="","",MOD(MONTH(A1014)-FYStart,12)+1)</f>
        <v/>
      </c>
      <c r="U1014" s="37" t="str">
        <f aca="false">IF(A1014="","",TEXT(A1014,"mmm"))</f>
        <v/>
      </c>
      <c r="V1014" s="37" t="str">
        <f aca="false">IF(Q1014="","",IFERROR(INDEX(Settings!$I$11:$I$15,MATCH(Q1014,Settings!$H$11:$H$15,0)),"No"))</f>
        <v/>
      </c>
      <c r="W1014" s="37" t="str">
        <f aca="false">IF(Q1014="","",IFERROR(INDEX(Settings!$J$11:$J$15,MATCH(Q1014,Settings!$H$11:$H$15,0)),"No"))</f>
        <v/>
      </c>
    </row>
    <row r="1015" customFormat="false" ht="15" hidden="false" customHeight="false" outlineLevel="0" collapsed="false">
      <c r="A1015" s="30"/>
      <c r="B1015" s="25"/>
      <c r="C1015" s="25"/>
      <c r="D1015" s="25"/>
      <c r="E1015" s="25"/>
      <c r="F1015" s="25"/>
      <c r="G1015" s="25"/>
      <c r="H1015" s="31"/>
      <c r="I1015" s="32"/>
      <c r="J1015" s="33"/>
      <c r="K1015" s="34" t="str">
        <f aca="false">IF(OR(H1015="",I1015=""),"",H1015*I1015*(1-N(J1015)))</f>
        <v/>
      </c>
      <c r="L1015" s="32"/>
      <c r="M1015" s="34" t="str">
        <f aca="false">IF(OR(H1015="",L1015=""),"",H1015*L1015)</f>
        <v/>
      </c>
      <c r="N1015" s="34" t="str">
        <f aca="false">IF(OR(K1015="",M1015=""),"",K1015-M1015)</f>
        <v/>
      </c>
      <c r="O1015" s="35" t="str">
        <f aca="false">IF(OR(N1015="",K1015=""),"",IF(K1015=0,"",N1015/K1015))</f>
        <v/>
      </c>
      <c r="P1015" s="25"/>
      <c r="Q1015" s="25"/>
      <c r="R1015" s="25"/>
      <c r="S1015" s="36" t="str">
        <f aca="false">IF(A1015="","",YEAR(A1015)+IF(AND(FYStart&gt;1,MONTH(A1015)&gt;=FYStart),1,0))</f>
        <v/>
      </c>
      <c r="T1015" s="36" t="str">
        <f aca="false">IF(A1015="","",MOD(MONTH(A1015)-FYStart,12)+1)</f>
        <v/>
      </c>
      <c r="U1015" s="37" t="str">
        <f aca="false">IF(A1015="","",TEXT(A1015,"mmm"))</f>
        <v/>
      </c>
      <c r="V1015" s="37" t="str">
        <f aca="false">IF(Q1015="","",IFERROR(INDEX(Settings!$I$11:$I$15,MATCH(Q1015,Settings!$H$11:$H$15,0)),"No"))</f>
        <v/>
      </c>
      <c r="W1015" s="37" t="str">
        <f aca="false">IF(Q1015="","",IFERROR(INDEX(Settings!$J$11:$J$15,MATCH(Q1015,Settings!$H$11:$H$15,0)),"No"))</f>
        <v/>
      </c>
    </row>
    <row r="1016" customFormat="false" ht="15" hidden="false" customHeight="false" outlineLevel="0" collapsed="false">
      <c r="A1016" s="30"/>
      <c r="B1016" s="25"/>
      <c r="C1016" s="25"/>
      <c r="D1016" s="25"/>
      <c r="E1016" s="25"/>
      <c r="F1016" s="25"/>
      <c r="G1016" s="25"/>
      <c r="H1016" s="31"/>
      <c r="I1016" s="32"/>
      <c r="J1016" s="33"/>
      <c r="K1016" s="34" t="str">
        <f aca="false">IF(OR(H1016="",I1016=""),"",H1016*I1016*(1-N(J1016)))</f>
        <v/>
      </c>
      <c r="L1016" s="32"/>
      <c r="M1016" s="34" t="str">
        <f aca="false">IF(OR(H1016="",L1016=""),"",H1016*L1016)</f>
        <v/>
      </c>
      <c r="N1016" s="34" t="str">
        <f aca="false">IF(OR(K1016="",M1016=""),"",K1016-M1016)</f>
        <v/>
      </c>
      <c r="O1016" s="35" t="str">
        <f aca="false">IF(OR(N1016="",K1016=""),"",IF(K1016=0,"",N1016/K1016))</f>
        <v/>
      </c>
      <c r="P1016" s="25"/>
      <c r="Q1016" s="25"/>
      <c r="R1016" s="25"/>
      <c r="S1016" s="36" t="str">
        <f aca="false">IF(A1016="","",YEAR(A1016)+IF(AND(FYStart&gt;1,MONTH(A1016)&gt;=FYStart),1,0))</f>
        <v/>
      </c>
      <c r="T1016" s="36" t="str">
        <f aca="false">IF(A1016="","",MOD(MONTH(A1016)-FYStart,12)+1)</f>
        <v/>
      </c>
      <c r="U1016" s="37" t="str">
        <f aca="false">IF(A1016="","",TEXT(A1016,"mmm"))</f>
        <v/>
      </c>
      <c r="V1016" s="37" t="str">
        <f aca="false">IF(Q1016="","",IFERROR(INDEX(Settings!$I$11:$I$15,MATCH(Q1016,Settings!$H$11:$H$15,0)),"No"))</f>
        <v/>
      </c>
      <c r="W1016" s="37" t="str">
        <f aca="false">IF(Q1016="","",IFERROR(INDEX(Settings!$J$11:$J$15,MATCH(Q1016,Settings!$H$11:$H$15,0)),"No"))</f>
        <v/>
      </c>
    </row>
    <row r="1017" customFormat="false" ht="15" hidden="false" customHeight="false" outlineLevel="0" collapsed="false">
      <c r="A1017" s="30"/>
      <c r="B1017" s="25"/>
      <c r="C1017" s="25"/>
      <c r="D1017" s="25"/>
      <c r="E1017" s="25"/>
      <c r="F1017" s="25"/>
      <c r="G1017" s="25"/>
      <c r="H1017" s="31"/>
      <c r="I1017" s="32"/>
      <c r="J1017" s="33"/>
      <c r="K1017" s="34" t="str">
        <f aca="false">IF(OR(H1017="",I1017=""),"",H1017*I1017*(1-N(J1017)))</f>
        <v/>
      </c>
      <c r="L1017" s="32"/>
      <c r="M1017" s="34" t="str">
        <f aca="false">IF(OR(H1017="",L1017=""),"",H1017*L1017)</f>
        <v/>
      </c>
      <c r="N1017" s="34" t="str">
        <f aca="false">IF(OR(K1017="",M1017=""),"",K1017-M1017)</f>
        <v/>
      </c>
      <c r="O1017" s="35" t="str">
        <f aca="false">IF(OR(N1017="",K1017=""),"",IF(K1017=0,"",N1017/K1017))</f>
        <v/>
      </c>
      <c r="P1017" s="25"/>
      <c r="Q1017" s="25"/>
      <c r="R1017" s="25"/>
      <c r="S1017" s="36" t="str">
        <f aca="false">IF(A1017="","",YEAR(A1017)+IF(AND(FYStart&gt;1,MONTH(A1017)&gt;=FYStart),1,0))</f>
        <v/>
      </c>
      <c r="T1017" s="36" t="str">
        <f aca="false">IF(A1017="","",MOD(MONTH(A1017)-FYStart,12)+1)</f>
        <v/>
      </c>
      <c r="U1017" s="37" t="str">
        <f aca="false">IF(A1017="","",TEXT(A1017,"mmm"))</f>
        <v/>
      </c>
      <c r="V1017" s="37" t="str">
        <f aca="false">IF(Q1017="","",IFERROR(INDEX(Settings!$I$11:$I$15,MATCH(Q1017,Settings!$H$11:$H$15,0)),"No"))</f>
        <v/>
      </c>
      <c r="W1017" s="37" t="str">
        <f aca="false">IF(Q1017="","",IFERROR(INDEX(Settings!$J$11:$J$15,MATCH(Q1017,Settings!$H$11:$H$15,0)),"No"))</f>
        <v/>
      </c>
    </row>
    <row r="1018" customFormat="false" ht="15" hidden="false" customHeight="false" outlineLevel="0" collapsed="false">
      <c r="A1018" s="30"/>
      <c r="B1018" s="25"/>
      <c r="C1018" s="25"/>
      <c r="D1018" s="25"/>
      <c r="E1018" s="25"/>
      <c r="F1018" s="25"/>
      <c r="G1018" s="25"/>
      <c r="H1018" s="31"/>
      <c r="I1018" s="32"/>
      <c r="J1018" s="33"/>
      <c r="K1018" s="34" t="str">
        <f aca="false">IF(OR(H1018="",I1018=""),"",H1018*I1018*(1-N(J1018)))</f>
        <v/>
      </c>
      <c r="L1018" s="32"/>
      <c r="M1018" s="34" t="str">
        <f aca="false">IF(OR(H1018="",L1018=""),"",H1018*L1018)</f>
        <v/>
      </c>
      <c r="N1018" s="34" t="str">
        <f aca="false">IF(OR(K1018="",M1018=""),"",K1018-M1018)</f>
        <v/>
      </c>
      <c r="O1018" s="35" t="str">
        <f aca="false">IF(OR(N1018="",K1018=""),"",IF(K1018=0,"",N1018/K1018))</f>
        <v/>
      </c>
      <c r="P1018" s="25"/>
      <c r="Q1018" s="25"/>
      <c r="R1018" s="25"/>
      <c r="S1018" s="36" t="str">
        <f aca="false">IF(A1018="","",YEAR(A1018)+IF(AND(FYStart&gt;1,MONTH(A1018)&gt;=FYStart),1,0))</f>
        <v/>
      </c>
      <c r="T1018" s="36" t="str">
        <f aca="false">IF(A1018="","",MOD(MONTH(A1018)-FYStart,12)+1)</f>
        <v/>
      </c>
      <c r="U1018" s="37" t="str">
        <f aca="false">IF(A1018="","",TEXT(A1018,"mmm"))</f>
        <v/>
      </c>
      <c r="V1018" s="37" t="str">
        <f aca="false">IF(Q1018="","",IFERROR(INDEX(Settings!$I$11:$I$15,MATCH(Q1018,Settings!$H$11:$H$15,0)),"No"))</f>
        <v/>
      </c>
      <c r="W1018" s="37" t="str">
        <f aca="false">IF(Q1018="","",IFERROR(INDEX(Settings!$J$11:$J$15,MATCH(Q1018,Settings!$H$11:$H$15,0)),"No"))</f>
        <v/>
      </c>
    </row>
    <row r="1019" customFormat="false" ht="15" hidden="false" customHeight="false" outlineLevel="0" collapsed="false">
      <c r="A1019" s="30"/>
      <c r="B1019" s="25"/>
      <c r="C1019" s="25"/>
      <c r="D1019" s="25"/>
      <c r="E1019" s="25"/>
      <c r="F1019" s="25"/>
      <c r="G1019" s="25"/>
      <c r="H1019" s="31"/>
      <c r="I1019" s="32"/>
      <c r="J1019" s="33"/>
      <c r="K1019" s="34" t="str">
        <f aca="false">IF(OR(H1019="",I1019=""),"",H1019*I1019*(1-N(J1019)))</f>
        <v/>
      </c>
      <c r="L1019" s="32"/>
      <c r="M1019" s="34" t="str">
        <f aca="false">IF(OR(H1019="",L1019=""),"",H1019*L1019)</f>
        <v/>
      </c>
      <c r="N1019" s="34" t="str">
        <f aca="false">IF(OR(K1019="",M1019=""),"",K1019-M1019)</f>
        <v/>
      </c>
      <c r="O1019" s="35" t="str">
        <f aca="false">IF(OR(N1019="",K1019=""),"",IF(K1019=0,"",N1019/K1019))</f>
        <v/>
      </c>
      <c r="P1019" s="25"/>
      <c r="Q1019" s="25"/>
      <c r="R1019" s="25"/>
      <c r="S1019" s="36" t="str">
        <f aca="false">IF(A1019="","",YEAR(A1019)+IF(AND(FYStart&gt;1,MONTH(A1019)&gt;=FYStart),1,0))</f>
        <v/>
      </c>
      <c r="T1019" s="36" t="str">
        <f aca="false">IF(A1019="","",MOD(MONTH(A1019)-FYStart,12)+1)</f>
        <v/>
      </c>
      <c r="U1019" s="37" t="str">
        <f aca="false">IF(A1019="","",TEXT(A1019,"mmm"))</f>
        <v/>
      </c>
      <c r="V1019" s="37" t="str">
        <f aca="false">IF(Q1019="","",IFERROR(INDEX(Settings!$I$11:$I$15,MATCH(Q1019,Settings!$H$11:$H$15,0)),"No"))</f>
        <v/>
      </c>
      <c r="W1019" s="37" t="str">
        <f aca="false">IF(Q1019="","",IFERROR(INDEX(Settings!$J$11:$J$15,MATCH(Q1019,Settings!$H$11:$H$15,0)),"No"))</f>
        <v/>
      </c>
    </row>
    <row r="1020" customFormat="false" ht="15" hidden="false" customHeight="false" outlineLevel="0" collapsed="false">
      <c r="A1020" s="30"/>
      <c r="B1020" s="25"/>
      <c r="C1020" s="25"/>
      <c r="D1020" s="25"/>
      <c r="E1020" s="25"/>
      <c r="F1020" s="25"/>
      <c r="G1020" s="25"/>
      <c r="H1020" s="31"/>
      <c r="I1020" s="32"/>
      <c r="J1020" s="33"/>
      <c r="K1020" s="34" t="str">
        <f aca="false">IF(OR(H1020="",I1020=""),"",H1020*I1020*(1-N(J1020)))</f>
        <v/>
      </c>
      <c r="L1020" s="32"/>
      <c r="M1020" s="34" t="str">
        <f aca="false">IF(OR(H1020="",L1020=""),"",H1020*L1020)</f>
        <v/>
      </c>
      <c r="N1020" s="34" t="str">
        <f aca="false">IF(OR(K1020="",M1020=""),"",K1020-M1020)</f>
        <v/>
      </c>
      <c r="O1020" s="35" t="str">
        <f aca="false">IF(OR(N1020="",K1020=""),"",IF(K1020=0,"",N1020/K1020))</f>
        <v/>
      </c>
      <c r="P1020" s="25"/>
      <c r="Q1020" s="25"/>
      <c r="R1020" s="25"/>
      <c r="S1020" s="36" t="str">
        <f aca="false">IF(A1020="","",YEAR(A1020)+IF(AND(FYStart&gt;1,MONTH(A1020)&gt;=FYStart),1,0))</f>
        <v/>
      </c>
      <c r="T1020" s="36" t="str">
        <f aca="false">IF(A1020="","",MOD(MONTH(A1020)-FYStart,12)+1)</f>
        <v/>
      </c>
      <c r="U1020" s="37" t="str">
        <f aca="false">IF(A1020="","",TEXT(A1020,"mmm"))</f>
        <v/>
      </c>
      <c r="V1020" s="37" t="str">
        <f aca="false">IF(Q1020="","",IFERROR(INDEX(Settings!$I$11:$I$15,MATCH(Q1020,Settings!$H$11:$H$15,0)),"No"))</f>
        <v/>
      </c>
      <c r="W1020" s="37" t="str">
        <f aca="false">IF(Q1020="","",IFERROR(INDEX(Settings!$J$11:$J$15,MATCH(Q1020,Settings!$H$11:$H$15,0)),"No"))</f>
        <v/>
      </c>
    </row>
    <row r="1021" customFormat="false" ht="15" hidden="false" customHeight="false" outlineLevel="0" collapsed="false">
      <c r="A1021" s="30"/>
      <c r="B1021" s="25"/>
      <c r="C1021" s="25"/>
      <c r="D1021" s="25"/>
      <c r="E1021" s="25"/>
      <c r="F1021" s="25"/>
      <c r="G1021" s="25"/>
      <c r="H1021" s="31"/>
      <c r="I1021" s="32"/>
      <c r="J1021" s="33"/>
      <c r="K1021" s="34" t="str">
        <f aca="false">IF(OR(H1021="",I1021=""),"",H1021*I1021*(1-N(J1021)))</f>
        <v/>
      </c>
      <c r="L1021" s="32"/>
      <c r="M1021" s="34" t="str">
        <f aca="false">IF(OR(H1021="",L1021=""),"",H1021*L1021)</f>
        <v/>
      </c>
      <c r="N1021" s="34" t="str">
        <f aca="false">IF(OR(K1021="",M1021=""),"",K1021-M1021)</f>
        <v/>
      </c>
      <c r="O1021" s="35" t="str">
        <f aca="false">IF(OR(N1021="",K1021=""),"",IF(K1021=0,"",N1021/K1021))</f>
        <v/>
      </c>
      <c r="P1021" s="25"/>
      <c r="Q1021" s="25"/>
      <c r="R1021" s="25"/>
      <c r="S1021" s="36" t="str">
        <f aca="false">IF(A1021="","",YEAR(A1021)+IF(AND(FYStart&gt;1,MONTH(A1021)&gt;=FYStart),1,0))</f>
        <v/>
      </c>
      <c r="T1021" s="36" t="str">
        <f aca="false">IF(A1021="","",MOD(MONTH(A1021)-FYStart,12)+1)</f>
        <v/>
      </c>
      <c r="U1021" s="37" t="str">
        <f aca="false">IF(A1021="","",TEXT(A1021,"mmm"))</f>
        <v/>
      </c>
      <c r="V1021" s="37" t="str">
        <f aca="false">IF(Q1021="","",IFERROR(INDEX(Settings!$I$11:$I$15,MATCH(Q1021,Settings!$H$11:$H$15,0)),"No"))</f>
        <v/>
      </c>
      <c r="W1021" s="37" t="str">
        <f aca="false">IF(Q1021="","",IFERROR(INDEX(Settings!$J$11:$J$15,MATCH(Q1021,Settings!$H$11:$H$15,0)),"No"))</f>
        <v/>
      </c>
    </row>
    <row r="1022" customFormat="false" ht="15" hidden="false" customHeight="false" outlineLevel="0" collapsed="false">
      <c r="A1022" s="30"/>
      <c r="B1022" s="25"/>
      <c r="C1022" s="25"/>
      <c r="D1022" s="25"/>
      <c r="E1022" s="25"/>
      <c r="F1022" s="25"/>
      <c r="G1022" s="25"/>
      <c r="H1022" s="31"/>
      <c r="I1022" s="32"/>
      <c r="J1022" s="33"/>
      <c r="K1022" s="34" t="str">
        <f aca="false">IF(OR(H1022="",I1022=""),"",H1022*I1022*(1-N(J1022)))</f>
        <v/>
      </c>
      <c r="L1022" s="32"/>
      <c r="M1022" s="34" t="str">
        <f aca="false">IF(OR(H1022="",L1022=""),"",H1022*L1022)</f>
        <v/>
      </c>
      <c r="N1022" s="34" t="str">
        <f aca="false">IF(OR(K1022="",M1022=""),"",K1022-M1022)</f>
        <v/>
      </c>
      <c r="O1022" s="35" t="str">
        <f aca="false">IF(OR(N1022="",K1022=""),"",IF(K1022=0,"",N1022/K1022))</f>
        <v/>
      </c>
      <c r="P1022" s="25"/>
      <c r="Q1022" s="25"/>
      <c r="R1022" s="25"/>
      <c r="S1022" s="36" t="str">
        <f aca="false">IF(A1022="","",YEAR(A1022)+IF(AND(FYStart&gt;1,MONTH(A1022)&gt;=FYStart),1,0))</f>
        <v/>
      </c>
      <c r="T1022" s="36" t="str">
        <f aca="false">IF(A1022="","",MOD(MONTH(A1022)-FYStart,12)+1)</f>
        <v/>
      </c>
      <c r="U1022" s="37" t="str">
        <f aca="false">IF(A1022="","",TEXT(A1022,"mmm"))</f>
        <v/>
      </c>
      <c r="V1022" s="37" t="str">
        <f aca="false">IF(Q1022="","",IFERROR(INDEX(Settings!$I$11:$I$15,MATCH(Q1022,Settings!$H$11:$H$15,0)),"No"))</f>
        <v/>
      </c>
      <c r="W1022" s="37" t="str">
        <f aca="false">IF(Q1022="","",IFERROR(INDEX(Settings!$J$11:$J$15,MATCH(Q1022,Settings!$H$11:$H$15,0)),"No"))</f>
        <v/>
      </c>
    </row>
    <row r="1023" customFormat="false" ht="15" hidden="false" customHeight="false" outlineLevel="0" collapsed="false">
      <c r="A1023" s="30"/>
      <c r="B1023" s="25"/>
      <c r="C1023" s="25"/>
      <c r="D1023" s="25"/>
      <c r="E1023" s="25"/>
      <c r="F1023" s="25"/>
      <c r="G1023" s="25"/>
      <c r="H1023" s="31"/>
      <c r="I1023" s="32"/>
      <c r="J1023" s="33"/>
      <c r="K1023" s="34" t="str">
        <f aca="false">IF(OR(H1023="",I1023=""),"",H1023*I1023*(1-N(J1023)))</f>
        <v/>
      </c>
      <c r="L1023" s="32"/>
      <c r="M1023" s="34" t="str">
        <f aca="false">IF(OR(H1023="",L1023=""),"",H1023*L1023)</f>
        <v/>
      </c>
      <c r="N1023" s="34" t="str">
        <f aca="false">IF(OR(K1023="",M1023=""),"",K1023-M1023)</f>
        <v/>
      </c>
      <c r="O1023" s="35" t="str">
        <f aca="false">IF(OR(N1023="",K1023=""),"",IF(K1023=0,"",N1023/K1023))</f>
        <v/>
      </c>
      <c r="P1023" s="25"/>
      <c r="Q1023" s="25"/>
      <c r="R1023" s="25"/>
      <c r="S1023" s="36" t="str">
        <f aca="false">IF(A1023="","",YEAR(A1023)+IF(AND(FYStart&gt;1,MONTH(A1023)&gt;=FYStart),1,0))</f>
        <v/>
      </c>
      <c r="T1023" s="36" t="str">
        <f aca="false">IF(A1023="","",MOD(MONTH(A1023)-FYStart,12)+1)</f>
        <v/>
      </c>
      <c r="U1023" s="37" t="str">
        <f aca="false">IF(A1023="","",TEXT(A1023,"mmm"))</f>
        <v/>
      </c>
      <c r="V1023" s="37" t="str">
        <f aca="false">IF(Q1023="","",IFERROR(INDEX(Settings!$I$11:$I$15,MATCH(Q1023,Settings!$H$11:$H$15,0)),"No"))</f>
        <v/>
      </c>
      <c r="W1023" s="37" t="str">
        <f aca="false">IF(Q1023="","",IFERROR(INDEX(Settings!$J$11:$J$15,MATCH(Q1023,Settings!$H$11:$H$15,0)),"No"))</f>
        <v/>
      </c>
    </row>
    <row r="1024" customFormat="false" ht="15" hidden="false" customHeight="false" outlineLevel="0" collapsed="false">
      <c r="A1024" s="30"/>
      <c r="B1024" s="25"/>
      <c r="C1024" s="25"/>
      <c r="D1024" s="25"/>
      <c r="E1024" s="25"/>
      <c r="F1024" s="25"/>
      <c r="G1024" s="25"/>
      <c r="H1024" s="31"/>
      <c r="I1024" s="32"/>
      <c r="J1024" s="33"/>
      <c r="K1024" s="34" t="str">
        <f aca="false">IF(OR(H1024="",I1024=""),"",H1024*I1024*(1-N(J1024)))</f>
        <v/>
      </c>
      <c r="L1024" s="32"/>
      <c r="M1024" s="34" t="str">
        <f aca="false">IF(OR(H1024="",L1024=""),"",H1024*L1024)</f>
        <v/>
      </c>
      <c r="N1024" s="34" t="str">
        <f aca="false">IF(OR(K1024="",M1024=""),"",K1024-M1024)</f>
        <v/>
      </c>
      <c r="O1024" s="35" t="str">
        <f aca="false">IF(OR(N1024="",K1024=""),"",IF(K1024=0,"",N1024/K1024))</f>
        <v/>
      </c>
      <c r="P1024" s="25"/>
      <c r="Q1024" s="25"/>
      <c r="R1024" s="25"/>
      <c r="S1024" s="36" t="str">
        <f aca="false">IF(A1024="","",YEAR(A1024)+IF(AND(FYStart&gt;1,MONTH(A1024)&gt;=FYStart),1,0))</f>
        <v/>
      </c>
      <c r="T1024" s="36" t="str">
        <f aca="false">IF(A1024="","",MOD(MONTH(A1024)-FYStart,12)+1)</f>
        <v/>
      </c>
      <c r="U1024" s="37" t="str">
        <f aca="false">IF(A1024="","",TEXT(A1024,"mmm"))</f>
        <v/>
      </c>
      <c r="V1024" s="37" t="str">
        <f aca="false">IF(Q1024="","",IFERROR(INDEX(Settings!$I$11:$I$15,MATCH(Q1024,Settings!$H$11:$H$15,0)),"No"))</f>
        <v/>
      </c>
      <c r="W1024" s="37" t="str">
        <f aca="false">IF(Q1024="","",IFERROR(INDEX(Settings!$J$11:$J$15,MATCH(Q1024,Settings!$H$11:$H$15,0)),"No"))</f>
        <v/>
      </c>
    </row>
    <row r="1025" customFormat="false" ht="15" hidden="false" customHeight="false" outlineLevel="0" collapsed="false">
      <c r="A1025" s="30"/>
      <c r="B1025" s="25"/>
      <c r="C1025" s="25"/>
      <c r="D1025" s="25"/>
      <c r="E1025" s="25"/>
      <c r="F1025" s="25"/>
      <c r="G1025" s="25"/>
      <c r="H1025" s="31"/>
      <c r="I1025" s="32"/>
      <c r="J1025" s="33"/>
      <c r="K1025" s="34" t="str">
        <f aca="false">IF(OR(H1025="",I1025=""),"",H1025*I1025*(1-N(J1025)))</f>
        <v/>
      </c>
      <c r="L1025" s="32"/>
      <c r="M1025" s="34" t="str">
        <f aca="false">IF(OR(H1025="",L1025=""),"",H1025*L1025)</f>
        <v/>
      </c>
      <c r="N1025" s="34" t="str">
        <f aca="false">IF(OR(K1025="",M1025=""),"",K1025-M1025)</f>
        <v/>
      </c>
      <c r="O1025" s="35" t="str">
        <f aca="false">IF(OR(N1025="",K1025=""),"",IF(K1025=0,"",N1025/K1025))</f>
        <v/>
      </c>
      <c r="P1025" s="25"/>
      <c r="Q1025" s="25"/>
      <c r="R1025" s="25"/>
      <c r="S1025" s="36" t="str">
        <f aca="false">IF(A1025="","",YEAR(A1025)+IF(AND(FYStart&gt;1,MONTH(A1025)&gt;=FYStart),1,0))</f>
        <v/>
      </c>
      <c r="T1025" s="36" t="str">
        <f aca="false">IF(A1025="","",MOD(MONTH(A1025)-FYStart,12)+1)</f>
        <v/>
      </c>
      <c r="U1025" s="37" t="str">
        <f aca="false">IF(A1025="","",TEXT(A1025,"mmm"))</f>
        <v/>
      </c>
      <c r="V1025" s="37" t="str">
        <f aca="false">IF(Q1025="","",IFERROR(INDEX(Settings!$I$11:$I$15,MATCH(Q1025,Settings!$H$11:$H$15,0)),"No"))</f>
        <v/>
      </c>
      <c r="W1025" s="37" t="str">
        <f aca="false">IF(Q1025="","",IFERROR(INDEX(Settings!$J$11:$J$15,MATCH(Q1025,Settings!$H$11:$H$15,0)),"No"))</f>
        <v/>
      </c>
    </row>
    <row r="1026" customFormat="false" ht="15" hidden="false" customHeight="false" outlineLevel="0" collapsed="false">
      <c r="A1026" s="30"/>
      <c r="B1026" s="25"/>
      <c r="C1026" s="25"/>
      <c r="D1026" s="25"/>
      <c r="E1026" s="25"/>
      <c r="F1026" s="25"/>
      <c r="G1026" s="25"/>
      <c r="H1026" s="31"/>
      <c r="I1026" s="32"/>
      <c r="J1026" s="33"/>
      <c r="K1026" s="34" t="str">
        <f aca="false">IF(OR(H1026="",I1026=""),"",H1026*I1026*(1-N(J1026)))</f>
        <v/>
      </c>
      <c r="L1026" s="32"/>
      <c r="M1026" s="34" t="str">
        <f aca="false">IF(OR(H1026="",L1026=""),"",H1026*L1026)</f>
        <v/>
      </c>
      <c r="N1026" s="34" t="str">
        <f aca="false">IF(OR(K1026="",M1026=""),"",K1026-M1026)</f>
        <v/>
      </c>
      <c r="O1026" s="35" t="str">
        <f aca="false">IF(OR(N1026="",K1026=""),"",IF(K1026=0,"",N1026/K1026))</f>
        <v/>
      </c>
      <c r="P1026" s="25"/>
      <c r="Q1026" s="25"/>
      <c r="R1026" s="25"/>
      <c r="S1026" s="36" t="str">
        <f aca="false">IF(A1026="","",YEAR(A1026)+IF(AND(FYStart&gt;1,MONTH(A1026)&gt;=FYStart),1,0))</f>
        <v/>
      </c>
      <c r="T1026" s="36" t="str">
        <f aca="false">IF(A1026="","",MOD(MONTH(A1026)-FYStart,12)+1)</f>
        <v/>
      </c>
      <c r="U1026" s="37" t="str">
        <f aca="false">IF(A1026="","",TEXT(A1026,"mmm"))</f>
        <v/>
      </c>
      <c r="V1026" s="37" t="str">
        <f aca="false">IF(Q1026="","",IFERROR(INDEX(Settings!$I$11:$I$15,MATCH(Q1026,Settings!$H$11:$H$15,0)),"No"))</f>
        <v/>
      </c>
      <c r="W1026" s="37" t="str">
        <f aca="false">IF(Q1026="","",IFERROR(INDEX(Settings!$J$11:$J$15,MATCH(Q1026,Settings!$H$11:$H$15,0)),"No"))</f>
        <v/>
      </c>
    </row>
    <row r="1027" customFormat="false" ht="15" hidden="false" customHeight="false" outlineLevel="0" collapsed="false">
      <c r="A1027" s="30"/>
      <c r="B1027" s="25"/>
      <c r="C1027" s="25"/>
      <c r="D1027" s="25"/>
      <c r="E1027" s="25"/>
      <c r="F1027" s="25"/>
      <c r="G1027" s="25"/>
      <c r="H1027" s="31"/>
      <c r="I1027" s="32"/>
      <c r="J1027" s="33"/>
      <c r="K1027" s="34" t="str">
        <f aca="false">IF(OR(H1027="",I1027=""),"",H1027*I1027*(1-N(J1027)))</f>
        <v/>
      </c>
      <c r="L1027" s="32"/>
      <c r="M1027" s="34" t="str">
        <f aca="false">IF(OR(H1027="",L1027=""),"",H1027*L1027)</f>
        <v/>
      </c>
      <c r="N1027" s="34" t="str">
        <f aca="false">IF(OR(K1027="",M1027=""),"",K1027-M1027)</f>
        <v/>
      </c>
      <c r="O1027" s="35" t="str">
        <f aca="false">IF(OR(N1027="",K1027=""),"",IF(K1027=0,"",N1027/K1027))</f>
        <v/>
      </c>
      <c r="P1027" s="25"/>
      <c r="Q1027" s="25"/>
      <c r="R1027" s="25"/>
      <c r="S1027" s="36" t="str">
        <f aca="false">IF(A1027="","",YEAR(A1027)+IF(AND(FYStart&gt;1,MONTH(A1027)&gt;=FYStart),1,0))</f>
        <v/>
      </c>
      <c r="T1027" s="36" t="str">
        <f aca="false">IF(A1027="","",MOD(MONTH(A1027)-FYStart,12)+1)</f>
        <v/>
      </c>
      <c r="U1027" s="37" t="str">
        <f aca="false">IF(A1027="","",TEXT(A1027,"mmm"))</f>
        <v/>
      </c>
      <c r="V1027" s="37" t="str">
        <f aca="false">IF(Q1027="","",IFERROR(INDEX(Settings!$I$11:$I$15,MATCH(Q1027,Settings!$H$11:$H$15,0)),"No"))</f>
        <v/>
      </c>
      <c r="W1027" s="37" t="str">
        <f aca="false">IF(Q1027="","",IFERROR(INDEX(Settings!$J$11:$J$15,MATCH(Q1027,Settings!$H$11:$H$15,0)),"No"))</f>
        <v/>
      </c>
    </row>
    <row r="1028" customFormat="false" ht="15" hidden="false" customHeight="false" outlineLevel="0" collapsed="false">
      <c r="A1028" s="30"/>
      <c r="B1028" s="25"/>
      <c r="C1028" s="25"/>
      <c r="D1028" s="25"/>
      <c r="E1028" s="25"/>
      <c r="F1028" s="25"/>
      <c r="G1028" s="25"/>
      <c r="H1028" s="31"/>
      <c r="I1028" s="32"/>
      <c r="J1028" s="33"/>
      <c r="K1028" s="34" t="str">
        <f aca="false">IF(OR(H1028="",I1028=""),"",H1028*I1028*(1-N(J1028)))</f>
        <v/>
      </c>
      <c r="L1028" s="32"/>
      <c r="M1028" s="34" t="str">
        <f aca="false">IF(OR(H1028="",L1028=""),"",H1028*L1028)</f>
        <v/>
      </c>
      <c r="N1028" s="34" t="str">
        <f aca="false">IF(OR(K1028="",M1028=""),"",K1028-M1028)</f>
        <v/>
      </c>
      <c r="O1028" s="35" t="str">
        <f aca="false">IF(OR(N1028="",K1028=""),"",IF(K1028=0,"",N1028/K1028))</f>
        <v/>
      </c>
      <c r="P1028" s="25"/>
      <c r="Q1028" s="25"/>
      <c r="R1028" s="25"/>
      <c r="S1028" s="36" t="str">
        <f aca="false">IF(A1028="","",YEAR(A1028)+IF(AND(FYStart&gt;1,MONTH(A1028)&gt;=FYStart),1,0))</f>
        <v/>
      </c>
      <c r="T1028" s="36" t="str">
        <f aca="false">IF(A1028="","",MOD(MONTH(A1028)-FYStart,12)+1)</f>
        <v/>
      </c>
      <c r="U1028" s="37" t="str">
        <f aca="false">IF(A1028="","",TEXT(A1028,"mmm"))</f>
        <v/>
      </c>
      <c r="V1028" s="37" t="str">
        <f aca="false">IF(Q1028="","",IFERROR(INDEX(Settings!$I$11:$I$15,MATCH(Q1028,Settings!$H$11:$H$15,0)),"No"))</f>
        <v/>
      </c>
      <c r="W1028" s="37" t="str">
        <f aca="false">IF(Q1028="","",IFERROR(INDEX(Settings!$J$11:$J$15,MATCH(Q1028,Settings!$H$11:$H$15,0)),"No"))</f>
        <v/>
      </c>
    </row>
    <row r="1029" customFormat="false" ht="15" hidden="false" customHeight="false" outlineLevel="0" collapsed="false">
      <c r="A1029" s="30"/>
      <c r="B1029" s="25"/>
      <c r="C1029" s="25"/>
      <c r="D1029" s="25"/>
      <c r="E1029" s="25"/>
      <c r="F1029" s="25"/>
      <c r="G1029" s="25"/>
      <c r="H1029" s="31"/>
      <c r="I1029" s="32"/>
      <c r="J1029" s="33"/>
      <c r="K1029" s="34" t="str">
        <f aca="false">IF(OR(H1029="",I1029=""),"",H1029*I1029*(1-N(J1029)))</f>
        <v/>
      </c>
      <c r="L1029" s="32"/>
      <c r="M1029" s="34" t="str">
        <f aca="false">IF(OR(H1029="",L1029=""),"",H1029*L1029)</f>
        <v/>
      </c>
      <c r="N1029" s="34" t="str">
        <f aca="false">IF(OR(K1029="",M1029=""),"",K1029-M1029)</f>
        <v/>
      </c>
      <c r="O1029" s="35" t="str">
        <f aca="false">IF(OR(N1029="",K1029=""),"",IF(K1029=0,"",N1029/K1029))</f>
        <v/>
      </c>
      <c r="P1029" s="25"/>
      <c r="Q1029" s="25"/>
      <c r="R1029" s="25"/>
      <c r="S1029" s="36" t="str">
        <f aca="false">IF(A1029="","",YEAR(A1029)+IF(AND(FYStart&gt;1,MONTH(A1029)&gt;=FYStart),1,0))</f>
        <v/>
      </c>
      <c r="T1029" s="36" t="str">
        <f aca="false">IF(A1029="","",MOD(MONTH(A1029)-FYStart,12)+1)</f>
        <v/>
      </c>
      <c r="U1029" s="37" t="str">
        <f aca="false">IF(A1029="","",TEXT(A1029,"mmm"))</f>
        <v/>
      </c>
      <c r="V1029" s="37" t="str">
        <f aca="false">IF(Q1029="","",IFERROR(INDEX(Settings!$I$11:$I$15,MATCH(Q1029,Settings!$H$11:$H$15,0)),"No"))</f>
        <v/>
      </c>
      <c r="W1029" s="37" t="str">
        <f aca="false">IF(Q1029="","",IFERROR(INDEX(Settings!$J$11:$J$15,MATCH(Q1029,Settings!$H$11:$H$15,0)),"No"))</f>
        <v/>
      </c>
    </row>
    <row r="1030" customFormat="false" ht="15" hidden="false" customHeight="false" outlineLevel="0" collapsed="false">
      <c r="A1030" s="30"/>
      <c r="B1030" s="25"/>
      <c r="C1030" s="25"/>
      <c r="D1030" s="25"/>
      <c r="E1030" s="25"/>
      <c r="F1030" s="25"/>
      <c r="G1030" s="25"/>
      <c r="H1030" s="31"/>
      <c r="I1030" s="32"/>
      <c r="J1030" s="33"/>
      <c r="K1030" s="34" t="str">
        <f aca="false">IF(OR(H1030="",I1030=""),"",H1030*I1030*(1-N(J1030)))</f>
        <v/>
      </c>
      <c r="L1030" s="32"/>
      <c r="M1030" s="34" t="str">
        <f aca="false">IF(OR(H1030="",L1030=""),"",H1030*L1030)</f>
        <v/>
      </c>
      <c r="N1030" s="34" t="str">
        <f aca="false">IF(OR(K1030="",M1030=""),"",K1030-M1030)</f>
        <v/>
      </c>
      <c r="O1030" s="35" t="str">
        <f aca="false">IF(OR(N1030="",K1030=""),"",IF(K1030=0,"",N1030/K1030))</f>
        <v/>
      </c>
      <c r="P1030" s="25"/>
      <c r="Q1030" s="25"/>
      <c r="R1030" s="25"/>
      <c r="S1030" s="36" t="str">
        <f aca="false">IF(A1030="","",YEAR(A1030)+IF(AND(FYStart&gt;1,MONTH(A1030)&gt;=FYStart),1,0))</f>
        <v/>
      </c>
      <c r="T1030" s="36" t="str">
        <f aca="false">IF(A1030="","",MOD(MONTH(A1030)-FYStart,12)+1)</f>
        <v/>
      </c>
      <c r="U1030" s="37" t="str">
        <f aca="false">IF(A1030="","",TEXT(A1030,"mmm"))</f>
        <v/>
      </c>
      <c r="V1030" s="37" t="str">
        <f aca="false">IF(Q1030="","",IFERROR(INDEX(Settings!$I$11:$I$15,MATCH(Q1030,Settings!$H$11:$H$15,0)),"No"))</f>
        <v/>
      </c>
      <c r="W1030" s="37" t="str">
        <f aca="false">IF(Q1030="","",IFERROR(INDEX(Settings!$J$11:$J$15,MATCH(Q1030,Settings!$H$11:$H$15,0)),"No"))</f>
        <v/>
      </c>
    </row>
    <row r="1031" customFormat="false" ht="15" hidden="false" customHeight="false" outlineLevel="0" collapsed="false">
      <c r="A1031" s="30"/>
      <c r="B1031" s="25"/>
      <c r="C1031" s="25"/>
      <c r="D1031" s="25"/>
      <c r="E1031" s="25"/>
      <c r="F1031" s="25"/>
      <c r="G1031" s="25"/>
      <c r="H1031" s="31"/>
      <c r="I1031" s="32"/>
      <c r="J1031" s="33"/>
      <c r="K1031" s="34" t="str">
        <f aca="false">IF(OR(H1031="",I1031=""),"",H1031*I1031*(1-N(J1031)))</f>
        <v/>
      </c>
      <c r="L1031" s="32"/>
      <c r="M1031" s="34" t="str">
        <f aca="false">IF(OR(H1031="",L1031=""),"",H1031*L1031)</f>
        <v/>
      </c>
      <c r="N1031" s="34" t="str">
        <f aca="false">IF(OR(K1031="",M1031=""),"",K1031-M1031)</f>
        <v/>
      </c>
      <c r="O1031" s="35" t="str">
        <f aca="false">IF(OR(N1031="",K1031=""),"",IF(K1031=0,"",N1031/K1031))</f>
        <v/>
      </c>
      <c r="P1031" s="25"/>
      <c r="Q1031" s="25"/>
      <c r="R1031" s="25"/>
      <c r="S1031" s="36" t="str">
        <f aca="false">IF(A1031="","",YEAR(A1031)+IF(AND(FYStart&gt;1,MONTH(A1031)&gt;=FYStart),1,0))</f>
        <v/>
      </c>
      <c r="T1031" s="36" t="str">
        <f aca="false">IF(A1031="","",MOD(MONTH(A1031)-FYStart,12)+1)</f>
        <v/>
      </c>
      <c r="U1031" s="37" t="str">
        <f aca="false">IF(A1031="","",TEXT(A1031,"mmm"))</f>
        <v/>
      </c>
      <c r="V1031" s="37" t="str">
        <f aca="false">IF(Q1031="","",IFERROR(INDEX(Settings!$I$11:$I$15,MATCH(Q1031,Settings!$H$11:$H$15,0)),"No"))</f>
        <v/>
      </c>
      <c r="W1031" s="37" t="str">
        <f aca="false">IF(Q1031="","",IFERROR(INDEX(Settings!$J$11:$J$15,MATCH(Q1031,Settings!$H$11:$H$15,0)),"No"))</f>
        <v/>
      </c>
    </row>
    <row r="1032" customFormat="false" ht="15" hidden="false" customHeight="false" outlineLevel="0" collapsed="false">
      <c r="A1032" s="30"/>
      <c r="B1032" s="25"/>
      <c r="C1032" s="25"/>
      <c r="D1032" s="25"/>
      <c r="E1032" s="25"/>
      <c r="F1032" s="25"/>
      <c r="G1032" s="25"/>
      <c r="H1032" s="31"/>
      <c r="I1032" s="32"/>
      <c r="J1032" s="33"/>
      <c r="K1032" s="34" t="str">
        <f aca="false">IF(OR(H1032="",I1032=""),"",H1032*I1032*(1-N(J1032)))</f>
        <v/>
      </c>
      <c r="L1032" s="32"/>
      <c r="M1032" s="34" t="str">
        <f aca="false">IF(OR(H1032="",L1032=""),"",H1032*L1032)</f>
        <v/>
      </c>
      <c r="N1032" s="34" t="str">
        <f aca="false">IF(OR(K1032="",M1032=""),"",K1032-M1032)</f>
        <v/>
      </c>
      <c r="O1032" s="35" t="str">
        <f aca="false">IF(OR(N1032="",K1032=""),"",IF(K1032=0,"",N1032/K1032))</f>
        <v/>
      </c>
      <c r="P1032" s="25"/>
      <c r="Q1032" s="25"/>
      <c r="R1032" s="25"/>
      <c r="S1032" s="36" t="str">
        <f aca="false">IF(A1032="","",YEAR(A1032)+IF(AND(FYStart&gt;1,MONTH(A1032)&gt;=FYStart),1,0))</f>
        <v/>
      </c>
      <c r="T1032" s="36" t="str">
        <f aca="false">IF(A1032="","",MOD(MONTH(A1032)-FYStart,12)+1)</f>
        <v/>
      </c>
      <c r="U1032" s="37" t="str">
        <f aca="false">IF(A1032="","",TEXT(A1032,"mmm"))</f>
        <v/>
      </c>
      <c r="V1032" s="37" t="str">
        <f aca="false">IF(Q1032="","",IFERROR(INDEX(Settings!$I$11:$I$15,MATCH(Q1032,Settings!$H$11:$H$15,0)),"No"))</f>
        <v/>
      </c>
      <c r="W1032" s="37" t="str">
        <f aca="false">IF(Q1032="","",IFERROR(INDEX(Settings!$J$11:$J$15,MATCH(Q1032,Settings!$H$11:$H$15,0)),"No"))</f>
        <v/>
      </c>
    </row>
    <row r="1033" customFormat="false" ht="15" hidden="false" customHeight="false" outlineLevel="0" collapsed="false">
      <c r="A1033" s="30"/>
      <c r="B1033" s="25"/>
      <c r="C1033" s="25"/>
      <c r="D1033" s="25"/>
      <c r="E1033" s="25"/>
      <c r="F1033" s="25"/>
      <c r="G1033" s="25"/>
      <c r="H1033" s="31"/>
      <c r="I1033" s="32"/>
      <c r="J1033" s="33"/>
      <c r="K1033" s="34" t="str">
        <f aca="false">IF(OR(H1033="",I1033=""),"",H1033*I1033*(1-N(J1033)))</f>
        <v/>
      </c>
      <c r="L1033" s="32"/>
      <c r="M1033" s="34" t="str">
        <f aca="false">IF(OR(H1033="",L1033=""),"",H1033*L1033)</f>
        <v/>
      </c>
      <c r="N1033" s="34" t="str">
        <f aca="false">IF(OR(K1033="",M1033=""),"",K1033-M1033)</f>
        <v/>
      </c>
      <c r="O1033" s="35" t="str">
        <f aca="false">IF(OR(N1033="",K1033=""),"",IF(K1033=0,"",N1033/K1033))</f>
        <v/>
      </c>
      <c r="P1033" s="25"/>
      <c r="Q1033" s="25"/>
      <c r="R1033" s="25"/>
      <c r="S1033" s="36" t="str">
        <f aca="false">IF(A1033="","",YEAR(A1033)+IF(AND(FYStart&gt;1,MONTH(A1033)&gt;=FYStart),1,0))</f>
        <v/>
      </c>
      <c r="T1033" s="36" t="str">
        <f aca="false">IF(A1033="","",MOD(MONTH(A1033)-FYStart,12)+1)</f>
        <v/>
      </c>
      <c r="U1033" s="37" t="str">
        <f aca="false">IF(A1033="","",TEXT(A1033,"mmm"))</f>
        <v/>
      </c>
      <c r="V1033" s="37" t="str">
        <f aca="false">IF(Q1033="","",IFERROR(INDEX(Settings!$I$11:$I$15,MATCH(Q1033,Settings!$H$11:$H$15,0)),"No"))</f>
        <v/>
      </c>
      <c r="W1033" s="37" t="str">
        <f aca="false">IF(Q1033="","",IFERROR(INDEX(Settings!$J$11:$J$15,MATCH(Q1033,Settings!$H$11:$H$15,0)),"No"))</f>
        <v/>
      </c>
    </row>
    <row r="1034" customFormat="false" ht="15" hidden="false" customHeight="false" outlineLevel="0" collapsed="false">
      <c r="A1034" s="30"/>
      <c r="B1034" s="25"/>
      <c r="C1034" s="25"/>
      <c r="D1034" s="25"/>
      <c r="E1034" s="25"/>
      <c r="F1034" s="25"/>
      <c r="G1034" s="25"/>
      <c r="H1034" s="31"/>
      <c r="I1034" s="32"/>
      <c r="J1034" s="33"/>
      <c r="K1034" s="34" t="str">
        <f aca="false">IF(OR(H1034="",I1034=""),"",H1034*I1034*(1-N(J1034)))</f>
        <v/>
      </c>
      <c r="L1034" s="32"/>
      <c r="M1034" s="34" t="str">
        <f aca="false">IF(OR(H1034="",L1034=""),"",H1034*L1034)</f>
        <v/>
      </c>
      <c r="N1034" s="34" t="str">
        <f aca="false">IF(OR(K1034="",M1034=""),"",K1034-M1034)</f>
        <v/>
      </c>
      <c r="O1034" s="35" t="str">
        <f aca="false">IF(OR(N1034="",K1034=""),"",IF(K1034=0,"",N1034/K1034))</f>
        <v/>
      </c>
      <c r="P1034" s="25"/>
      <c r="Q1034" s="25"/>
      <c r="R1034" s="25"/>
      <c r="S1034" s="36" t="str">
        <f aca="false">IF(A1034="","",YEAR(A1034)+IF(AND(FYStart&gt;1,MONTH(A1034)&gt;=FYStart),1,0))</f>
        <v/>
      </c>
      <c r="T1034" s="36" t="str">
        <f aca="false">IF(A1034="","",MOD(MONTH(A1034)-FYStart,12)+1)</f>
        <v/>
      </c>
      <c r="U1034" s="37" t="str">
        <f aca="false">IF(A1034="","",TEXT(A1034,"mmm"))</f>
        <v/>
      </c>
      <c r="V1034" s="37" t="str">
        <f aca="false">IF(Q1034="","",IFERROR(INDEX(Settings!$I$11:$I$15,MATCH(Q1034,Settings!$H$11:$H$15,0)),"No"))</f>
        <v/>
      </c>
      <c r="W1034" s="37" t="str">
        <f aca="false">IF(Q1034="","",IFERROR(INDEX(Settings!$J$11:$J$15,MATCH(Q1034,Settings!$H$11:$H$15,0)),"No"))</f>
        <v/>
      </c>
    </row>
    <row r="1035" customFormat="false" ht="15" hidden="false" customHeight="false" outlineLevel="0" collapsed="false">
      <c r="A1035" s="30"/>
      <c r="B1035" s="25"/>
      <c r="C1035" s="25"/>
      <c r="D1035" s="25"/>
      <c r="E1035" s="25"/>
      <c r="F1035" s="25"/>
      <c r="G1035" s="25"/>
      <c r="H1035" s="31"/>
      <c r="I1035" s="32"/>
      <c r="J1035" s="33"/>
      <c r="K1035" s="34" t="str">
        <f aca="false">IF(OR(H1035="",I1035=""),"",H1035*I1035*(1-N(J1035)))</f>
        <v/>
      </c>
      <c r="L1035" s="32"/>
      <c r="M1035" s="34" t="str">
        <f aca="false">IF(OR(H1035="",L1035=""),"",H1035*L1035)</f>
        <v/>
      </c>
      <c r="N1035" s="34" t="str">
        <f aca="false">IF(OR(K1035="",M1035=""),"",K1035-M1035)</f>
        <v/>
      </c>
      <c r="O1035" s="35" t="str">
        <f aca="false">IF(OR(N1035="",K1035=""),"",IF(K1035=0,"",N1035/K1035))</f>
        <v/>
      </c>
      <c r="P1035" s="25"/>
      <c r="Q1035" s="25"/>
      <c r="R1035" s="25"/>
      <c r="S1035" s="36" t="str">
        <f aca="false">IF(A1035="","",YEAR(A1035)+IF(AND(FYStart&gt;1,MONTH(A1035)&gt;=FYStart),1,0))</f>
        <v/>
      </c>
      <c r="T1035" s="36" t="str">
        <f aca="false">IF(A1035="","",MOD(MONTH(A1035)-FYStart,12)+1)</f>
        <v/>
      </c>
      <c r="U1035" s="37" t="str">
        <f aca="false">IF(A1035="","",TEXT(A1035,"mmm"))</f>
        <v/>
      </c>
      <c r="V1035" s="37" t="str">
        <f aca="false">IF(Q1035="","",IFERROR(INDEX(Settings!$I$11:$I$15,MATCH(Q1035,Settings!$H$11:$H$15,0)),"No"))</f>
        <v/>
      </c>
      <c r="W1035" s="37" t="str">
        <f aca="false">IF(Q1035="","",IFERROR(INDEX(Settings!$J$11:$J$15,MATCH(Q1035,Settings!$H$11:$H$15,0)),"No"))</f>
        <v/>
      </c>
    </row>
    <row r="1036" customFormat="false" ht="15" hidden="false" customHeight="false" outlineLevel="0" collapsed="false">
      <c r="A1036" s="30"/>
      <c r="B1036" s="25"/>
      <c r="C1036" s="25"/>
      <c r="D1036" s="25"/>
      <c r="E1036" s="25"/>
      <c r="F1036" s="25"/>
      <c r="G1036" s="25"/>
      <c r="H1036" s="31"/>
      <c r="I1036" s="32"/>
      <c r="J1036" s="33"/>
      <c r="K1036" s="34" t="str">
        <f aca="false">IF(OR(H1036="",I1036=""),"",H1036*I1036*(1-N(J1036)))</f>
        <v/>
      </c>
      <c r="L1036" s="32"/>
      <c r="M1036" s="34" t="str">
        <f aca="false">IF(OR(H1036="",L1036=""),"",H1036*L1036)</f>
        <v/>
      </c>
      <c r="N1036" s="34" t="str">
        <f aca="false">IF(OR(K1036="",M1036=""),"",K1036-M1036)</f>
        <v/>
      </c>
      <c r="O1036" s="35" t="str">
        <f aca="false">IF(OR(N1036="",K1036=""),"",IF(K1036=0,"",N1036/K1036))</f>
        <v/>
      </c>
      <c r="P1036" s="25"/>
      <c r="Q1036" s="25"/>
      <c r="R1036" s="25"/>
      <c r="S1036" s="36" t="str">
        <f aca="false">IF(A1036="","",YEAR(A1036)+IF(AND(FYStart&gt;1,MONTH(A1036)&gt;=FYStart),1,0))</f>
        <v/>
      </c>
      <c r="T1036" s="36" t="str">
        <f aca="false">IF(A1036="","",MOD(MONTH(A1036)-FYStart,12)+1)</f>
        <v/>
      </c>
      <c r="U1036" s="37" t="str">
        <f aca="false">IF(A1036="","",TEXT(A1036,"mmm"))</f>
        <v/>
      </c>
      <c r="V1036" s="37" t="str">
        <f aca="false">IF(Q1036="","",IFERROR(INDEX(Settings!$I$11:$I$15,MATCH(Q1036,Settings!$H$11:$H$15,0)),"No"))</f>
        <v/>
      </c>
      <c r="W1036" s="37" t="str">
        <f aca="false">IF(Q1036="","",IFERROR(INDEX(Settings!$J$11:$J$15,MATCH(Q1036,Settings!$H$11:$H$15,0)),"No"))</f>
        <v/>
      </c>
    </row>
    <row r="1037" customFormat="false" ht="15" hidden="false" customHeight="false" outlineLevel="0" collapsed="false">
      <c r="A1037" s="30"/>
      <c r="B1037" s="25"/>
      <c r="C1037" s="25"/>
      <c r="D1037" s="25"/>
      <c r="E1037" s="25"/>
      <c r="F1037" s="25"/>
      <c r="G1037" s="25"/>
      <c r="H1037" s="31"/>
      <c r="I1037" s="32"/>
      <c r="J1037" s="33"/>
      <c r="K1037" s="34" t="str">
        <f aca="false">IF(OR(H1037="",I1037=""),"",H1037*I1037*(1-N(J1037)))</f>
        <v/>
      </c>
      <c r="L1037" s="32"/>
      <c r="M1037" s="34" t="str">
        <f aca="false">IF(OR(H1037="",L1037=""),"",H1037*L1037)</f>
        <v/>
      </c>
      <c r="N1037" s="34" t="str">
        <f aca="false">IF(OR(K1037="",M1037=""),"",K1037-M1037)</f>
        <v/>
      </c>
      <c r="O1037" s="35" t="str">
        <f aca="false">IF(OR(N1037="",K1037=""),"",IF(K1037=0,"",N1037/K1037))</f>
        <v/>
      </c>
      <c r="P1037" s="25"/>
      <c r="Q1037" s="25"/>
      <c r="R1037" s="25"/>
      <c r="S1037" s="36" t="str">
        <f aca="false">IF(A1037="","",YEAR(A1037)+IF(AND(FYStart&gt;1,MONTH(A1037)&gt;=FYStart),1,0))</f>
        <v/>
      </c>
      <c r="T1037" s="36" t="str">
        <f aca="false">IF(A1037="","",MOD(MONTH(A1037)-FYStart,12)+1)</f>
        <v/>
      </c>
      <c r="U1037" s="37" t="str">
        <f aca="false">IF(A1037="","",TEXT(A1037,"mmm"))</f>
        <v/>
      </c>
      <c r="V1037" s="37" t="str">
        <f aca="false">IF(Q1037="","",IFERROR(INDEX(Settings!$I$11:$I$15,MATCH(Q1037,Settings!$H$11:$H$15,0)),"No"))</f>
        <v/>
      </c>
      <c r="W1037" s="37" t="str">
        <f aca="false">IF(Q1037="","",IFERROR(INDEX(Settings!$J$11:$J$15,MATCH(Q1037,Settings!$H$11:$H$15,0)),"No"))</f>
        <v/>
      </c>
    </row>
    <row r="1038" customFormat="false" ht="15" hidden="false" customHeight="false" outlineLevel="0" collapsed="false">
      <c r="A1038" s="30"/>
      <c r="B1038" s="25"/>
      <c r="C1038" s="25"/>
      <c r="D1038" s="25"/>
      <c r="E1038" s="25"/>
      <c r="F1038" s="25"/>
      <c r="G1038" s="25"/>
      <c r="H1038" s="31"/>
      <c r="I1038" s="32"/>
      <c r="J1038" s="33"/>
      <c r="K1038" s="34" t="str">
        <f aca="false">IF(OR(H1038="",I1038=""),"",H1038*I1038*(1-N(J1038)))</f>
        <v/>
      </c>
      <c r="L1038" s="32"/>
      <c r="M1038" s="34" t="str">
        <f aca="false">IF(OR(H1038="",L1038=""),"",H1038*L1038)</f>
        <v/>
      </c>
      <c r="N1038" s="34" t="str">
        <f aca="false">IF(OR(K1038="",M1038=""),"",K1038-M1038)</f>
        <v/>
      </c>
      <c r="O1038" s="35" t="str">
        <f aca="false">IF(OR(N1038="",K1038=""),"",IF(K1038=0,"",N1038/K1038))</f>
        <v/>
      </c>
      <c r="P1038" s="25"/>
      <c r="Q1038" s="25"/>
      <c r="R1038" s="25"/>
      <c r="S1038" s="36" t="str">
        <f aca="false">IF(A1038="","",YEAR(A1038)+IF(AND(FYStart&gt;1,MONTH(A1038)&gt;=FYStart),1,0))</f>
        <v/>
      </c>
      <c r="T1038" s="36" t="str">
        <f aca="false">IF(A1038="","",MOD(MONTH(A1038)-FYStart,12)+1)</f>
        <v/>
      </c>
      <c r="U1038" s="37" t="str">
        <f aca="false">IF(A1038="","",TEXT(A1038,"mmm"))</f>
        <v/>
      </c>
      <c r="V1038" s="37" t="str">
        <f aca="false">IF(Q1038="","",IFERROR(INDEX(Settings!$I$11:$I$15,MATCH(Q1038,Settings!$H$11:$H$15,0)),"No"))</f>
        <v/>
      </c>
      <c r="W1038" s="37" t="str">
        <f aca="false">IF(Q1038="","",IFERROR(INDEX(Settings!$J$11:$J$15,MATCH(Q1038,Settings!$H$11:$H$15,0)),"No"))</f>
        <v/>
      </c>
    </row>
    <row r="1039" customFormat="false" ht="15" hidden="false" customHeight="false" outlineLevel="0" collapsed="false">
      <c r="A1039" s="30"/>
      <c r="B1039" s="25"/>
      <c r="C1039" s="25"/>
      <c r="D1039" s="25"/>
      <c r="E1039" s="25"/>
      <c r="F1039" s="25"/>
      <c r="G1039" s="25"/>
      <c r="H1039" s="31"/>
      <c r="I1039" s="32"/>
      <c r="J1039" s="33"/>
      <c r="K1039" s="34" t="str">
        <f aca="false">IF(OR(H1039="",I1039=""),"",H1039*I1039*(1-N(J1039)))</f>
        <v/>
      </c>
      <c r="L1039" s="32"/>
      <c r="M1039" s="34" t="str">
        <f aca="false">IF(OR(H1039="",L1039=""),"",H1039*L1039)</f>
        <v/>
      </c>
      <c r="N1039" s="34" t="str">
        <f aca="false">IF(OR(K1039="",M1039=""),"",K1039-M1039)</f>
        <v/>
      </c>
      <c r="O1039" s="35" t="str">
        <f aca="false">IF(OR(N1039="",K1039=""),"",IF(K1039=0,"",N1039/K1039))</f>
        <v/>
      </c>
      <c r="P1039" s="25"/>
      <c r="Q1039" s="25"/>
      <c r="R1039" s="25"/>
      <c r="S1039" s="36" t="str">
        <f aca="false">IF(A1039="","",YEAR(A1039)+IF(AND(FYStart&gt;1,MONTH(A1039)&gt;=FYStart),1,0))</f>
        <v/>
      </c>
      <c r="T1039" s="36" t="str">
        <f aca="false">IF(A1039="","",MOD(MONTH(A1039)-FYStart,12)+1)</f>
        <v/>
      </c>
      <c r="U1039" s="37" t="str">
        <f aca="false">IF(A1039="","",TEXT(A1039,"mmm"))</f>
        <v/>
      </c>
      <c r="V1039" s="37" t="str">
        <f aca="false">IF(Q1039="","",IFERROR(INDEX(Settings!$I$11:$I$15,MATCH(Q1039,Settings!$H$11:$H$15,0)),"No"))</f>
        <v/>
      </c>
      <c r="W1039" s="37" t="str">
        <f aca="false">IF(Q1039="","",IFERROR(INDEX(Settings!$J$11:$J$15,MATCH(Q1039,Settings!$H$11:$H$15,0)),"No"))</f>
        <v/>
      </c>
    </row>
    <row r="1040" customFormat="false" ht="15" hidden="false" customHeight="false" outlineLevel="0" collapsed="false">
      <c r="A1040" s="30"/>
      <c r="B1040" s="25"/>
      <c r="C1040" s="25"/>
      <c r="D1040" s="25"/>
      <c r="E1040" s="25"/>
      <c r="F1040" s="25"/>
      <c r="G1040" s="25"/>
      <c r="H1040" s="31"/>
      <c r="I1040" s="32"/>
      <c r="J1040" s="33"/>
      <c r="K1040" s="34" t="str">
        <f aca="false">IF(OR(H1040="",I1040=""),"",H1040*I1040*(1-N(J1040)))</f>
        <v/>
      </c>
      <c r="L1040" s="32"/>
      <c r="M1040" s="34" t="str">
        <f aca="false">IF(OR(H1040="",L1040=""),"",H1040*L1040)</f>
        <v/>
      </c>
      <c r="N1040" s="34" t="str">
        <f aca="false">IF(OR(K1040="",M1040=""),"",K1040-M1040)</f>
        <v/>
      </c>
      <c r="O1040" s="35" t="str">
        <f aca="false">IF(OR(N1040="",K1040=""),"",IF(K1040=0,"",N1040/K1040))</f>
        <v/>
      </c>
      <c r="P1040" s="25"/>
      <c r="Q1040" s="25"/>
      <c r="R1040" s="25"/>
      <c r="S1040" s="36" t="str">
        <f aca="false">IF(A1040="","",YEAR(A1040)+IF(AND(FYStart&gt;1,MONTH(A1040)&gt;=FYStart),1,0))</f>
        <v/>
      </c>
      <c r="T1040" s="36" t="str">
        <f aca="false">IF(A1040="","",MOD(MONTH(A1040)-FYStart,12)+1)</f>
        <v/>
      </c>
      <c r="U1040" s="37" t="str">
        <f aca="false">IF(A1040="","",TEXT(A1040,"mmm"))</f>
        <v/>
      </c>
      <c r="V1040" s="37" t="str">
        <f aca="false">IF(Q1040="","",IFERROR(INDEX(Settings!$I$11:$I$15,MATCH(Q1040,Settings!$H$11:$H$15,0)),"No"))</f>
        <v/>
      </c>
      <c r="W1040" s="37" t="str">
        <f aca="false">IF(Q1040="","",IFERROR(INDEX(Settings!$J$11:$J$15,MATCH(Q1040,Settings!$H$11:$H$15,0)),"No"))</f>
        <v/>
      </c>
    </row>
    <row r="1041" customFormat="false" ht="15" hidden="false" customHeight="false" outlineLevel="0" collapsed="false">
      <c r="A1041" s="30"/>
      <c r="B1041" s="25"/>
      <c r="C1041" s="25"/>
      <c r="D1041" s="25"/>
      <c r="E1041" s="25"/>
      <c r="F1041" s="25"/>
      <c r="G1041" s="25"/>
      <c r="H1041" s="31"/>
      <c r="I1041" s="32"/>
      <c r="J1041" s="33"/>
      <c r="K1041" s="34" t="str">
        <f aca="false">IF(OR(H1041="",I1041=""),"",H1041*I1041*(1-N(J1041)))</f>
        <v/>
      </c>
      <c r="L1041" s="32"/>
      <c r="M1041" s="34" t="str">
        <f aca="false">IF(OR(H1041="",L1041=""),"",H1041*L1041)</f>
        <v/>
      </c>
      <c r="N1041" s="34" t="str">
        <f aca="false">IF(OR(K1041="",M1041=""),"",K1041-M1041)</f>
        <v/>
      </c>
      <c r="O1041" s="35" t="str">
        <f aca="false">IF(OR(N1041="",K1041=""),"",IF(K1041=0,"",N1041/K1041))</f>
        <v/>
      </c>
      <c r="P1041" s="25"/>
      <c r="Q1041" s="25"/>
      <c r="R1041" s="25"/>
      <c r="S1041" s="36" t="str">
        <f aca="false">IF(A1041="","",YEAR(A1041)+IF(AND(FYStart&gt;1,MONTH(A1041)&gt;=FYStart),1,0))</f>
        <v/>
      </c>
      <c r="T1041" s="36" t="str">
        <f aca="false">IF(A1041="","",MOD(MONTH(A1041)-FYStart,12)+1)</f>
        <v/>
      </c>
      <c r="U1041" s="37" t="str">
        <f aca="false">IF(A1041="","",TEXT(A1041,"mmm"))</f>
        <v/>
      </c>
      <c r="V1041" s="37" t="str">
        <f aca="false">IF(Q1041="","",IFERROR(INDEX(Settings!$I$11:$I$15,MATCH(Q1041,Settings!$H$11:$H$15,0)),"No"))</f>
        <v/>
      </c>
      <c r="W1041" s="37" t="str">
        <f aca="false">IF(Q1041="","",IFERROR(INDEX(Settings!$J$11:$J$15,MATCH(Q1041,Settings!$H$11:$H$15,0)),"No"))</f>
        <v/>
      </c>
    </row>
    <row r="1042" customFormat="false" ht="15" hidden="false" customHeight="false" outlineLevel="0" collapsed="false">
      <c r="A1042" s="30"/>
      <c r="B1042" s="25"/>
      <c r="C1042" s="25"/>
      <c r="D1042" s="25"/>
      <c r="E1042" s="25"/>
      <c r="F1042" s="25"/>
      <c r="G1042" s="25"/>
      <c r="H1042" s="31"/>
      <c r="I1042" s="32"/>
      <c r="J1042" s="33"/>
      <c r="K1042" s="34" t="str">
        <f aca="false">IF(OR(H1042="",I1042=""),"",H1042*I1042*(1-N(J1042)))</f>
        <v/>
      </c>
      <c r="L1042" s="32"/>
      <c r="M1042" s="34" t="str">
        <f aca="false">IF(OR(H1042="",L1042=""),"",H1042*L1042)</f>
        <v/>
      </c>
      <c r="N1042" s="34" t="str">
        <f aca="false">IF(OR(K1042="",M1042=""),"",K1042-M1042)</f>
        <v/>
      </c>
      <c r="O1042" s="35" t="str">
        <f aca="false">IF(OR(N1042="",K1042=""),"",IF(K1042=0,"",N1042/K1042))</f>
        <v/>
      </c>
      <c r="P1042" s="25"/>
      <c r="Q1042" s="25"/>
      <c r="R1042" s="25"/>
      <c r="S1042" s="36" t="str">
        <f aca="false">IF(A1042="","",YEAR(A1042)+IF(AND(FYStart&gt;1,MONTH(A1042)&gt;=FYStart),1,0))</f>
        <v/>
      </c>
      <c r="T1042" s="36" t="str">
        <f aca="false">IF(A1042="","",MOD(MONTH(A1042)-FYStart,12)+1)</f>
        <v/>
      </c>
      <c r="U1042" s="37" t="str">
        <f aca="false">IF(A1042="","",TEXT(A1042,"mmm"))</f>
        <v/>
      </c>
      <c r="V1042" s="37" t="str">
        <f aca="false">IF(Q1042="","",IFERROR(INDEX(Settings!$I$11:$I$15,MATCH(Q1042,Settings!$H$11:$H$15,0)),"No"))</f>
        <v/>
      </c>
      <c r="W1042" s="37" t="str">
        <f aca="false">IF(Q1042="","",IFERROR(INDEX(Settings!$J$11:$J$15,MATCH(Q1042,Settings!$H$11:$H$15,0)),"No"))</f>
        <v/>
      </c>
    </row>
    <row r="1043" customFormat="false" ht="15" hidden="false" customHeight="false" outlineLevel="0" collapsed="false">
      <c r="A1043" s="30"/>
      <c r="B1043" s="25"/>
      <c r="C1043" s="25"/>
      <c r="D1043" s="25"/>
      <c r="E1043" s="25"/>
      <c r="F1043" s="25"/>
      <c r="G1043" s="25"/>
      <c r="H1043" s="31"/>
      <c r="I1043" s="32"/>
      <c r="J1043" s="33"/>
      <c r="K1043" s="34" t="str">
        <f aca="false">IF(OR(H1043="",I1043=""),"",H1043*I1043*(1-N(J1043)))</f>
        <v/>
      </c>
      <c r="L1043" s="32"/>
      <c r="M1043" s="34" t="str">
        <f aca="false">IF(OR(H1043="",L1043=""),"",H1043*L1043)</f>
        <v/>
      </c>
      <c r="N1043" s="34" t="str">
        <f aca="false">IF(OR(K1043="",M1043=""),"",K1043-M1043)</f>
        <v/>
      </c>
      <c r="O1043" s="35" t="str">
        <f aca="false">IF(OR(N1043="",K1043=""),"",IF(K1043=0,"",N1043/K1043))</f>
        <v/>
      </c>
      <c r="P1043" s="25"/>
      <c r="Q1043" s="25"/>
      <c r="R1043" s="25"/>
      <c r="S1043" s="36" t="str">
        <f aca="false">IF(A1043="","",YEAR(A1043)+IF(AND(FYStart&gt;1,MONTH(A1043)&gt;=FYStart),1,0))</f>
        <v/>
      </c>
      <c r="T1043" s="36" t="str">
        <f aca="false">IF(A1043="","",MOD(MONTH(A1043)-FYStart,12)+1)</f>
        <v/>
      </c>
      <c r="U1043" s="37" t="str">
        <f aca="false">IF(A1043="","",TEXT(A1043,"mmm"))</f>
        <v/>
      </c>
      <c r="V1043" s="37" t="str">
        <f aca="false">IF(Q1043="","",IFERROR(INDEX(Settings!$I$11:$I$15,MATCH(Q1043,Settings!$H$11:$H$15,0)),"No"))</f>
        <v/>
      </c>
      <c r="W1043" s="37" t="str">
        <f aca="false">IF(Q1043="","",IFERROR(INDEX(Settings!$J$11:$J$15,MATCH(Q1043,Settings!$H$11:$H$15,0)),"No"))</f>
        <v/>
      </c>
    </row>
    <row r="1044" customFormat="false" ht="15" hidden="false" customHeight="false" outlineLevel="0" collapsed="false">
      <c r="A1044" s="30"/>
      <c r="B1044" s="25"/>
      <c r="C1044" s="25"/>
      <c r="D1044" s="25"/>
      <c r="E1044" s="25"/>
      <c r="F1044" s="25"/>
      <c r="G1044" s="25"/>
      <c r="H1044" s="31"/>
      <c r="I1044" s="32"/>
      <c r="J1044" s="33"/>
      <c r="K1044" s="34" t="str">
        <f aca="false">IF(OR(H1044="",I1044=""),"",H1044*I1044*(1-N(J1044)))</f>
        <v/>
      </c>
      <c r="L1044" s="32"/>
      <c r="M1044" s="34" t="str">
        <f aca="false">IF(OR(H1044="",L1044=""),"",H1044*L1044)</f>
        <v/>
      </c>
      <c r="N1044" s="34" t="str">
        <f aca="false">IF(OR(K1044="",M1044=""),"",K1044-M1044)</f>
        <v/>
      </c>
      <c r="O1044" s="35" t="str">
        <f aca="false">IF(OR(N1044="",K1044=""),"",IF(K1044=0,"",N1044/K1044))</f>
        <v/>
      </c>
      <c r="P1044" s="25"/>
      <c r="Q1044" s="25"/>
      <c r="R1044" s="25"/>
      <c r="S1044" s="36" t="str">
        <f aca="false">IF(A1044="","",YEAR(A1044)+IF(AND(FYStart&gt;1,MONTH(A1044)&gt;=FYStart),1,0))</f>
        <v/>
      </c>
      <c r="T1044" s="36" t="str">
        <f aca="false">IF(A1044="","",MOD(MONTH(A1044)-FYStart,12)+1)</f>
        <v/>
      </c>
      <c r="U1044" s="37" t="str">
        <f aca="false">IF(A1044="","",TEXT(A1044,"mmm"))</f>
        <v/>
      </c>
      <c r="V1044" s="37" t="str">
        <f aca="false">IF(Q1044="","",IFERROR(INDEX(Settings!$I$11:$I$15,MATCH(Q1044,Settings!$H$11:$H$15,0)),"No"))</f>
        <v/>
      </c>
      <c r="W1044" s="37" t="str">
        <f aca="false">IF(Q1044="","",IFERROR(INDEX(Settings!$J$11:$J$15,MATCH(Q1044,Settings!$H$11:$H$15,0)),"No"))</f>
        <v/>
      </c>
    </row>
    <row r="1045" customFormat="false" ht="15" hidden="false" customHeight="false" outlineLevel="0" collapsed="false">
      <c r="A1045" s="30"/>
      <c r="B1045" s="25"/>
      <c r="C1045" s="25"/>
      <c r="D1045" s="25"/>
      <c r="E1045" s="25"/>
      <c r="F1045" s="25"/>
      <c r="G1045" s="25"/>
      <c r="H1045" s="31"/>
      <c r="I1045" s="32"/>
      <c r="J1045" s="33"/>
      <c r="K1045" s="34" t="str">
        <f aca="false">IF(OR(H1045="",I1045=""),"",H1045*I1045*(1-N(J1045)))</f>
        <v/>
      </c>
      <c r="L1045" s="32"/>
      <c r="M1045" s="34" t="str">
        <f aca="false">IF(OR(H1045="",L1045=""),"",H1045*L1045)</f>
        <v/>
      </c>
      <c r="N1045" s="34" t="str">
        <f aca="false">IF(OR(K1045="",M1045=""),"",K1045-M1045)</f>
        <v/>
      </c>
      <c r="O1045" s="35" t="str">
        <f aca="false">IF(OR(N1045="",K1045=""),"",IF(K1045=0,"",N1045/K1045))</f>
        <v/>
      </c>
      <c r="P1045" s="25"/>
      <c r="Q1045" s="25"/>
      <c r="R1045" s="25"/>
      <c r="S1045" s="36" t="str">
        <f aca="false">IF(A1045="","",YEAR(A1045)+IF(AND(FYStart&gt;1,MONTH(A1045)&gt;=FYStart),1,0))</f>
        <v/>
      </c>
      <c r="T1045" s="36" t="str">
        <f aca="false">IF(A1045="","",MOD(MONTH(A1045)-FYStart,12)+1)</f>
        <v/>
      </c>
      <c r="U1045" s="37" t="str">
        <f aca="false">IF(A1045="","",TEXT(A1045,"mmm"))</f>
        <v/>
      </c>
      <c r="V1045" s="37" t="str">
        <f aca="false">IF(Q1045="","",IFERROR(INDEX(Settings!$I$11:$I$15,MATCH(Q1045,Settings!$H$11:$H$15,0)),"No"))</f>
        <v/>
      </c>
      <c r="W1045" s="37" t="str">
        <f aca="false">IF(Q1045="","",IFERROR(INDEX(Settings!$J$11:$J$15,MATCH(Q1045,Settings!$H$11:$H$15,0)),"No"))</f>
        <v/>
      </c>
    </row>
    <row r="1046" customFormat="false" ht="15" hidden="false" customHeight="false" outlineLevel="0" collapsed="false">
      <c r="A1046" s="30"/>
      <c r="B1046" s="25"/>
      <c r="C1046" s="25"/>
      <c r="D1046" s="25"/>
      <c r="E1046" s="25"/>
      <c r="F1046" s="25"/>
      <c r="G1046" s="25"/>
      <c r="H1046" s="31"/>
      <c r="I1046" s="32"/>
      <c r="J1046" s="33"/>
      <c r="K1046" s="34" t="str">
        <f aca="false">IF(OR(H1046="",I1046=""),"",H1046*I1046*(1-N(J1046)))</f>
        <v/>
      </c>
      <c r="L1046" s="32"/>
      <c r="M1046" s="34" t="str">
        <f aca="false">IF(OR(H1046="",L1046=""),"",H1046*L1046)</f>
        <v/>
      </c>
      <c r="N1046" s="34" t="str">
        <f aca="false">IF(OR(K1046="",M1046=""),"",K1046-M1046)</f>
        <v/>
      </c>
      <c r="O1046" s="35" t="str">
        <f aca="false">IF(OR(N1046="",K1046=""),"",IF(K1046=0,"",N1046/K1046))</f>
        <v/>
      </c>
      <c r="P1046" s="25"/>
      <c r="Q1046" s="25"/>
      <c r="R1046" s="25"/>
      <c r="S1046" s="36" t="str">
        <f aca="false">IF(A1046="","",YEAR(A1046)+IF(AND(FYStart&gt;1,MONTH(A1046)&gt;=FYStart),1,0))</f>
        <v/>
      </c>
      <c r="T1046" s="36" t="str">
        <f aca="false">IF(A1046="","",MOD(MONTH(A1046)-FYStart,12)+1)</f>
        <v/>
      </c>
      <c r="U1046" s="37" t="str">
        <f aca="false">IF(A1046="","",TEXT(A1046,"mmm"))</f>
        <v/>
      </c>
      <c r="V1046" s="37" t="str">
        <f aca="false">IF(Q1046="","",IFERROR(INDEX(Settings!$I$11:$I$15,MATCH(Q1046,Settings!$H$11:$H$15,0)),"No"))</f>
        <v/>
      </c>
      <c r="W1046" s="37" t="str">
        <f aca="false">IF(Q1046="","",IFERROR(INDEX(Settings!$J$11:$J$15,MATCH(Q1046,Settings!$H$11:$H$15,0)),"No"))</f>
        <v/>
      </c>
    </row>
    <row r="1047" customFormat="false" ht="15" hidden="false" customHeight="false" outlineLevel="0" collapsed="false">
      <c r="A1047" s="30"/>
      <c r="B1047" s="25"/>
      <c r="C1047" s="25"/>
      <c r="D1047" s="25"/>
      <c r="E1047" s="25"/>
      <c r="F1047" s="25"/>
      <c r="G1047" s="25"/>
      <c r="H1047" s="31"/>
      <c r="I1047" s="32"/>
      <c r="J1047" s="33"/>
      <c r="K1047" s="34" t="str">
        <f aca="false">IF(OR(H1047="",I1047=""),"",H1047*I1047*(1-N(J1047)))</f>
        <v/>
      </c>
      <c r="L1047" s="32"/>
      <c r="M1047" s="34" t="str">
        <f aca="false">IF(OR(H1047="",L1047=""),"",H1047*L1047)</f>
        <v/>
      </c>
      <c r="N1047" s="34" t="str">
        <f aca="false">IF(OR(K1047="",M1047=""),"",K1047-M1047)</f>
        <v/>
      </c>
      <c r="O1047" s="35" t="str">
        <f aca="false">IF(OR(N1047="",K1047=""),"",IF(K1047=0,"",N1047/K1047))</f>
        <v/>
      </c>
      <c r="P1047" s="25"/>
      <c r="Q1047" s="25"/>
      <c r="R1047" s="25"/>
      <c r="S1047" s="36" t="str">
        <f aca="false">IF(A1047="","",YEAR(A1047)+IF(AND(FYStart&gt;1,MONTH(A1047)&gt;=FYStart),1,0))</f>
        <v/>
      </c>
      <c r="T1047" s="36" t="str">
        <f aca="false">IF(A1047="","",MOD(MONTH(A1047)-FYStart,12)+1)</f>
        <v/>
      </c>
      <c r="U1047" s="37" t="str">
        <f aca="false">IF(A1047="","",TEXT(A1047,"mmm"))</f>
        <v/>
      </c>
      <c r="V1047" s="37" t="str">
        <f aca="false">IF(Q1047="","",IFERROR(INDEX(Settings!$I$11:$I$15,MATCH(Q1047,Settings!$H$11:$H$15,0)),"No"))</f>
        <v/>
      </c>
      <c r="W1047" s="37" t="str">
        <f aca="false">IF(Q1047="","",IFERROR(INDEX(Settings!$J$11:$J$15,MATCH(Q1047,Settings!$H$11:$H$15,0)),"No"))</f>
        <v/>
      </c>
    </row>
    <row r="1048" customFormat="false" ht="15" hidden="false" customHeight="false" outlineLevel="0" collapsed="false">
      <c r="A1048" s="30"/>
      <c r="B1048" s="25"/>
      <c r="C1048" s="25"/>
      <c r="D1048" s="25"/>
      <c r="E1048" s="25"/>
      <c r="F1048" s="25"/>
      <c r="G1048" s="25"/>
      <c r="H1048" s="31"/>
      <c r="I1048" s="32"/>
      <c r="J1048" s="33"/>
      <c r="K1048" s="34" t="str">
        <f aca="false">IF(OR(H1048="",I1048=""),"",H1048*I1048*(1-N(J1048)))</f>
        <v/>
      </c>
      <c r="L1048" s="32"/>
      <c r="M1048" s="34" t="str">
        <f aca="false">IF(OR(H1048="",L1048=""),"",H1048*L1048)</f>
        <v/>
      </c>
      <c r="N1048" s="34" t="str">
        <f aca="false">IF(OR(K1048="",M1048=""),"",K1048-M1048)</f>
        <v/>
      </c>
      <c r="O1048" s="35" t="str">
        <f aca="false">IF(OR(N1048="",K1048=""),"",IF(K1048=0,"",N1048/K1048))</f>
        <v/>
      </c>
      <c r="P1048" s="25"/>
      <c r="Q1048" s="25"/>
      <c r="R1048" s="25"/>
      <c r="S1048" s="36" t="str">
        <f aca="false">IF(A1048="","",YEAR(A1048)+IF(AND(FYStart&gt;1,MONTH(A1048)&gt;=FYStart),1,0))</f>
        <v/>
      </c>
      <c r="T1048" s="36" t="str">
        <f aca="false">IF(A1048="","",MOD(MONTH(A1048)-FYStart,12)+1)</f>
        <v/>
      </c>
      <c r="U1048" s="37" t="str">
        <f aca="false">IF(A1048="","",TEXT(A1048,"mmm"))</f>
        <v/>
      </c>
      <c r="V1048" s="37" t="str">
        <f aca="false">IF(Q1048="","",IFERROR(INDEX(Settings!$I$11:$I$15,MATCH(Q1048,Settings!$H$11:$H$15,0)),"No"))</f>
        <v/>
      </c>
      <c r="W1048" s="37" t="str">
        <f aca="false">IF(Q1048="","",IFERROR(INDEX(Settings!$J$11:$J$15,MATCH(Q1048,Settings!$H$11:$H$15,0)),"No"))</f>
        <v/>
      </c>
    </row>
    <row r="1049" customFormat="false" ht="15" hidden="false" customHeight="false" outlineLevel="0" collapsed="false">
      <c r="A1049" s="30"/>
      <c r="B1049" s="25"/>
      <c r="C1049" s="25"/>
      <c r="D1049" s="25"/>
      <c r="E1049" s="25"/>
      <c r="F1049" s="25"/>
      <c r="G1049" s="25"/>
      <c r="H1049" s="31"/>
      <c r="I1049" s="32"/>
      <c r="J1049" s="33"/>
      <c r="K1049" s="34" t="str">
        <f aca="false">IF(OR(H1049="",I1049=""),"",H1049*I1049*(1-N(J1049)))</f>
        <v/>
      </c>
      <c r="L1049" s="32"/>
      <c r="M1049" s="34" t="str">
        <f aca="false">IF(OR(H1049="",L1049=""),"",H1049*L1049)</f>
        <v/>
      </c>
      <c r="N1049" s="34" t="str">
        <f aca="false">IF(OR(K1049="",M1049=""),"",K1049-M1049)</f>
        <v/>
      </c>
      <c r="O1049" s="35" t="str">
        <f aca="false">IF(OR(N1049="",K1049=""),"",IF(K1049=0,"",N1049/K1049))</f>
        <v/>
      </c>
      <c r="P1049" s="25"/>
      <c r="Q1049" s="25"/>
      <c r="R1049" s="25"/>
      <c r="S1049" s="36" t="str">
        <f aca="false">IF(A1049="","",YEAR(A1049)+IF(AND(FYStart&gt;1,MONTH(A1049)&gt;=FYStart),1,0))</f>
        <v/>
      </c>
      <c r="T1049" s="36" t="str">
        <f aca="false">IF(A1049="","",MOD(MONTH(A1049)-FYStart,12)+1)</f>
        <v/>
      </c>
      <c r="U1049" s="37" t="str">
        <f aca="false">IF(A1049="","",TEXT(A1049,"mmm"))</f>
        <v/>
      </c>
      <c r="V1049" s="37" t="str">
        <f aca="false">IF(Q1049="","",IFERROR(INDEX(Settings!$I$11:$I$15,MATCH(Q1049,Settings!$H$11:$H$15,0)),"No"))</f>
        <v/>
      </c>
      <c r="W1049" s="37" t="str">
        <f aca="false">IF(Q1049="","",IFERROR(INDEX(Settings!$J$11:$J$15,MATCH(Q1049,Settings!$H$11:$H$15,0)),"No"))</f>
        <v/>
      </c>
    </row>
    <row r="1050" customFormat="false" ht="15" hidden="false" customHeight="false" outlineLevel="0" collapsed="false">
      <c r="A1050" s="30"/>
      <c r="B1050" s="25"/>
      <c r="C1050" s="25"/>
      <c r="D1050" s="25"/>
      <c r="E1050" s="25"/>
      <c r="F1050" s="25"/>
      <c r="G1050" s="25"/>
      <c r="H1050" s="31"/>
      <c r="I1050" s="32"/>
      <c r="J1050" s="33"/>
      <c r="K1050" s="34" t="str">
        <f aca="false">IF(OR(H1050="",I1050=""),"",H1050*I1050*(1-N(J1050)))</f>
        <v/>
      </c>
      <c r="L1050" s="32"/>
      <c r="M1050" s="34" t="str">
        <f aca="false">IF(OR(H1050="",L1050=""),"",H1050*L1050)</f>
        <v/>
      </c>
      <c r="N1050" s="34" t="str">
        <f aca="false">IF(OR(K1050="",M1050=""),"",K1050-M1050)</f>
        <v/>
      </c>
      <c r="O1050" s="35" t="str">
        <f aca="false">IF(OR(N1050="",K1050=""),"",IF(K1050=0,"",N1050/K1050))</f>
        <v/>
      </c>
      <c r="P1050" s="25"/>
      <c r="Q1050" s="25"/>
      <c r="R1050" s="25"/>
      <c r="S1050" s="36" t="str">
        <f aca="false">IF(A1050="","",YEAR(A1050)+IF(AND(FYStart&gt;1,MONTH(A1050)&gt;=FYStart),1,0))</f>
        <v/>
      </c>
      <c r="T1050" s="36" t="str">
        <f aca="false">IF(A1050="","",MOD(MONTH(A1050)-FYStart,12)+1)</f>
        <v/>
      </c>
      <c r="U1050" s="37" t="str">
        <f aca="false">IF(A1050="","",TEXT(A1050,"mmm"))</f>
        <v/>
      </c>
      <c r="V1050" s="37" t="str">
        <f aca="false">IF(Q1050="","",IFERROR(INDEX(Settings!$I$11:$I$15,MATCH(Q1050,Settings!$H$11:$H$15,0)),"No"))</f>
        <v/>
      </c>
      <c r="W1050" s="37" t="str">
        <f aca="false">IF(Q1050="","",IFERROR(INDEX(Settings!$J$11:$J$15,MATCH(Q1050,Settings!$H$11:$H$15,0)),"No"))</f>
        <v/>
      </c>
    </row>
    <row r="1051" customFormat="false" ht="15" hidden="false" customHeight="false" outlineLevel="0" collapsed="false">
      <c r="A1051" s="30"/>
      <c r="B1051" s="25"/>
      <c r="C1051" s="25"/>
      <c r="D1051" s="25"/>
      <c r="E1051" s="25"/>
      <c r="F1051" s="25"/>
      <c r="G1051" s="25"/>
      <c r="H1051" s="31"/>
      <c r="I1051" s="32"/>
      <c r="J1051" s="33"/>
      <c r="K1051" s="34" t="str">
        <f aca="false">IF(OR(H1051="",I1051=""),"",H1051*I1051*(1-N(J1051)))</f>
        <v/>
      </c>
      <c r="L1051" s="32"/>
      <c r="M1051" s="34" t="str">
        <f aca="false">IF(OR(H1051="",L1051=""),"",H1051*L1051)</f>
        <v/>
      </c>
      <c r="N1051" s="34" t="str">
        <f aca="false">IF(OR(K1051="",M1051=""),"",K1051-M1051)</f>
        <v/>
      </c>
      <c r="O1051" s="35" t="str">
        <f aca="false">IF(OR(N1051="",K1051=""),"",IF(K1051=0,"",N1051/K1051))</f>
        <v/>
      </c>
      <c r="P1051" s="25"/>
      <c r="Q1051" s="25"/>
      <c r="R1051" s="25"/>
      <c r="S1051" s="36" t="str">
        <f aca="false">IF(A1051="","",YEAR(A1051)+IF(AND(FYStart&gt;1,MONTH(A1051)&gt;=FYStart),1,0))</f>
        <v/>
      </c>
      <c r="T1051" s="36" t="str">
        <f aca="false">IF(A1051="","",MOD(MONTH(A1051)-FYStart,12)+1)</f>
        <v/>
      </c>
      <c r="U1051" s="37" t="str">
        <f aca="false">IF(A1051="","",TEXT(A1051,"mmm"))</f>
        <v/>
      </c>
      <c r="V1051" s="37" t="str">
        <f aca="false">IF(Q1051="","",IFERROR(INDEX(Settings!$I$11:$I$15,MATCH(Q1051,Settings!$H$11:$H$15,0)),"No"))</f>
        <v/>
      </c>
      <c r="W1051" s="37" t="str">
        <f aca="false">IF(Q1051="","",IFERROR(INDEX(Settings!$J$11:$J$15,MATCH(Q1051,Settings!$H$11:$H$15,0)),"No"))</f>
        <v/>
      </c>
    </row>
    <row r="1052" customFormat="false" ht="15" hidden="false" customHeight="false" outlineLevel="0" collapsed="false">
      <c r="A1052" s="30"/>
      <c r="B1052" s="25"/>
      <c r="C1052" s="25"/>
      <c r="D1052" s="25"/>
      <c r="E1052" s="25"/>
      <c r="F1052" s="25"/>
      <c r="G1052" s="25"/>
      <c r="H1052" s="31"/>
      <c r="I1052" s="32"/>
      <c r="J1052" s="33"/>
      <c r="K1052" s="34" t="str">
        <f aca="false">IF(OR(H1052="",I1052=""),"",H1052*I1052*(1-N(J1052)))</f>
        <v/>
      </c>
      <c r="L1052" s="32"/>
      <c r="M1052" s="34" t="str">
        <f aca="false">IF(OR(H1052="",L1052=""),"",H1052*L1052)</f>
        <v/>
      </c>
      <c r="N1052" s="34" t="str">
        <f aca="false">IF(OR(K1052="",M1052=""),"",K1052-M1052)</f>
        <v/>
      </c>
      <c r="O1052" s="35" t="str">
        <f aca="false">IF(OR(N1052="",K1052=""),"",IF(K1052=0,"",N1052/K1052))</f>
        <v/>
      </c>
      <c r="P1052" s="25"/>
      <c r="Q1052" s="25"/>
      <c r="R1052" s="25"/>
      <c r="S1052" s="36" t="str">
        <f aca="false">IF(A1052="","",YEAR(A1052)+IF(AND(FYStart&gt;1,MONTH(A1052)&gt;=FYStart),1,0))</f>
        <v/>
      </c>
      <c r="T1052" s="36" t="str">
        <f aca="false">IF(A1052="","",MOD(MONTH(A1052)-FYStart,12)+1)</f>
        <v/>
      </c>
      <c r="U1052" s="37" t="str">
        <f aca="false">IF(A1052="","",TEXT(A1052,"mmm"))</f>
        <v/>
      </c>
      <c r="V1052" s="37" t="str">
        <f aca="false">IF(Q1052="","",IFERROR(INDEX(Settings!$I$11:$I$15,MATCH(Q1052,Settings!$H$11:$H$15,0)),"No"))</f>
        <v/>
      </c>
      <c r="W1052" s="37" t="str">
        <f aca="false">IF(Q1052="","",IFERROR(INDEX(Settings!$J$11:$J$15,MATCH(Q1052,Settings!$H$11:$H$15,0)),"No"))</f>
        <v/>
      </c>
    </row>
    <row r="1053" customFormat="false" ht="15" hidden="false" customHeight="false" outlineLevel="0" collapsed="false">
      <c r="A1053" s="30"/>
      <c r="B1053" s="25"/>
      <c r="C1053" s="25"/>
      <c r="D1053" s="25"/>
      <c r="E1053" s="25"/>
      <c r="F1053" s="25"/>
      <c r="G1053" s="25"/>
      <c r="H1053" s="31"/>
      <c r="I1053" s="32"/>
      <c r="J1053" s="33"/>
      <c r="K1053" s="34" t="str">
        <f aca="false">IF(OR(H1053="",I1053=""),"",H1053*I1053*(1-N(J1053)))</f>
        <v/>
      </c>
      <c r="L1053" s="32"/>
      <c r="M1053" s="34" t="str">
        <f aca="false">IF(OR(H1053="",L1053=""),"",H1053*L1053)</f>
        <v/>
      </c>
      <c r="N1053" s="34" t="str">
        <f aca="false">IF(OR(K1053="",M1053=""),"",K1053-M1053)</f>
        <v/>
      </c>
      <c r="O1053" s="35" t="str">
        <f aca="false">IF(OR(N1053="",K1053=""),"",IF(K1053=0,"",N1053/K1053))</f>
        <v/>
      </c>
      <c r="P1053" s="25"/>
      <c r="Q1053" s="25"/>
      <c r="R1053" s="25"/>
      <c r="S1053" s="36" t="str">
        <f aca="false">IF(A1053="","",YEAR(A1053)+IF(AND(FYStart&gt;1,MONTH(A1053)&gt;=FYStart),1,0))</f>
        <v/>
      </c>
      <c r="T1053" s="36" t="str">
        <f aca="false">IF(A1053="","",MOD(MONTH(A1053)-FYStart,12)+1)</f>
        <v/>
      </c>
      <c r="U1053" s="37" t="str">
        <f aca="false">IF(A1053="","",TEXT(A1053,"mmm"))</f>
        <v/>
      </c>
      <c r="V1053" s="37" t="str">
        <f aca="false">IF(Q1053="","",IFERROR(INDEX(Settings!$I$11:$I$15,MATCH(Q1053,Settings!$H$11:$H$15,0)),"No"))</f>
        <v/>
      </c>
      <c r="W1053" s="37" t="str">
        <f aca="false">IF(Q1053="","",IFERROR(INDEX(Settings!$J$11:$J$15,MATCH(Q1053,Settings!$H$11:$H$15,0)),"No"))</f>
        <v/>
      </c>
    </row>
    <row r="1054" customFormat="false" ht="15" hidden="false" customHeight="false" outlineLevel="0" collapsed="false">
      <c r="A1054" s="30"/>
      <c r="B1054" s="25"/>
      <c r="C1054" s="25"/>
      <c r="D1054" s="25"/>
      <c r="E1054" s="25"/>
      <c r="F1054" s="25"/>
      <c r="G1054" s="25"/>
      <c r="H1054" s="31"/>
      <c r="I1054" s="32"/>
      <c r="J1054" s="33"/>
      <c r="K1054" s="34" t="str">
        <f aca="false">IF(OR(H1054="",I1054=""),"",H1054*I1054*(1-N(J1054)))</f>
        <v/>
      </c>
      <c r="L1054" s="32"/>
      <c r="M1054" s="34" t="str">
        <f aca="false">IF(OR(H1054="",L1054=""),"",H1054*L1054)</f>
        <v/>
      </c>
      <c r="N1054" s="34" t="str">
        <f aca="false">IF(OR(K1054="",M1054=""),"",K1054-M1054)</f>
        <v/>
      </c>
      <c r="O1054" s="35" t="str">
        <f aca="false">IF(OR(N1054="",K1054=""),"",IF(K1054=0,"",N1054/K1054))</f>
        <v/>
      </c>
      <c r="P1054" s="25"/>
      <c r="Q1054" s="25"/>
      <c r="R1054" s="25"/>
      <c r="S1054" s="36" t="str">
        <f aca="false">IF(A1054="","",YEAR(A1054)+IF(AND(FYStart&gt;1,MONTH(A1054)&gt;=FYStart),1,0))</f>
        <v/>
      </c>
      <c r="T1054" s="36" t="str">
        <f aca="false">IF(A1054="","",MOD(MONTH(A1054)-FYStart,12)+1)</f>
        <v/>
      </c>
      <c r="U1054" s="37" t="str">
        <f aca="false">IF(A1054="","",TEXT(A1054,"mmm"))</f>
        <v/>
      </c>
      <c r="V1054" s="37" t="str">
        <f aca="false">IF(Q1054="","",IFERROR(INDEX(Settings!$I$11:$I$15,MATCH(Q1054,Settings!$H$11:$H$15,0)),"No"))</f>
        <v/>
      </c>
      <c r="W1054" s="37" t="str">
        <f aca="false">IF(Q1054="","",IFERROR(INDEX(Settings!$J$11:$J$15,MATCH(Q1054,Settings!$H$11:$H$15,0)),"No"))</f>
        <v/>
      </c>
    </row>
    <row r="1055" customFormat="false" ht="15" hidden="false" customHeight="false" outlineLevel="0" collapsed="false">
      <c r="A1055" s="30"/>
      <c r="B1055" s="25"/>
      <c r="C1055" s="25"/>
      <c r="D1055" s="25"/>
      <c r="E1055" s="25"/>
      <c r="F1055" s="25"/>
      <c r="G1055" s="25"/>
      <c r="H1055" s="31"/>
      <c r="I1055" s="32"/>
      <c r="J1055" s="33"/>
      <c r="K1055" s="34" t="str">
        <f aca="false">IF(OR(H1055="",I1055=""),"",H1055*I1055*(1-N(J1055)))</f>
        <v/>
      </c>
      <c r="L1055" s="32"/>
      <c r="M1055" s="34" t="str">
        <f aca="false">IF(OR(H1055="",L1055=""),"",H1055*L1055)</f>
        <v/>
      </c>
      <c r="N1055" s="34" t="str">
        <f aca="false">IF(OR(K1055="",M1055=""),"",K1055-M1055)</f>
        <v/>
      </c>
      <c r="O1055" s="35" t="str">
        <f aca="false">IF(OR(N1055="",K1055=""),"",IF(K1055=0,"",N1055/K1055))</f>
        <v/>
      </c>
      <c r="P1055" s="25"/>
      <c r="Q1055" s="25"/>
      <c r="R1055" s="25"/>
      <c r="S1055" s="36" t="str">
        <f aca="false">IF(A1055="","",YEAR(A1055)+IF(AND(FYStart&gt;1,MONTH(A1055)&gt;=FYStart),1,0))</f>
        <v/>
      </c>
      <c r="T1055" s="36" t="str">
        <f aca="false">IF(A1055="","",MOD(MONTH(A1055)-FYStart,12)+1)</f>
        <v/>
      </c>
      <c r="U1055" s="37" t="str">
        <f aca="false">IF(A1055="","",TEXT(A1055,"mmm"))</f>
        <v/>
      </c>
      <c r="V1055" s="37" t="str">
        <f aca="false">IF(Q1055="","",IFERROR(INDEX(Settings!$I$11:$I$15,MATCH(Q1055,Settings!$H$11:$H$15,0)),"No"))</f>
        <v/>
      </c>
      <c r="W1055" s="37" t="str">
        <f aca="false">IF(Q1055="","",IFERROR(INDEX(Settings!$J$11:$J$15,MATCH(Q1055,Settings!$H$11:$H$15,0)),"No"))</f>
        <v/>
      </c>
    </row>
    <row r="1056" customFormat="false" ht="15" hidden="false" customHeight="false" outlineLevel="0" collapsed="false">
      <c r="A1056" s="30"/>
      <c r="B1056" s="25"/>
      <c r="C1056" s="25"/>
      <c r="D1056" s="25"/>
      <c r="E1056" s="25"/>
      <c r="F1056" s="25"/>
      <c r="G1056" s="25"/>
      <c r="H1056" s="31"/>
      <c r="I1056" s="32"/>
      <c r="J1056" s="33"/>
      <c r="K1056" s="34" t="str">
        <f aca="false">IF(OR(H1056="",I1056=""),"",H1056*I1056*(1-N(J1056)))</f>
        <v/>
      </c>
      <c r="L1056" s="32"/>
      <c r="M1056" s="34" t="str">
        <f aca="false">IF(OR(H1056="",L1056=""),"",H1056*L1056)</f>
        <v/>
      </c>
      <c r="N1056" s="34" t="str">
        <f aca="false">IF(OR(K1056="",M1056=""),"",K1056-M1056)</f>
        <v/>
      </c>
      <c r="O1056" s="35" t="str">
        <f aca="false">IF(OR(N1056="",K1056=""),"",IF(K1056=0,"",N1056/K1056))</f>
        <v/>
      </c>
      <c r="P1056" s="25"/>
      <c r="Q1056" s="25"/>
      <c r="R1056" s="25"/>
      <c r="S1056" s="36" t="str">
        <f aca="false">IF(A1056="","",YEAR(A1056)+IF(AND(FYStart&gt;1,MONTH(A1056)&gt;=FYStart),1,0))</f>
        <v/>
      </c>
      <c r="T1056" s="36" t="str">
        <f aca="false">IF(A1056="","",MOD(MONTH(A1056)-FYStart,12)+1)</f>
        <v/>
      </c>
      <c r="U1056" s="37" t="str">
        <f aca="false">IF(A1056="","",TEXT(A1056,"mmm"))</f>
        <v/>
      </c>
      <c r="V1056" s="37" t="str">
        <f aca="false">IF(Q1056="","",IFERROR(INDEX(Settings!$I$11:$I$15,MATCH(Q1056,Settings!$H$11:$H$15,0)),"No"))</f>
        <v/>
      </c>
      <c r="W1056" s="37" t="str">
        <f aca="false">IF(Q1056="","",IFERROR(INDEX(Settings!$J$11:$J$15,MATCH(Q1056,Settings!$H$11:$H$15,0)),"No"))</f>
        <v/>
      </c>
    </row>
    <row r="1057" customFormat="false" ht="15" hidden="false" customHeight="false" outlineLevel="0" collapsed="false">
      <c r="A1057" s="30"/>
      <c r="B1057" s="25"/>
      <c r="C1057" s="25"/>
      <c r="D1057" s="25"/>
      <c r="E1057" s="25"/>
      <c r="F1057" s="25"/>
      <c r="G1057" s="25"/>
      <c r="H1057" s="31"/>
      <c r="I1057" s="32"/>
      <c r="J1057" s="33"/>
      <c r="K1057" s="34" t="str">
        <f aca="false">IF(OR(H1057="",I1057=""),"",H1057*I1057*(1-N(J1057)))</f>
        <v/>
      </c>
      <c r="L1057" s="32"/>
      <c r="M1057" s="34" t="str">
        <f aca="false">IF(OR(H1057="",L1057=""),"",H1057*L1057)</f>
        <v/>
      </c>
      <c r="N1057" s="34" t="str">
        <f aca="false">IF(OR(K1057="",M1057=""),"",K1057-M1057)</f>
        <v/>
      </c>
      <c r="O1057" s="35" t="str">
        <f aca="false">IF(OR(N1057="",K1057=""),"",IF(K1057=0,"",N1057/K1057))</f>
        <v/>
      </c>
      <c r="P1057" s="25"/>
      <c r="Q1057" s="25"/>
      <c r="R1057" s="25"/>
      <c r="S1057" s="36" t="str">
        <f aca="false">IF(A1057="","",YEAR(A1057)+IF(AND(FYStart&gt;1,MONTH(A1057)&gt;=FYStart),1,0))</f>
        <v/>
      </c>
      <c r="T1057" s="36" t="str">
        <f aca="false">IF(A1057="","",MOD(MONTH(A1057)-FYStart,12)+1)</f>
        <v/>
      </c>
      <c r="U1057" s="37" t="str">
        <f aca="false">IF(A1057="","",TEXT(A1057,"mmm"))</f>
        <v/>
      </c>
      <c r="V1057" s="37" t="str">
        <f aca="false">IF(Q1057="","",IFERROR(INDEX(Settings!$I$11:$I$15,MATCH(Q1057,Settings!$H$11:$H$15,0)),"No"))</f>
        <v/>
      </c>
      <c r="W1057" s="37" t="str">
        <f aca="false">IF(Q1057="","",IFERROR(INDEX(Settings!$J$11:$J$15,MATCH(Q1057,Settings!$H$11:$H$15,0)),"No"))</f>
        <v/>
      </c>
    </row>
    <row r="1058" customFormat="false" ht="15" hidden="false" customHeight="false" outlineLevel="0" collapsed="false">
      <c r="A1058" s="30"/>
      <c r="B1058" s="25"/>
      <c r="C1058" s="25"/>
      <c r="D1058" s="25"/>
      <c r="E1058" s="25"/>
      <c r="F1058" s="25"/>
      <c r="G1058" s="25"/>
      <c r="H1058" s="31"/>
      <c r="I1058" s="32"/>
      <c r="J1058" s="33"/>
      <c r="K1058" s="34" t="str">
        <f aca="false">IF(OR(H1058="",I1058=""),"",H1058*I1058*(1-N(J1058)))</f>
        <v/>
      </c>
      <c r="L1058" s="32"/>
      <c r="M1058" s="34" t="str">
        <f aca="false">IF(OR(H1058="",L1058=""),"",H1058*L1058)</f>
        <v/>
      </c>
      <c r="N1058" s="34" t="str">
        <f aca="false">IF(OR(K1058="",M1058=""),"",K1058-M1058)</f>
        <v/>
      </c>
      <c r="O1058" s="35" t="str">
        <f aca="false">IF(OR(N1058="",K1058=""),"",IF(K1058=0,"",N1058/K1058))</f>
        <v/>
      </c>
      <c r="P1058" s="25"/>
      <c r="Q1058" s="25"/>
      <c r="R1058" s="25"/>
      <c r="S1058" s="36" t="str">
        <f aca="false">IF(A1058="","",YEAR(A1058)+IF(AND(FYStart&gt;1,MONTH(A1058)&gt;=FYStart),1,0))</f>
        <v/>
      </c>
      <c r="T1058" s="36" t="str">
        <f aca="false">IF(A1058="","",MOD(MONTH(A1058)-FYStart,12)+1)</f>
        <v/>
      </c>
      <c r="U1058" s="37" t="str">
        <f aca="false">IF(A1058="","",TEXT(A1058,"mmm"))</f>
        <v/>
      </c>
      <c r="V1058" s="37" t="str">
        <f aca="false">IF(Q1058="","",IFERROR(INDEX(Settings!$I$11:$I$15,MATCH(Q1058,Settings!$H$11:$H$15,0)),"No"))</f>
        <v/>
      </c>
      <c r="W1058" s="37" t="str">
        <f aca="false">IF(Q1058="","",IFERROR(INDEX(Settings!$J$11:$J$15,MATCH(Q1058,Settings!$H$11:$H$15,0)),"No"))</f>
        <v/>
      </c>
    </row>
    <row r="1059" customFormat="false" ht="15" hidden="false" customHeight="false" outlineLevel="0" collapsed="false">
      <c r="A1059" s="30"/>
      <c r="B1059" s="25"/>
      <c r="C1059" s="25"/>
      <c r="D1059" s="25"/>
      <c r="E1059" s="25"/>
      <c r="F1059" s="25"/>
      <c r="G1059" s="25"/>
      <c r="H1059" s="31"/>
      <c r="I1059" s="32"/>
      <c r="J1059" s="33"/>
      <c r="K1059" s="34" t="str">
        <f aca="false">IF(OR(H1059="",I1059=""),"",H1059*I1059*(1-N(J1059)))</f>
        <v/>
      </c>
      <c r="L1059" s="32"/>
      <c r="M1059" s="34" t="str">
        <f aca="false">IF(OR(H1059="",L1059=""),"",H1059*L1059)</f>
        <v/>
      </c>
      <c r="N1059" s="34" t="str">
        <f aca="false">IF(OR(K1059="",M1059=""),"",K1059-M1059)</f>
        <v/>
      </c>
      <c r="O1059" s="35" t="str">
        <f aca="false">IF(OR(N1059="",K1059=""),"",IF(K1059=0,"",N1059/K1059))</f>
        <v/>
      </c>
      <c r="P1059" s="25"/>
      <c r="Q1059" s="25"/>
      <c r="R1059" s="25"/>
      <c r="S1059" s="36" t="str">
        <f aca="false">IF(A1059="","",YEAR(A1059)+IF(AND(FYStart&gt;1,MONTH(A1059)&gt;=FYStart),1,0))</f>
        <v/>
      </c>
      <c r="T1059" s="36" t="str">
        <f aca="false">IF(A1059="","",MOD(MONTH(A1059)-FYStart,12)+1)</f>
        <v/>
      </c>
      <c r="U1059" s="37" t="str">
        <f aca="false">IF(A1059="","",TEXT(A1059,"mmm"))</f>
        <v/>
      </c>
      <c r="V1059" s="37" t="str">
        <f aca="false">IF(Q1059="","",IFERROR(INDEX(Settings!$I$11:$I$15,MATCH(Q1059,Settings!$H$11:$H$15,0)),"No"))</f>
        <v/>
      </c>
      <c r="W1059" s="37" t="str">
        <f aca="false">IF(Q1059="","",IFERROR(INDEX(Settings!$J$11:$J$15,MATCH(Q1059,Settings!$H$11:$H$15,0)),"No"))</f>
        <v/>
      </c>
    </row>
    <row r="1060" customFormat="false" ht="15" hidden="false" customHeight="false" outlineLevel="0" collapsed="false">
      <c r="A1060" s="30"/>
      <c r="B1060" s="25"/>
      <c r="C1060" s="25"/>
      <c r="D1060" s="25"/>
      <c r="E1060" s="25"/>
      <c r="F1060" s="25"/>
      <c r="G1060" s="25"/>
      <c r="H1060" s="31"/>
      <c r="I1060" s="32"/>
      <c r="J1060" s="33"/>
      <c r="K1060" s="34" t="str">
        <f aca="false">IF(OR(H1060="",I1060=""),"",H1060*I1060*(1-N(J1060)))</f>
        <v/>
      </c>
      <c r="L1060" s="32"/>
      <c r="M1060" s="34" t="str">
        <f aca="false">IF(OR(H1060="",L1060=""),"",H1060*L1060)</f>
        <v/>
      </c>
      <c r="N1060" s="34" t="str">
        <f aca="false">IF(OR(K1060="",M1060=""),"",K1060-M1060)</f>
        <v/>
      </c>
      <c r="O1060" s="35" t="str">
        <f aca="false">IF(OR(N1060="",K1060=""),"",IF(K1060=0,"",N1060/K1060))</f>
        <v/>
      </c>
      <c r="P1060" s="25"/>
      <c r="Q1060" s="25"/>
      <c r="R1060" s="25"/>
      <c r="S1060" s="36" t="str">
        <f aca="false">IF(A1060="","",YEAR(A1060)+IF(AND(FYStart&gt;1,MONTH(A1060)&gt;=FYStart),1,0))</f>
        <v/>
      </c>
      <c r="T1060" s="36" t="str">
        <f aca="false">IF(A1060="","",MOD(MONTH(A1060)-FYStart,12)+1)</f>
        <v/>
      </c>
      <c r="U1060" s="37" t="str">
        <f aca="false">IF(A1060="","",TEXT(A1060,"mmm"))</f>
        <v/>
      </c>
      <c r="V1060" s="37" t="str">
        <f aca="false">IF(Q1060="","",IFERROR(INDEX(Settings!$I$11:$I$15,MATCH(Q1060,Settings!$H$11:$H$15,0)),"No"))</f>
        <v/>
      </c>
      <c r="W1060" s="37" t="str">
        <f aca="false">IF(Q1060="","",IFERROR(INDEX(Settings!$J$11:$J$15,MATCH(Q1060,Settings!$H$11:$H$15,0)),"No"))</f>
        <v/>
      </c>
    </row>
    <row r="1061" customFormat="false" ht="15" hidden="false" customHeight="false" outlineLevel="0" collapsed="false">
      <c r="A1061" s="30"/>
      <c r="B1061" s="25"/>
      <c r="C1061" s="25"/>
      <c r="D1061" s="25"/>
      <c r="E1061" s="25"/>
      <c r="F1061" s="25"/>
      <c r="G1061" s="25"/>
      <c r="H1061" s="31"/>
      <c r="I1061" s="32"/>
      <c r="J1061" s="33"/>
      <c r="K1061" s="34" t="str">
        <f aca="false">IF(OR(H1061="",I1061=""),"",H1061*I1061*(1-N(J1061)))</f>
        <v/>
      </c>
      <c r="L1061" s="32"/>
      <c r="M1061" s="34" t="str">
        <f aca="false">IF(OR(H1061="",L1061=""),"",H1061*L1061)</f>
        <v/>
      </c>
      <c r="N1061" s="34" t="str">
        <f aca="false">IF(OR(K1061="",M1061=""),"",K1061-M1061)</f>
        <v/>
      </c>
      <c r="O1061" s="35" t="str">
        <f aca="false">IF(OR(N1061="",K1061=""),"",IF(K1061=0,"",N1061/K1061))</f>
        <v/>
      </c>
      <c r="P1061" s="25"/>
      <c r="Q1061" s="25"/>
      <c r="R1061" s="25"/>
      <c r="S1061" s="36" t="str">
        <f aca="false">IF(A1061="","",YEAR(A1061)+IF(AND(FYStart&gt;1,MONTH(A1061)&gt;=FYStart),1,0))</f>
        <v/>
      </c>
      <c r="T1061" s="36" t="str">
        <f aca="false">IF(A1061="","",MOD(MONTH(A1061)-FYStart,12)+1)</f>
        <v/>
      </c>
      <c r="U1061" s="37" t="str">
        <f aca="false">IF(A1061="","",TEXT(A1061,"mmm"))</f>
        <v/>
      </c>
      <c r="V1061" s="37" t="str">
        <f aca="false">IF(Q1061="","",IFERROR(INDEX(Settings!$I$11:$I$15,MATCH(Q1061,Settings!$H$11:$H$15,0)),"No"))</f>
        <v/>
      </c>
      <c r="W1061" s="37" t="str">
        <f aca="false">IF(Q1061="","",IFERROR(INDEX(Settings!$J$11:$J$15,MATCH(Q1061,Settings!$H$11:$H$15,0)),"No"))</f>
        <v/>
      </c>
    </row>
    <row r="1062" customFormat="false" ht="15" hidden="false" customHeight="false" outlineLevel="0" collapsed="false">
      <c r="A1062" s="30"/>
      <c r="B1062" s="25"/>
      <c r="C1062" s="25"/>
      <c r="D1062" s="25"/>
      <c r="E1062" s="25"/>
      <c r="F1062" s="25"/>
      <c r="G1062" s="25"/>
      <c r="H1062" s="31"/>
      <c r="I1062" s="32"/>
      <c r="J1062" s="33"/>
      <c r="K1062" s="34" t="str">
        <f aca="false">IF(OR(H1062="",I1062=""),"",H1062*I1062*(1-N(J1062)))</f>
        <v/>
      </c>
      <c r="L1062" s="32"/>
      <c r="M1062" s="34" t="str">
        <f aca="false">IF(OR(H1062="",L1062=""),"",H1062*L1062)</f>
        <v/>
      </c>
      <c r="N1062" s="34" t="str">
        <f aca="false">IF(OR(K1062="",M1062=""),"",K1062-M1062)</f>
        <v/>
      </c>
      <c r="O1062" s="35" t="str">
        <f aca="false">IF(OR(N1062="",K1062=""),"",IF(K1062=0,"",N1062/K1062))</f>
        <v/>
      </c>
      <c r="P1062" s="25"/>
      <c r="Q1062" s="25"/>
      <c r="R1062" s="25"/>
      <c r="S1062" s="36" t="str">
        <f aca="false">IF(A1062="","",YEAR(A1062)+IF(AND(FYStart&gt;1,MONTH(A1062)&gt;=FYStart),1,0))</f>
        <v/>
      </c>
      <c r="T1062" s="36" t="str">
        <f aca="false">IF(A1062="","",MOD(MONTH(A1062)-FYStart,12)+1)</f>
        <v/>
      </c>
      <c r="U1062" s="37" t="str">
        <f aca="false">IF(A1062="","",TEXT(A1062,"mmm"))</f>
        <v/>
      </c>
      <c r="V1062" s="37" t="str">
        <f aca="false">IF(Q1062="","",IFERROR(INDEX(Settings!$I$11:$I$15,MATCH(Q1062,Settings!$H$11:$H$15,0)),"No"))</f>
        <v/>
      </c>
      <c r="W1062" s="37" t="str">
        <f aca="false">IF(Q1062="","",IFERROR(INDEX(Settings!$J$11:$J$15,MATCH(Q1062,Settings!$H$11:$H$15,0)),"No"))</f>
        <v/>
      </c>
    </row>
    <row r="1063" customFormat="false" ht="15" hidden="false" customHeight="false" outlineLevel="0" collapsed="false">
      <c r="A1063" s="30"/>
      <c r="B1063" s="25"/>
      <c r="C1063" s="25"/>
      <c r="D1063" s="25"/>
      <c r="E1063" s="25"/>
      <c r="F1063" s="25"/>
      <c r="G1063" s="25"/>
      <c r="H1063" s="31"/>
      <c r="I1063" s="32"/>
      <c r="J1063" s="33"/>
      <c r="K1063" s="34" t="str">
        <f aca="false">IF(OR(H1063="",I1063=""),"",H1063*I1063*(1-N(J1063)))</f>
        <v/>
      </c>
      <c r="L1063" s="32"/>
      <c r="M1063" s="34" t="str">
        <f aca="false">IF(OR(H1063="",L1063=""),"",H1063*L1063)</f>
        <v/>
      </c>
      <c r="N1063" s="34" t="str">
        <f aca="false">IF(OR(K1063="",M1063=""),"",K1063-M1063)</f>
        <v/>
      </c>
      <c r="O1063" s="35" t="str">
        <f aca="false">IF(OR(N1063="",K1063=""),"",IF(K1063=0,"",N1063/K1063))</f>
        <v/>
      </c>
      <c r="P1063" s="25"/>
      <c r="Q1063" s="25"/>
      <c r="R1063" s="25"/>
      <c r="S1063" s="36" t="str">
        <f aca="false">IF(A1063="","",YEAR(A1063)+IF(AND(FYStart&gt;1,MONTH(A1063)&gt;=FYStart),1,0))</f>
        <v/>
      </c>
      <c r="T1063" s="36" t="str">
        <f aca="false">IF(A1063="","",MOD(MONTH(A1063)-FYStart,12)+1)</f>
        <v/>
      </c>
      <c r="U1063" s="37" t="str">
        <f aca="false">IF(A1063="","",TEXT(A1063,"mmm"))</f>
        <v/>
      </c>
      <c r="V1063" s="37" t="str">
        <f aca="false">IF(Q1063="","",IFERROR(INDEX(Settings!$I$11:$I$15,MATCH(Q1063,Settings!$H$11:$H$15,0)),"No"))</f>
        <v/>
      </c>
      <c r="W1063" s="37" t="str">
        <f aca="false">IF(Q1063="","",IFERROR(INDEX(Settings!$J$11:$J$15,MATCH(Q1063,Settings!$H$11:$H$15,0)),"No"))</f>
        <v/>
      </c>
    </row>
    <row r="1064" customFormat="false" ht="15" hidden="false" customHeight="false" outlineLevel="0" collapsed="false">
      <c r="A1064" s="30"/>
      <c r="B1064" s="25"/>
      <c r="C1064" s="25"/>
      <c r="D1064" s="25"/>
      <c r="E1064" s="25"/>
      <c r="F1064" s="25"/>
      <c r="G1064" s="25"/>
      <c r="H1064" s="31"/>
      <c r="I1064" s="32"/>
      <c r="J1064" s="33"/>
      <c r="K1064" s="34" t="str">
        <f aca="false">IF(OR(H1064="",I1064=""),"",H1064*I1064*(1-N(J1064)))</f>
        <v/>
      </c>
      <c r="L1064" s="32"/>
      <c r="M1064" s="34" t="str">
        <f aca="false">IF(OR(H1064="",L1064=""),"",H1064*L1064)</f>
        <v/>
      </c>
      <c r="N1064" s="34" t="str">
        <f aca="false">IF(OR(K1064="",M1064=""),"",K1064-M1064)</f>
        <v/>
      </c>
      <c r="O1064" s="35" t="str">
        <f aca="false">IF(OR(N1064="",K1064=""),"",IF(K1064=0,"",N1064/K1064))</f>
        <v/>
      </c>
      <c r="P1064" s="25"/>
      <c r="Q1064" s="25"/>
      <c r="R1064" s="25"/>
      <c r="S1064" s="36" t="str">
        <f aca="false">IF(A1064="","",YEAR(A1064)+IF(AND(FYStart&gt;1,MONTH(A1064)&gt;=FYStart),1,0))</f>
        <v/>
      </c>
      <c r="T1064" s="36" t="str">
        <f aca="false">IF(A1064="","",MOD(MONTH(A1064)-FYStart,12)+1)</f>
        <v/>
      </c>
      <c r="U1064" s="37" t="str">
        <f aca="false">IF(A1064="","",TEXT(A1064,"mmm"))</f>
        <v/>
      </c>
      <c r="V1064" s="37" t="str">
        <f aca="false">IF(Q1064="","",IFERROR(INDEX(Settings!$I$11:$I$15,MATCH(Q1064,Settings!$H$11:$H$15,0)),"No"))</f>
        <v/>
      </c>
      <c r="W1064" s="37" t="str">
        <f aca="false">IF(Q1064="","",IFERROR(INDEX(Settings!$J$11:$J$15,MATCH(Q1064,Settings!$H$11:$H$15,0)),"No"))</f>
        <v/>
      </c>
    </row>
    <row r="1065" customFormat="false" ht="15" hidden="false" customHeight="false" outlineLevel="0" collapsed="false">
      <c r="A1065" s="30"/>
      <c r="B1065" s="25"/>
      <c r="C1065" s="25"/>
      <c r="D1065" s="25"/>
      <c r="E1065" s="25"/>
      <c r="F1065" s="25"/>
      <c r="G1065" s="25"/>
      <c r="H1065" s="31"/>
      <c r="I1065" s="32"/>
      <c r="J1065" s="33"/>
      <c r="K1065" s="34" t="str">
        <f aca="false">IF(OR(H1065="",I1065=""),"",H1065*I1065*(1-N(J1065)))</f>
        <v/>
      </c>
      <c r="L1065" s="32"/>
      <c r="M1065" s="34" t="str">
        <f aca="false">IF(OR(H1065="",L1065=""),"",H1065*L1065)</f>
        <v/>
      </c>
      <c r="N1065" s="34" t="str">
        <f aca="false">IF(OR(K1065="",M1065=""),"",K1065-M1065)</f>
        <v/>
      </c>
      <c r="O1065" s="35" t="str">
        <f aca="false">IF(OR(N1065="",K1065=""),"",IF(K1065=0,"",N1065/K1065))</f>
        <v/>
      </c>
      <c r="P1065" s="25"/>
      <c r="Q1065" s="25"/>
      <c r="R1065" s="25"/>
      <c r="S1065" s="36" t="str">
        <f aca="false">IF(A1065="","",YEAR(A1065)+IF(AND(FYStart&gt;1,MONTH(A1065)&gt;=FYStart),1,0))</f>
        <v/>
      </c>
      <c r="T1065" s="36" t="str">
        <f aca="false">IF(A1065="","",MOD(MONTH(A1065)-FYStart,12)+1)</f>
        <v/>
      </c>
      <c r="U1065" s="37" t="str">
        <f aca="false">IF(A1065="","",TEXT(A1065,"mmm"))</f>
        <v/>
      </c>
      <c r="V1065" s="37" t="str">
        <f aca="false">IF(Q1065="","",IFERROR(INDEX(Settings!$I$11:$I$15,MATCH(Q1065,Settings!$H$11:$H$15,0)),"No"))</f>
        <v/>
      </c>
      <c r="W1065" s="37" t="str">
        <f aca="false">IF(Q1065="","",IFERROR(INDEX(Settings!$J$11:$J$15,MATCH(Q1065,Settings!$H$11:$H$15,0)),"No"))</f>
        <v/>
      </c>
    </row>
    <row r="1066" customFormat="false" ht="15" hidden="false" customHeight="false" outlineLevel="0" collapsed="false">
      <c r="A1066" s="30"/>
      <c r="B1066" s="25"/>
      <c r="C1066" s="25"/>
      <c r="D1066" s="25"/>
      <c r="E1066" s="25"/>
      <c r="F1066" s="25"/>
      <c r="G1066" s="25"/>
      <c r="H1066" s="31"/>
      <c r="I1066" s="32"/>
      <c r="J1066" s="33"/>
      <c r="K1066" s="34" t="str">
        <f aca="false">IF(OR(H1066="",I1066=""),"",H1066*I1066*(1-N(J1066)))</f>
        <v/>
      </c>
      <c r="L1066" s="32"/>
      <c r="M1066" s="34" t="str">
        <f aca="false">IF(OR(H1066="",L1066=""),"",H1066*L1066)</f>
        <v/>
      </c>
      <c r="N1066" s="34" t="str">
        <f aca="false">IF(OR(K1066="",M1066=""),"",K1066-M1066)</f>
        <v/>
      </c>
      <c r="O1066" s="35" t="str">
        <f aca="false">IF(OR(N1066="",K1066=""),"",IF(K1066=0,"",N1066/K1066))</f>
        <v/>
      </c>
      <c r="P1066" s="25"/>
      <c r="Q1066" s="25"/>
      <c r="R1066" s="25"/>
      <c r="S1066" s="36" t="str">
        <f aca="false">IF(A1066="","",YEAR(A1066)+IF(AND(FYStart&gt;1,MONTH(A1066)&gt;=FYStart),1,0))</f>
        <v/>
      </c>
      <c r="T1066" s="36" t="str">
        <f aca="false">IF(A1066="","",MOD(MONTH(A1066)-FYStart,12)+1)</f>
        <v/>
      </c>
      <c r="U1066" s="37" t="str">
        <f aca="false">IF(A1066="","",TEXT(A1066,"mmm"))</f>
        <v/>
      </c>
      <c r="V1066" s="37" t="str">
        <f aca="false">IF(Q1066="","",IFERROR(INDEX(Settings!$I$11:$I$15,MATCH(Q1066,Settings!$H$11:$H$15,0)),"No"))</f>
        <v/>
      </c>
      <c r="W1066" s="37" t="str">
        <f aca="false">IF(Q1066="","",IFERROR(INDEX(Settings!$J$11:$J$15,MATCH(Q1066,Settings!$H$11:$H$15,0)),"No"))</f>
        <v/>
      </c>
    </row>
    <row r="1067" customFormat="false" ht="15" hidden="false" customHeight="false" outlineLevel="0" collapsed="false">
      <c r="A1067" s="30"/>
      <c r="B1067" s="25"/>
      <c r="C1067" s="25"/>
      <c r="D1067" s="25"/>
      <c r="E1067" s="25"/>
      <c r="F1067" s="25"/>
      <c r="G1067" s="25"/>
      <c r="H1067" s="31"/>
      <c r="I1067" s="32"/>
      <c r="J1067" s="33"/>
      <c r="K1067" s="34" t="str">
        <f aca="false">IF(OR(H1067="",I1067=""),"",H1067*I1067*(1-N(J1067)))</f>
        <v/>
      </c>
      <c r="L1067" s="32"/>
      <c r="M1067" s="34" t="str">
        <f aca="false">IF(OR(H1067="",L1067=""),"",H1067*L1067)</f>
        <v/>
      </c>
      <c r="N1067" s="34" t="str">
        <f aca="false">IF(OR(K1067="",M1067=""),"",K1067-M1067)</f>
        <v/>
      </c>
      <c r="O1067" s="35" t="str">
        <f aca="false">IF(OR(N1067="",K1067=""),"",IF(K1067=0,"",N1067/K1067))</f>
        <v/>
      </c>
      <c r="P1067" s="25"/>
      <c r="Q1067" s="25"/>
      <c r="R1067" s="25"/>
      <c r="S1067" s="36" t="str">
        <f aca="false">IF(A1067="","",YEAR(A1067)+IF(AND(FYStart&gt;1,MONTH(A1067)&gt;=FYStart),1,0))</f>
        <v/>
      </c>
      <c r="T1067" s="36" t="str">
        <f aca="false">IF(A1067="","",MOD(MONTH(A1067)-FYStart,12)+1)</f>
        <v/>
      </c>
      <c r="U1067" s="37" t="str">
        <f aca="false">IF(A1067="","",TEXT(A1067,"mmm"))</f>
        <v/>
      </c>
      <c r="V1067" s="37" t="str">
        <f aca="false">IF(Q1067="","",IFERROR(INDEX(Settings!$I$11:$I$15,MATCH(Q1067,Settings!$H$11:$H$15,0)),"No"))</f>
        <v/>
      </c>
      <c r="W1067" s="37" t="str">
        <f aca="false">IF(Q1067="","",IFERROR(INDEX(Settings!$J$11:$J$15,MATCH(Q1067,Settings!$H$11:$H$15,0)),"No"))</f>
        <v/>
      </c>
    </row>
    <row r="1068" customFormat="false" ht="15" hidden="false" customHeight="false" outlineLevel="0" collapsed="false">
      <c r="A1068" s="30"/>
      <c r="B1068" s="25"/>
      <c r="C1068" s="25"/>
      <c r="D1068" s="25"/>
      <c r="E1068" s="25"/>
      <c r="F1068" s="25"/>
      <c r="G1068" s="25"/>
      <c r="H1068" s="31"/>
      <c r="I1068" s="32"/>
      <c r="J1068" s="33"/>
      <c r="K1068" s="34" t="str">
        <f aca="false">IF(OR(H1068="",I1068=""),"",H1068*I1068*(1-N(J1068)))</f>
        <v/>
      </c>
      <c r="L1068" s="32"/>
      <c r="M1068" s="34" t="str">
        <f aca="false">IF(OR(H1068="",L1068=""),"",H1068*L1068)</f>
        <v/>
      </c>
      <c r="N1068" s="34" t="str">
        <f aca="false">IF(OR(K1068="",M1068=""),"",K1068-M1068)</f>
        <v/>
      </c>
      <c r="O1068" s="35" t="str">
        <f aca="false">IF(OR(N1068="",K1068=""),"",IF(K1068=0,"",N1068/K1068))</f>
        <v/>
      </c>
      <c r="P1068" s="25"/>
      <c r="Q1068" s="25"/>
      <c r="R1068" s="25"/>
      <c r="S1068" s="36" t="str">
        <f aca="false">IF(A1068="","",YEAR(A1068)+IF(AND(FYStart&gt;1,MONTH(A1068)&gt;=FYStart),1,0))</f>
        <v/>
      </c>
      <c r="T1068" s="36" t="str">
        <f aca="false">IF(A1068="","",MOD(MONTH(A1068)-FYStart,12)+1)</f>
        <v/>
      </c>
      <c r="U1068" s="37" t="str">
        <f aca="false">IF(A1068="","",TEXT(A1068,"mmm"))</f>
        <v/>
      </c>
      <c r="V1068" s="37" t="str">
        <f aca="false">IF(Q1068="","",IFERROR(INDEX(Settings!$I$11:$I$15,MATCH(Q1068,Settings!$H$11:$H$15,0)),"No"))</f>
        <v/>
      </c>
      <c r="W1068" s="37" t="str">
        <f aca="false">IF(Q1068="","",IFERROR(INDEX(Settings!$J$11:$J$15,MATCH(Q1068,Settings!$H$11:$H$15,0)),"No"))</f>
        <v/>
      </c>
    </row>
    <row r="1069" customFormat="false" ht="15" hidden="false" customHeight="false" outlineLevel="0" collapsed="false">
      <c r="A1069" s="30"/>
      <c r="B1069" s="25"/>
      <c r="C1069" s="25"/>
      <c r="D1069" s="25"/>
      <c r="E1069" s="25"/>
      <c r="F1069" s="25"/>
      <c r="G1069" s="25"/>
      <c r="H1069" s="31"/>
      <c r="I1069" s="32"/>
      <c r="J1069" s="33"/>
      <c r="K1069" s="34" t="str">
        <f aca="false">IF(OR(H1069="",I1069=""),"",H1069*I1069*(1-N(J1069)))</f>
        <v/>
      </c>
      <c r="L1069" s="32"/>
      <c r="M1069" s="34" t="str">
        <f aca="false">IF(OR(H1069="",L1069=""),"",H1069*L1069)</f>
        <v/>
      </c>
      <c r="N1069" s="34" t="str">
        <f aca="false">IF(OR(K1069="",M1069=""),"",K1069-M1069)</f>
        <v/>
      </c>
      <c r="O1069" s="35" t="str">
        <f aca="false">IF(OR(N1069="",K1069=""),"",IF(K1069=0,"",N1069/K1069))</f>
        <v/>
      </c>
      <c r="P1069" s="25"/>
      <c r="Q1069" s="25"/>
      <c r="R1069" s="25"/>
      <c r="S1069" s="36" t="str">
        <f aca="false">IF(A1069="","",YEAR(A1069)+IF(AND(FYStart&gt;1,MONTH(A1069)&gt;=FYStart),1,0))</f>
        <v/>
      </c>
      <c r="T1069" s="36" t="str">
        <f aca="false">IF(A1069="","",MOD(MONTH(A1069)-FYStart,12)+1)</f>
        <v/>
      </c>
      <c r="U1069" s="37" t="str">
        <f aca="false">IF(A1069="","",TEXT(A1069,"mmm"))</f>
        <v/>
      </c>
      <c r="V1069" s="37" t="str">
        <f aca="false">IF(Q1069="","",IFERROR(INDEX(Settings!$I$11:$I$15,MATCH(Q1069,Settings!$H$11:$H$15,0)),"No"))</f>
        <v/>
      </c>
      <c r="W1069" s="37" t="str">
        <f aca="false">IF(Q1069="","",IFERROR(INDEX(Settings!$J$11:$J$15,MATCH(Q1069,Settings!$H$11:$H$15,0)),"No"))</f>
        <v/>
      </c>
    </row>
    <row r="1070" customFormat="false" ht="15" hidden="false" customHeight="false" outlineLevel="0" collapsed="false">
      <c r="A1070" s="30"/>
      <c r="B1070" s="25"/>
      <c r="C1070" s="25"/>
      <c r="D1070" s="25"/>
      <c r="E1070" s="25"/>
      <c r="F1070" s="25"/>
      <c r="G1070" s="25"/>
      <c r="H1070" s="31"/>
      <c r="I1070" s="32"/>
      <c r="J1070" s="33"/>
      <c r="K1070" s="34" t="str">
        <f aca="false">IF(OR(H1070="",I1070=""),"",H1070*I1070*(1-N(J1070)))</f>
        <v/>
      </c>
      <c r="L1070" s="32"/>
      <c r="M1070" s="34" t="str">
        <f aca="false">IF(OR(H1070="",L1070=""),"",H1070*L1070)</f>
        <v/>
      </c>
      <c r="N1070" s="34" t="str">
        <f aca="false">IF(OR(K1070="",M1070=""),"",K1070-M1070)</f>
        <v/>
      </c>
      <c r="O1070" s="35" t="str">
        <f aca="false">IF(OR(N1070="",K1070=""),"",IF(K1070=0,"",N1070/K1070))</f>
        <v/>
      </c>
      <c r="P1070" s="25"/>
      <c r="Q1070" s="25"/>
      <c r="R1070" s="25"/>
      <c r="S1070" s="36" t="str">
        <f aca="false">IF(A1070="","",YEAR(A1070)+IF(AND(FYStart&gt;1,MONTH(A1070)&gt;=FYStart),1,0))</f>
        <v/>
      </c>
      <c r="T1070" s="36" t="str">
        <f aca="false">IF(A1070="","",MOD(MONTH(A1070)-FYStart,12)+1)</f>
        <v/>
      </c>
      <c r="U1070" s="37" t="str">
        <f aca="false">IF(A1070="","",TEXT(A1070,"mmm"))</f>
        <v/>
      </c>
      <c r="V1070" s="37" t="str">
        <f aca="false">IF(Q1070="","",IFERROR(INDEX(Settings!$I$11:$I$15,MATCH(Q1070,Settings!$H$11:$H$15,0)),"No"))</f>
        <v/>
      </c>
      <c r="W1070" s="37" t="str">
        <f aca="false">IF(Q1070="","",IFERROR(INDEX(Settings!$J$11:$J$15,MATCH(Q1070,Settings!$H$11:$H$15,0)),"No"))</f>
        <v/>
      </c>
    </row>
    <row r="1071" customFormat="false" ht="15" hidden="false" customHeight="false" outlineLevel="0" collapsed="false">
      <c r="A1071" s="30"/>
      <c r="B1071" s="25"/>
      <c r="C1071" s="25"/>
      <c r="D1071" s="25"/>
      <c r="E1071" s="25"/>
      <c r="F1071" s="25"/>
      <c r="G1071" s="25"/>
      <c r="H1071" s="31"/>
      <c r="I1071" s="32"/>
      <c r="J1071" s="33"/>
      <c r="K1071" s="34" t="str">
        <f aca="false">IF(OR(H1071="",I1071=""),"",H1071*I1071*(1-N(J1071)))</f>
        <v/>
      </c>
      <c r="L1071" s="32"/>
      <c r="M1071" s="34" t="str">
        <f aca="false">IF(OR(H1071="",L1071=""),"",H1071*L1071)</f>
        <v/>
      </c>
      <c r="N1071" s="34" t="str">
        <f aca="false">IF(OR(K1071="",M1071=""),"",K1071-M1071)</f>
        <v/>
      </c>
      <c r="O1071" s="35" t="str">
        <f aca="false">IF(OR(N1071="",K1071=""),"",IF(K1071=0,"",N1071/K1071))</f>
        <v/>
      </c>
      <c r="P1071" s="25"/>
      <c r="Q1071" s="25"/>
      <c r="R1071" s="25"/>
      <c r="S1071" s="36" t="str">
        <f aca="false">IF(A1071="","",YEAR(A1071)+IF(AND(FYStart&gt;1,MONTH(A1071)&gt;=FYStart),1,0))</f>
        <v/>
      </c>
      <c r="T1071" s="36" t="str">
        <f aca="false">IF(A1071="","",MOD(MONTH(A1071)-FYStart,12)+1)</f>
        <v/>
      </c>
      <c r="U1071" s="37" t="str">
        <f aca="false">IF(A1071="","",TEXT(A1071,"mmm"))</f>
        <v/>
      </c>
      <c r="V1071" s="37" t="str">
        <f aca="false">IF(Q1071="","",IFERROR(INDEX(Settings!$I$11:$I$15,MATCH(Q1071,Settings!$H$11:$H$15,0)),"No"))</f>
        <v/>
      </c>
      <c r="W1071" s="37" t="str">
        <f aca="false">IF(Q1071="","",IFERROR(INDEX(Settings!$J$11:$J$15,MATCH(Q1071,Settings!$H$11:$H$15,0)),"No"))</f>
        <v/>
      </c>
    </row>
    <row r="1072" customFormat="false" ht="15" hidden="false" customHeight="false" outlineLevel="0" collapsed="false">
      <c r="A1072" s="30"/>
      <c r="B1072" s="25"/>
      <c r="C1072" s="25"/>
      <c r="D1072" s="25"/>
      <c r="E1072" s="25"/>
      <c r="F1072" s="25"/>
      <c r="G1072" s="25"/>
      <c r="H1072" s="31"/>
      <c r="I1072" s="32"/>
      <c r="J1072" s="33"/>
      <c r="K1072" s="34" t="str">
        <f aca="false">IF(OR(H1072="",I1072=""),"",H1072*I1072*(1-N(J1072)))</f>
        <v/>
      </c>
      <c r="L1072" s="32"/>
      <c r="M1072" s="34" t="str">
        <f aca="false">IF(OR(H1072="",L1072=""),"",H1072*L1072)</f>
        <v/>
      </c>
      <c r="N1072" s="34" t="str">
        <f aca="false">IF(OR(K1072="",M1072=""),"",K1072-M1072)</f>
        <v/>
      </c>
      <c r="O1072" s="35" t="str">
        <f aca="false">IF(OR(N1072="",K1072=""),"",IF(K1072=0,"",N1072/K1072))</f>
        <v/>
      </c>
      <c r="P1072" s="25"/>
      <c r="Q1072" s="25"/>
      <c r="R1072" s="25"/>
      <c r="S1072" s="36" t="str">
        <f aca="false">IF(A1072="","",YEAR(A1072)+IF(AND(FYStart&gt;1,MONTH(A1072)&gt;=FYStart),1,0))</f>
        <v/>
      </c>
      <c r="T1072" s="36" t="str">
        <f aca="false">IF(A1072="","",MOD(MONTH(A1072)-FYStart,12)+1)</f>
        <v/>
      </c>
      <c r="U1072" s="37" t="str">
        <f aca="false">IF(A1072="","",TEXT(A1072,"mmm"))</f>
        <v/>
      </c>
      <c r="V1072" s="37" t="str">
        <f aca="false">IF(Q1072="","",IFERROR(INDEX(Settings!$I$11:$I$15,MATCH(Q1072,Settings!$H$11:$H$15,0)),"No"))</f>
        <v/>
      </c>
      <c r="W1072" s="37" t="str">
        <f aca="false">IF(Q1072="","",IFERROR(INDEX(Settings!$J$11:$J$15,MATCH(Q1072,Settings!$H$11:$H$15,0)),"No"))</f>
        <v/>
      </c>
    </row>
    <row r="1073" customFormat="false" ht="15" hidden="false" customHeight="false" outlineLevel="0" collapsed="false">
      <c r="A1073" s="30"/>
      <c r="B1073" s="25"/>
      <c r="C1073" s="25"/>
      <c r="D1073" s="25"/>
      <c r="E1073" s="25"/>
      <c r="F1073" s="25"/>
      <c r="G1073" s="25"/>
      <c r="H1073" s="31"/>
      <c r="I1073" s="32"/>
      <c r="J1073" s="33"/>
      <c r="K1073" s="34" t="str">
        <f aca="false">IF(OR(H1073="",I1073=""),"",H1073*I1073*(1-N(J1073)))</f>
        <v/>
      </c>
      <c r="L1073" s="32"/>
      <c r="M1073" s="34" t="str">
        <f aca="false">IF(OR(H1073="",L1073=""),"",H1073*L1073)</f>
        <v/>
      </c>
      <c r="N1073" s="34" t="str">
        <f aca="false">IF(OR(K1073="",M1073=""),"",K1073-M1073)</f>
        <v/>
      </c>
      <c r="O1073" s="35" t="str">
        <f aca="false">IF(OR(N1073="",K1073=""),"",IF(K1073=0,"",N1073/K1073))</f>
        <v/>
      </c>
      <c r="P1073" s="25"/>
      <c r="Q1073" s="25"/>
      <c r="R1073" s="25"/>
      <c r="S1073" s="36" t="str">
        <f aca="false">IF(A1073="","",YEAR(A1073)+IF(AND(FYStart&gt;1,MONTH(A1073)&gt;=FYStart),1,0))</f>
        <v/>
      </c>
      <c r="T1073" s="36" t="str">
        <f aca="false">IF(A1073="","",MOD(MONTH(A1073)-FYStart,12)+1)</f>
        <v/>
      </c>
      <c r="U1073" s="37" t="str">
        <f aca="false">IF(A1073="","",TEXT(A1073,"mmm"))</f>
        <v/>
      </c>
      <c r="V1073" s="37" t="str">
        <f aca="false">IF(Q1073="","",IFERROR(INDEX(Settings!$I$11:$I$15,MATCH(Q1073,Settings!$H$11:$H$15,0)),"No"))</f>
        <v/>
      </c>
      <c r="W1073" s="37" t="str">
        <f aca="false">IF(Q1073="","",IFERROR(INDEX(Settings!$J$11:$J$15,MATCH(Q1073,Settings!$H$11:$H$15,0)),"No"))</f>
        <v/>
      </c>
    </row>
    <row r="1074" customFormat="false" ht="15" hidden="false" customHeight="false" outlineLevel="0" collapsed="false">
      <c r="A1074" s="30"/>
      <c r="B1074" s="25"/>
      <c r="C1074" s="25"/>
      <c r="D1074" s="25"/>
      <c r="E1074" s="25"/>
      <c r="F1074" s="25"/>
      <c r="G1074" s="25"/>
      <c r="H1074" s="31"/>
      <c r="I1074" s="32"/>
      <c r="J1074" s="33"/>
      <c r="K1074" s="34" t="str">
        <f aca="false">IF(OR(H1074="",I1074=""),"",H1074*I1074*(1-N(J1074)))</f>
        <v/>
      </c>
      <c r="L1074" s="32"/>
      <c r="M1074" s="34" t="str">
        <f aca="false">IF(OR(H1074="",L1074=""),"",H1074*L1074)</f>
        <v/>
      </c>
      <c r="N1074" s="34" t="str">
        <f aca="false">IF(OR(K1074="",M1074=""),"",K1074-M1074)</f>
        <v/>
      </c>
      <c r="O1074" s="35" t="str">
        <f aca="false">IF(OR(N1074="",K1074=""),"",IF(K1074=0,"",N1074/K1074))</f>
        <v/>
      </c>
      <c r="P1074" s="25"/>
      <c r="Q1074" s="25"/>
      <c r="R1074" s="25"/>
      <c r="S1074" s="36" t="str">
        <f aca="false">IF(A1074="","",YEAR(A1074)+IF(AND(FYStart&gt;1,MONTH(A1074)&gt;=FYStart),1,0))</f>
        <v/>
      </c>
      <c r="T1074" s="36" t="str">
        <f aca="false">IF(A1074="","",MOD(MONTH(A1074)-FYStart,12)+1)</f>
        <v/>
      </c>
      <c r="U1074" s="37" t="str">
        <f aca="false">IF(A1074="","",TEXT(A1074,"mmm"))</f>
        <v/>
      </c>
      <c r="V1074" s="37" t="str">
        <f aca="false">IF(Q1074="","",IFERROR(INDEX(Settings!$I$11:$I$15,MATCH(Q1074,Settings!$H$11:$H$15,0)),"No"))</f>
        <v/>
      </c>
      <c r="W1074" s="37" t="str">
        <f aca="false">IF(Q1074="","",IFERROR(INDEX(Settings!$J$11:$J$15,MATCH(Q1074,Settings!$H$11:$H$15,0)),"No"))</f>
        <v/>
      </c>
    </row>
    <row r="1075" customFormat="false" ht="15" hidden="false" customHeight="false" outlineLevel="0" collapsed="false">
      <c r="A1075" s="30"/>
      <c r="B1075" s="25"/>
      <c r="C1075" s="25"/>
      <c r="D1075" s="25"/>
      <c r="E1075" s="25"/>
      <c r="F1075" s="25"/>
      <c r="G1075" s="25"/>
      <c r="H1075" s="31"/>
      <c r="I1075" s="32"/>
      <c r="J1075" s="33"/>
      <c r="K1075" s="34" t="str">
        <f aca="false">IF(OR(H1075="",I1075=""),"",H1075*I1075*(1-N(J1075)))</f>
        <v/>
      </c>
      <c r="L1075" s="32"/>
      <c r="M1075" s="34" t="str">
        <f aca="false">IF(OR(H1075="",L1075=""),"",H1075*L1075)</f>
        <v/>
      </c>
      <c r="N1075" s="34" t="str">
        <f aca="false">IF(OR(K1075="",M1075=""),"",K1075-M1075)</f>
        <v/>
      </c>
      <c r="O1075" s="35" t="str">
        <f aca="false">IF(OR(N1075="",K1075=""),"",IF(K1075=0,"",N1075/K1075))</f>
        <v/>
      </c>
      <c r="P1075" s="25"/>
      <c r="Q1075" s="25"/>
      <c r="R1075" s="25"/>
      <c r="S1075" s="36" t="str">
        <f aca="false">IF(A1075="","",YEAR(A1075)+IF(AND(FYStart&gt;1,MONTH(A1075)&gt;=FYStart),1,0))</f>
        <v/>
      </c>
      <c r="T1075" s="36" t="str">
        <f aca="false">IF(A1075="","",MOD(MONTH(A1075)-FYStart,12)+1)</f>
        <v/>
      </c>
      <c r="U1075" s="37" t="str">
        <f aca="false">IF(A1075="","",TEXT(A1075,"mmm"))</f>
        <v/>
      </c>
      <c r="V1075" s="37" t="str">
        <f aca="false">IF(Q1075="","",IFERROR(INDEX(Settings!$I$11:$I$15,MATCH(Q1075,Settings!$H$11:$H$15,0)),"No"))</f>
        <v/>
      </c>
      <c r="W1075" s="37" t="str">
        <f aca="false">IF(Q1075="","",IFERROR(INDEX(Settings!$J$11:$J$15,MATCH(Q1075,Settings!$H$11:$H$15,0)),"No"))</f>
        <v/>
      </c>
    </row>
    <row r="1076" customFormat="false" ht="15" hidden="false" customHeight="false" outlineLevel="0" collapsed="false">
      <c r="A1076" s="30"/>
      <c r="B1076" s="25"/>
      <c r="C1076" s="25"/>
      <c r="D1076" s="25"/>
      <c r="E1076" s="25"/>
      <c r="F1076" s="25"/>
      <c r="G1076" s="25"/>
      <c r="H1076" s="31"/>
      <c r="I1076" s="32"/>
      <c r="J1076" s="33"/>
      <c r="K1076" s="34" t="str">
        <f aca="false">IF(OR(H1076="",I1076=""),"",H1076*I1076*(1-N(J1076)))</f>
        <v/>
      </c>
      <c r="L1076" s="32"/>
      <c r="M1076" s="34" t="str">
        <f aca="false">IF(OR(H1076="",L1076=""),"",H1076*L1076)</f>
        <v/>
      </c>
      <c r="N1076" s="34" t="str">
        <f aca="false">IF(OR(K1076="",M1076=""),"",K1076-M1076)</f>
        <v/>
      </c>
      <c r="O1076" s="35" t="str">
        <f aca="false">IF(OR(N1076="",K1076=""),"",IF(K1076=0,"",N1076/K1076))</f>
        <v/>
      </c>
      <c r="P1076" s="25"/>
      <c r="Q1076" s="25"/>
      <c r="R1076" s="25"/>
      <c r="S1076" s="36" t="str">
        <f aca="false">IF(A1076="","",YEAR(A1076)+IF(AND(FYStart&gt;1,MONTH(A1076)&gt;=FYStart),1,0))</f>
        <v/>
      </c>
      <c r="T1076" s="36" t="str">
        <f aca="false">IF(A1076="","",MOD(MONTH(A1076)-FYStart,12)+1)</f>
        <v/>
      </c>
      <c r="U1076" s="37" t="str">
        <f aca="false">IF(A1076="","",TEXT(A1076,"mmm"))</f>
        <v/>
      </c>
      <c r="V1076" s="37" t="str">
        <f aca="false">IF(Q1076="","",IFERROR(INDEX(Settings!$I$11:$I$15,MATCH(Q1076,Settings!$H$11:$H$15,0)),"No"))</f>
        <v/>
      </c>
      <c r="W1076" s="37" t="str">
        <f aca="false">IF(Q1076="","",IFERROR(INDEX(Settings!$J$11:$J$15,MATCH(Q1076,Settings!$H$11:$H$15,0)),"No"))</f>
        <v/>
      </c>
    </row>
    <row r="1077" customFormat="false" ht="15" hidden="false" customHeight="false" outlineLevel="0" collapsed="false">
      <c r="A1077" s="30"/>
      <c r="B1077" s="25"/>
      <c r="C1077" s="25"/>
      <c r="D1077" s="25"/>
      <c r="E1077" s="25"/>
      <c r="F1077" s="25"/>
      <c r="G1077" s="25"/>
      <c r="H1077" s="31"/>
      <c r="I1077" s="32"/>
      <c r="J1077" s="33"/>
      <c r="K1077" s="34" t="str">
        <f aca="false">IF(OR(H1077="",I1077=""),"",H1077*I1077*(1-N(J1077)))</f>
        <v/>
      </c>
      <c r="L1077" s="32"/>
      <c r="M1077" s="34" t="str">
        <f aca="false">IF(OR(H1077="",L1077=""),"",H1077*L1077)</f>
        <v/>
      </c>
      <c r="N1077" s="34" t="str">
        <f aca="false">IF(OR(K1077="",M1077=""),"",K1077-M1077)</f>
        <v/>
      </c>
      <c r="O1077" s="35" t="str">
        <f aca="false">IF(OR(N1077="",K1077=""),"",IF(K1077=0,"",N1077/K1077))</f>
        <v/>
      </c>
      <c r="P1077" s="25"/>
      <c r="Q1077" s="25"/>
      <c r="R1077" s="25"/>
      <c r="S1077" s="36" t="str">
        <f aca="false">IF(A1077="","",YEAR(A1077)+IF(AND(FYStart&gt;1,MONTH(A1077)&gt;=FYStart),1,0))</f>
        <v/>
      </c>
      <c r="T1077" s="36" t="str">
        <f aca="false">IF(A1077="","",MOD(MONTH(A1077)-FYStart,12)+1)</f>
        <v/>
      </c>
      <c r="U1077" s="37" t="str">
        <f aca="false">IF(A1077="","",TEXT(A1077,"mmm"))</f>
        <v/>
      </c>
      <c r="V1077" s="37" t="str">
        <f aca="false">IF(Q1077="","",IFERROR(INDEX(Settings!$I$11:$I$15,MATCH(Q1077,Settings!$H$11:$H$15,0)),"No"))</f>
        <v/>
      </c>
      <c r="W1077" s="37" t="str">
        <f aca="false">IF(Q1077="","",IFERROR(INDEX(Settings!$J$11:$J$15,MATCH(Q1077,Settings!$H$11:$H$15,0)),"No"))</f>
        <v/>
      </c>
    </row>
    <row r="1078" customFormat="false" ht="15" hidden="false" customHeight="false" outlineLevel="0" collapsed="false">
      <c r="A1078" s="30"/>
      <c r="B1078" s="25"/>
      <c r="C1078" s="25"/>
      <c r="D1078" s="25"/>
      <c r="E1078" s="25"/>
      <c r="F1078" s="25"/>
      <c r="G1078" s="25"/>
      <c r="H1078" s="31"/>
      <c r="I1078" s="32"/>
      <c r="J1078" s="33"/>
      <c r="K1078" s="34" t="str">
        <f aca="false">IF(OR(H1078="",I1078=""),"",H1078*I1078*(1-N(J1078)))</f>
        <v/>
      </c>
      <c r="L1078" s="32"/>
      <c r="M1078" s="34" t="str">
        <f aca="false">IF(OR(H1078="",L1078=""),"",H1078*L1078)</f>
        <v/>
      </c>
      <c r="N1078" s="34" t="str">
        <f aca="false">IF(OR(K1078="",M1078=""),"",K1078-M1078)</f>
        <v/>
      </c>
      <c r="O1078" s="35" t="str">
        <f aca="false">IF(OR(N1078="",K1078=""),"",IF(K1078=0,"",N1078/K1078))</f>
        <v/>
      </c>
      <c r="P1078" s="25"/>
      <c r="Q1078" s="25"/>
      <c r="R1078" s="25"/>
      <c r="S1078" s="36" t="str">
        <f aca="false">IF(A1078="","",YEAR(A1078)+IF(AND(FYStart&gt;1,MONTH(A1078)&gt;=FYStart),1,0))</f>
        <v/>
      </c>
      <c r="T1078" s="36" t="str">
        <f aca="false">IF(A1078="","",MOD(MONTH(A1078)-FYStart,12)+1)</f>
        <v/>
      </c>
      <c r="U1078" s="37" t="str">
        <f aca="false">IF(A1078="","",TEXT(A1078,"mmm"))</f>
        <v/>
      </c>
      <c r="V1078" s="37" t="str">
        <f aca="false">IF(Q1078="","",IFERROR(INDEX(Settings!$I$11:$I$15,MATCH(Q1078,Settings!$H$11:$H$15,0)),"No"))</f>
        <v/>
      </c>
      <c r="W1078" s="37" t="str">
        <f aca="false">IF(Q1078="","",IFERROR(INDEX(Settings!$J$11:$J$15,MATCH(Q1078,Settings!$H$11:$H$15,0)),"No"))</f>
        <v/>
      </c>
    </row>
    <row r="1079" customFormat="false" ht="15" hidden="false" customHeight="false" outlineLevel="0" collapsed="false">
      <c r="A1079" s="30"/>
      <c r="B1079" s="25"/>
      <c r="C1079" s="25"/>
      <c r="D1079" s="25"/>
      <c r="E1079" s="25"/>
      <c r="F1079" s="25"/>
      <c r="G1079" s="25"/>
      <c r="H1079" s="31"/>
      <c r="I1079" s="32"/>
      <c r="J1079" s="33"/>
      <c r="K1079" s="34" t="str">
        <f aca="false">IF(OR(H1079="",I1079=""),"",H1079*I1079*(1-N(J1079)))</f>
        <v/>
      </c>
      <c r="L1079" s="32"/>
      <c r="M1079" s="34" t="str">
        <f aca="false">IF(OR(H1079="",L1079=""),"",H1079*L1079)</f>
        <v/>
      </c>
      <c r="N1079" s="34" t="str">
        <f aca="false">IF(OR(K1079="",M1079=""),"",K1079-M1079)</f>
        <v/>
      </c>
      <c r="O1079" s="35" t="str">
        <f aca="false">IF(OR(N1079="",K1079=""),"",IF(K1079=0,"",N1079/K1079))</f>
        <v/>
      </c>
      <c r="P1079" s="25"/>
      <c r="Q1079" s="25"/>
      <c r="R1079" s="25"/>
      <c r="S1079" s="36" t="str">
        <f aca="false">IF(A1079="","",YEAR(A1079)+IF(AND(FYStart&gt;1,MONTH(A1079)&gt;=FYStart),1,0))</f>
        <v/>
      </c>
      <c r="T1079" s="36" t="str">
        <f aca="false">IF(A1079="","",MOD(MONTH(A1079)-FYStart,12)+1)</f>
        <v/>
      </c>
      <c r="U1079" s="37" t="str">
        <f aca="false">IF(A1079="","",TEXT(A1079,"mmm"))</f>
        <v/>
      </c>
      <c r="V1079" s="37" t="str">
        <f aca="false">IF(Q1079="","",IFERROR(INDEX(Settings!$I$11:$I$15,MATCH(Q1079,Settings!$H$11:$H$15,0)),"No"))</f>
        <v/>
      </c>
      <c r="W1079" s="37" t="str">
        <f aca="false">IF(Q1079="","",IFERROR(INDEX(Settings!$J$11:$J$15,MATCH(Q1079,Settings!$H$11:$H$15,0)),"No"))</f>
        <v/>
      </c>
    </row>
    <row r="1080" customFormat="false" ht="15" hidden="false" customHeight="false" outlineLevel="0" collapsed="false">
      <c r="A1080" s="30"/>
      <c r="B1080" s="25"/>
      <c r="C1080" s="25"/>
      <c r="D1080" s="25"/>
      <c r="E1080" s="25"/>
      <c r="F1080" s="25"/>
      <c r="G1080" s="25"/>
      <c r="H1080" s="31"/>
      <c r="I1080" s="32"/>
      <c r="J1080" s="33"/>
      <c r="K1080" s="34" t="str">
        <f aca="false">IF(OR(H1080="",I1080=""),"",H1080*I1080*(1-N(J1080)))</f>
        <v/>
      </c>
      <c r="L1080" s="32"/>
      <c r="M1080" s="34" t="str">
        <f aca="false">IF(OR(H1080="",L1080=""),"",H1080*L1080)</f>
        <v/>
      </c>
      <c r="N1080" s="34" t="str">
        <f aca="false">IF(OR(K1080="",M1080=""),"",K1080-M1080)</f>
        <v/>
      </c>
      <c r="O1080" s="35" t="str">
        <f aca="false">IF(OR(N1080="",K1080=""),"",IF(K1080=0,"",N1080/K1080))</f>
        <v/>
      </c>
      <c r="P1080" s="25"/>
      <c r="Q1080" s="25"/>
      <c r="R1080" s="25"/>
      <c r="S1080" s="36" t="str">
        <f aca="false">IF(A1080="","",YEAR(A1080)+IF(AND(FYStart&gt;1,MONTH(A1080)&gt;=FYStart),1,0))</f>
        <v/>
      </c>
      <c r="T1080" s="36" t="str">
        <f aca="false">IF(A1080="","",MOD(MONTH(A1080)-FYStart,12)+1)</f>
        <v/>
      </c>
      <c r="U1080" s="37" t="str">
        <f aca="false">IF(A1080="","",TEXT(A1080,"mmm"))</f>
        <v/>
      </c>
      <c r="V1080" s="37" t="str">
        <f aca="false">IF(Q1080="","",IFERROR(INDEX(Settings!$I$11:$I$15,MATCH(Q1080,Settings!$H$11:$H$15,0)),"No"))</f>
        <v/>
      </c>
      <c r="W1080" s="37" t="str">
        <f aca="false">IF(Q1080="","",IFERROR(INDEX(Settings!$J$11:$J$15,MATCH(Q1080,Settings!$H$11:$H$15,0)),"No"))</f>
        <v/>
      </c>
    </row>
    <row r="1081" customFormat="false" ht="15" hidden="false" customHeight="false" outlineLevel="0" collapsed="false">
      <c r="A1081" s="30"/>
      <c r="B1081" s="25"/>
      <c r="C1081" s="25"/>
      <c r="D1081" s="25"/>
      <c r="E1081" s="25"/>
      <c r="F1081" s="25"/>
      <c r="G1081" s="25"/>
      <c r="H1081" s="31"/>
      <c r="I1081" s="32"/>
      <c r="J1081" s="33"/>
      <c r="K1081" s="34" t="str">
        <f aca="false">IF(OR(H1081="",I1081=""),"",H1081*I1081*(1-N(J1081)))</f>
        <v/>
      </c>
      <c r="L1081" s="32"/>
      <c r="M1081" s="34" t="str">
        <f aca="false">IF(OR(H1081="",L1081=""),"",H1081*L1081)</f>
        <v/>
      </c>
      <c r="N1081" s="34" t="str">
        <f aca="false">IF(OR(K1081="",M1081=""),"",K1081-M1081)</f>
        <v/>
      </c>
      <c r="O1081" s="35" t="str">
        <f aca="false">IF(OR(N1081="",K1081=""),"",IF(K1081=0,"",N1081/K1081))</f>
        <v/>
      </c>
      <c r="P1081" s="25"/>
      <c r="Q1081" s="25"/>
      <c r="R1081" s="25"/>
      <c r="S1081" s="36" t="str">
        <f aca="false">IF(A1081="","",YEAR(A1081)+IF(AND(FYStart&gt;1,MONTH(A1081)&gt;=FYStart),1,0))</f>
        <v/>
      </c>
      <c r="T1081" s="36" t="str">
        <f aca="false">IF(A1081="","",MOD(MONTH(A1081)-FYStart,12)+1)</f>
        <v/>
      </c>
      <c r="U1081" s="37" t="str">
        <f aca="false">IF(A1081="","",TEXT(A1081,"mmm"))</f>
        <v/>
      </c>
      <c r="V1081" s="37" t="str">
        <f aca="false">IF(Q1081="","",IFERROR(INDEX(Settings!$I$11:$I$15,MATCH(Q1081,Settings!$H$11:$H$15,0)),"No"))</f>
        <v/>
      </c>
      <c r="W1081" s="37" t="str">
        <f aca="false">IF(Q1081="","",IFERROR(INDEX(Settings!$J$11:$J$15,MATCH(Q1081,Settings!$H$11:$H$15,0)),"No"))</f>
        <v/>
      </c>
    </row>
    <row r="1082" customFormat="false" ht="15" hidden="false" customHeight="false" outlineLevel="0" collapsed="false">
      <c r="A1082" s="30"/>
      <c r="B1082" s="25"/>
      <c r="C1082" s="25"/>
      <c r="D1082" s="25"/>
      <c r="E1082" s="25"/>
      <c r="F1082" s="25"/>
      <c r="G1082" s="25"/>
      <c r="H1082" s="31"/>
      <c r="I1082" s="32"/>
      <c r="J1082" s="33"/>
      <c r="K1082" s="34" t="str">
        <f aca="false">IF(OR(H1082="",I1082=""),"",H1082*I1082*(1-N(J1082)))</f>
        <v/>
      </c>
      <c r="L1082" s="32"/>
      <c r="M1082" s="34" t="str">
        <f aca="false">IF(OR(H1082="",L1082=""),"",H1082*L1082)</f>
        <v/>
      </c>
      <c r="N1082" s="34" t="str">
        <f aca="false">IF(OR(K1082="",M1082=""),"",K1082-M1082)</f>
        <v/>
      </c>
      <c r="O1082" s="35" t="str">
        <f aca="false">IF(OR(N1082="",K1082=""),"",IF(K1082=0,"",N1082/K1082))</f>
        <v/>
      </c>
      <c r="P1082" s="25"/>
      <c r="Q1082" s="25"/>
      <c r="R1082" s="25"/>
      <c r="S1082" s="36" t="str">
        <f aca="false">IF(A1082="","",YEAR(A1082)+IF(AND(FYStart&gt;1,MONTH(A1082)&gt;=FYStart),1,0))</f>
        <v/>
      </c>
      <c r="T1082" s="36" t="str">
        <f aca="false">IF(A1082="","",MOD(MONTH(A1082)-FYStart,12)+1)</f>
        <v/>
      </c>
      <c r="U1082" s="37" t="str">
        <f aca="false">IF(A1082="","",TEXT(A1082,"mmm"))</f>
        <v/>
      </c>
      <c r="V1082" s="37" t="str">
        <f aca="false">IF(Q1082="","",IFERROR(INDEX(Settings!$I$11:$I$15,MATCH(Q1082,Settings!$H$11:$H$15,0)),"No"))</f>
        <v/>
      </c>
      <c r="W1082" s="37" t="str">
        <f aca="false">IF(Q1082="","",IFERROR(INDEX(Settings!$J$11:$J$15,MATCH(Q1082,Settings!$H$11:$H$15,0)),"No"))</f>
        <v/>
      </c>
    </row>
    <row r="1083" customFormat="false" ht="15" hidden="false" customHeight="false" outlineLevel="0" collapsed="false">
      <c r="A1083" s="30"/>
      <c r="B1083" s="25"/>
      <c r="C1083" s="25"/>
      <c r="D1083" s="25"/>
      <c r="E1083" s="25"/>
      <c r="F1083" s="25"/>
      <c r="G1083" s="25"/>
      <c r="H1083" s="31"/>
      <c r="I1083" s="32"/>
      <c r="J1083" s="33"/>
      <c r="K1083" s="34" t="str">
        <f aca="false">IF(OR(H1083="",I1083=""),"",H1083*I1083*(1-N(J1083)))</f>
        <v/>
      </c>
      <c r="L1083" s="32"/>
      <c r="M1083" s="34" t="str">
        <f aca="false">IF(OR(H1083="",L1083=""),"",H1083*L1083)</f>
        <v/>
      </c>
      <c r="N1083" s="34" t="str">
        <f aca="false">IF(OR(K1083="",M1083=""),"",K1083-M1083)</f>
        <v/>
      </c>
      <c r="O1083" s="35" t="str">
        <f aca="false">IF(OR(N1083="",K1083=""),"",IF(K1083=0,"",N1083/K1083))</f>
        <v/>
      </c>
      <c r="P1083" s="25"/>
      <c r="Q1083" s="25"/>
      <c r="R1083" s="25"/>
      <c r="S1083" s="36" t="str">
        <f aca="false">IF(A1083="","",YEAR(A1083)+IF(AND(FYStart&gt;1,MONTH(A1083)&gt;=FYStart),1,0))</f>
        <v/>
      </c>
      <c r="T1083" s="36" t="str">
        <f aca="false">IF(A1083="","",MOD(MONTH(A1083)-FYStart,12)+1)</f>
        <v/>
      </c>
      <c r="U1083" s="37" t="str">
        <f aca="false">IF(A1083="","",TEXT(A1083,"mmm"))</f>
        <v/>
      </c>
      <c r="V1083" s="37" t="str">
        <f aca="false">IF(Q1083="","",IFERROR(INDEX(Settings!$I$11:$I$15,MATCH(Q1083,Settings!$H$11:$H$15,0)),"No"))</f>
        <v/>
      </c>
      <c r="W1083" s="37" t="str">
        <f aca="false">IF(Q1083="","",IFERROR(INDEX(Settings!$J$11:$J$15,MATCH(Q1083,Settings!$H$11:$H$15,0)),"No"))</f>
        <v/>
      </c>
    </row>
    <row r="1084" customFormat="false" ht="15" hidden="false" customHeight="false" outlineLevel="0" collapsed="false">
      <c r="A1084" s="30"/>
      <c r="B1084" s="25"/>
      <c r="C1084" s="25"/>
      <c r="D1084" s="25"/>
      <c r="E1084" s="25"/>
      <c r="F1084" s="25"/>
      <c r="G1084" s="25"/>
      <c r="H1084" s="31"/>
      <c r="I1084" s="32"/>
      <c r="J1084" s="33"/>
      <c r="K1084" s="34" t="str">
        <f aca="false">IF(OR(H1084="",I1084=""),"",H1084*I1084*(1-N(J1084)))</f>
        <v/>
      </c>
      <c r="L1084" s="32"/>
      <c r="M1084" s="34" t="str">
        <f aca="false">IF(OR(H1084="",L1084=""),"",H1084*L1084)</f>
        <v/>
      </c>
      <c r="N1084" s="34" t="str">
        <f aca="false">IF(OR(K1084="",M1084=""),"",K1084-M1084)</f>
        <v/>
      </c>
      <c r="O1084" s="35" t="str">
        <f aca="false">IF(OR(N1084="",K1084=""),"",IF(K1084=0,"",N1084/K1084))</f>
        <v/>
      </c>
      <c r="P1084" s="25"/>
      <c r="Q1084" s="25"/>
      <c r="R1084" s="25"/>
      <c r="S1084" s="36" t="str">
        <f aca="false">IF(A1084="","",YEAR(A1084)+IF(AND(FYStart&gt;1,MONTH(A1084)&gt;=FYStart),1,0))</f>
        <v/>
      </c>
      <c r="T1084" s="36" t="str">
        <f aca="false">IF(A1084="","",MOD(MONTH(A1084)-FYStart,12)+1)</f>
        <v/>
      </c>
      <c r="U1084" s="37" t="str">
        <f aca="false">IF(A1084="","",TEXT(A1084,"mmm"))</f>
        <v/>
      </c>
      <c r="V1084" s="37" t="str">
        <f aca="false">IF(Q1084="","",IFERROR(INDEX(Settings!$I$11:$I$15,MATCH(Q1084,Settings!$H$11:$H$15,0)),"No"))</f>
        <v/>
      </c>
      <c r="W1084" s="37" t="str">
        <f aca="false">IF(Q1084="","",IFERROR(INDEX(Settings!$J$11:$J$15,MATCH(Q1084,Settings!$H$11:$H$15,0)),"No"))</f>
        <v/>
      </c>
    </row>
    <row r="1085" customFormat="false" ht="15" hidden="false" customHeight="false" outlineLevel="0" collapsed="false">
      <c r="A1085" s="30"/>
      <c r="B1085" s="25"/>
      <c r="C1085" s="25"/>
      <c r="D1085" s="25"/>
      <c r="E1085" s="25"/>
      <c r="F1085" s="25"/>
      <c r="G1085" s="25"/>
      <c r="H1085" s="31"/>
      <c r="I1085" s="32"/>
      <c r="J1085" s="33"/>
      <c r="K1085" s="34" t="str">
        <f aca="false">IF(OR(H1085="",I1085=""),"",H1085*I1085*(1-N(J1085)))</f>
        <v/>
      </c>
      <c r="L1085" s="32"/>
      <c r="M1085" s="34" t="str">
        <f aca="false">IF(OR(H1085="",L1085=""),"",H1085*L1085)</f>
        <v/>
      </c>
      <c r="N1085" s="34" t="str">
        <f aca="false">IF(OR(K1085="",M1085=""),"",K1085-M1085)</f>
        <v/>
      </c>
      <c r="O1085" s="35" t="str">
        <f aca="false">IF(OR(N1085="",K1085=""),"",IF(K1085=0,"",N1085/K1085))</f>
        <v/>
      </c>
      <c r="P1085" s="25"/>
      <c r="Q1085" s="25"/>
      <c r="R1085" s="25"/>
      <c r="S1085" s="36" t="str">
        <f aca="false">IF(A1085="","",YEAR(A1085)+IF(AND(FYStart&gt;1,MONTH(A1085)&gt;=FYStart),1,0))</f>
        <v/>
      </c>
      <c r="T1085" s="36" t="str">
        <f aca="false">IF(A1085="","",MOD(MONTH(A1085)-FYStart,12)+1)</f>
        <v/>
      </c>
      <c r="U1085" s="37" t="str">
        <f aca="false">IF(A1085="","",TEXT(A1085,"mmm"))</f>
        <v/>
      </c>
      <c r="V1085" s="37" t="str">
        <f aca="false">IF(Q1085="","",IFERROR(INDEX(Settings!$I$11:$I$15,MATCH(Q1085,Settings!$H$11:$H$15,0)),"No"))</f>
        <v/>
      </c>
      <c r="W1085" s="37" t="str">
        <f aca="false">IF(Q1085="","",IFERROR(INDEX(Settings!$J$11:$J$15,MATCH(Q1085,Settings!$H$11:$H$15,0)),"No"))</f>
        <v/>
      </c>
    </row>
    <row r="1086" customFormat="false" ht="15" hidden="false" customHeight="false" outlineLevel="0" collapsed="false">
      <c r="A1086" s="30"/>
      <c r="B1086" s="25"/>
      <c r="C1086" s="25"/>
      <c r="D1086" s="25"/>
      <c r="E1086" s="25"/>
      <c r="F1086" s="25"/>
      <c r="G1086" s="25"/>
      <c r="H1086" s="31"/>
      <c r="I1086" s="32"/>
      <c r="J1086" s="33"/>
      <c r="K1086" s="34" t="str">
        <f aca="false">IF(OR(H1086="",I1086=""),"",H1086*I1086*(1-N(J1086)))</f>
        <v/>
      </c>
      <c r="L1086" s="32"/>
      <c r="M1086" s="34" t="str">
        <f aca="false">IF(OR(H1086="",L1086=""),"",H1086*L1086)</f>
        <v/>
      </c>
      <c r="N1086" s="34" t="str">
        <f aca="false">IF(OR(K1086="",M1086=""),"",K1086-M1086)</f>
        <v/>
      </c>
      <c r="O1086" s="35" t="str">
        <f aca="false">IF(OR(N1086="",K1086=""),"",IF(K1086=0,"",N1086/K1086))</f>
        <v/>
      </c>
      <c r="P1086" s="25"/>
      <c r="Q1086" s="25"/>
      <c r="R1086" s="25"/>
      <c r="S1086" s="36" t="str">
        <f aca="false">IF(A1086="","",YEAR(A1086)+IF(AND(FYStart&gt;1,MONTH(A1086)&gt;=FYStart),1,0))</f>
        <v/>
      </c>
      <c r="T1086" s="36" t="str">
        <f aca="false">IF(A1086="","",MOD(MONTH(A1086)-FYStart,12)+1)</f>
        <v/>
      </c>
      <c r="U1086" s="37" t="str">
        <f aca="false">IF(A1086="","",TEXT(A1086,"mmm"))</f>
        <v/>
      </c>
      <c r="V1086" s="37" t="str">
        <f aca="false">IF(Q1086="","",IFERROR(INDEX(Settings!$I$11:$I$15,MATCH(Q1086,Settings!$H$11:$H$15,0)),"No"))</f>
        <v/>
      </c>
      <c r="W1086" s="37" t="str">
        <f aca="false">IF(Q1086="","",IFERROR(INDEX(Settings!$J$11:$J$15,MATCH(Q1086,Settings!$H$11:$H$15,0)),"No"))</f>
        <v/>
      </c>
    </row>
    <row r="1087" customFormat="false" ht="15" hidden="false" customHeight="false" outlineLevel="0" collapsed="false">
      <c r="A1087" s="30"/>
      <c r="B1087" s="25"/>
      <c r="C1087" s="25"/>
      <c r="D1087" s="25"/>
      <c r="E1087" s="25"/>
      <c r="F1087" s="25"/>
      <c r="G1087" s="25"/>
      <c r="H1087" s="31"/>
      <c r="I1087" s="32"/>
      <c r="J1087" s="33"/>
      <c r="K1087" s="34" t="str">
        <f aca="false">IF(OR(H1087="",I1087=""),"",H1087*I1087*(1-N(J1087)))</f>
        <v/>
      </c>
      <c r="L1087" s="32"/>
      <c r="M1087" s="34" t="str">
        <f aca="false">IF(OR(H1087="",L1087=""),"",H1087*L1087)</f>
        <v/>
      </c>
      <c r="N1087" s="34" t="str">
        <f aca="false">IF(OR(K1087="",M1087=""),"",K1087-M1087)</f>
        <v/>
      </c>
      <c r="O1087" s="35" t="str">
        <f aca="false">IF(OR(N1087="",K1087=""),"",IF(K1087=0,"",N1087/K1087))</f>
        <v/>
      </c>
      <c r="P1087" s="25"/>
      <c r="Q1087" s="25"/>
      <c r="R1087" s="25"/>
      <c r="S1087" s="36" t="str">
        <f aca="false">IF(A1087="","",YEAR(A1087)+IF(AND(FYStart&gt;1,MONTH(A1087)&gt;=FYStart),1,0))</f>
        <v/>
      </c>
      <c r="T1087" s="36" t="str">
        <f aca="false">IF(A1087="","",MOD(MONTH(A1087)-FYStart,12)+1)</f>
        <v/>
      </c>
      <c r="U1087" s="37" t="str">
        <f aca="false">IF(A1087="","",TEXT(A1087,"mmm"))</f>
        <v/>
      </c>
      <c r="V1087" s="37" t="str">
        <f aca="false">IF(Q1087="","",IFERROR(INDEX(Settings!$I$11:$I$15,MATCH(Q1087,Settings!$H$11:$H$15,0)),"No"))</f>
        <v/>
      </c>
      <c r="W1087" s="37" t="str">
        <f aca="false">IF(Q1087="","",IFERROR(INDEX(Settings!$J$11:$J$15,MATCH(Q1087,Settings!$H$11:$H$15,0)),"No"))</f>
        <v/>
      </c>
    </row>
    <row r="1088" customFormat="false" ht="15" hidden="false" customHeight="false" outlineLevel="0" collapsed="false">
      <c r="A1088" s="30"/>
      <c r="B1088" s="25"/>
      <c r="C1088" s="25"/>
      <c r="D1088" s="25"/>
      <c r="E1088" s="25"/>
      <c r="F1088" s="25"/>
      <c r="G1088" s="25"/>
      <c r="H1088" s="31"/>
      <c r="I1088" s="32"/>
      <c r="J1088" s="33"/>
      <c r="K1088" s="34" t="str">
        <f aca="false">IF(OR(H1088="",I1088=""),"",H1088*I1088*(1-N(J1088)))</f>
        <v/>
      </c>
      <c r="L1088" s="32"/>
      <c r="M1088" s="34" t="str">
        <f aca="false">IF(OR(H1088="",L1088=""),"",H1088*L1088)</f>
        <v/>
      </c>
      <c r="N1088" s="34" t="str">
        <f aca="false">IF(OR(K1088="",M1088=""),"",K1088-M1088)</f>
        <v/>
      </c>
      <c r="O1088" s="35" t="str">
        <f aca="false">IF(OR(N1088="",K1088=""),"",IF(K1088=0,"",N1088/K1088))</f>
        <v/>
      </c>
      <c r="P1088" s="25"/>
      <c r="Q1088" s="25"/>
      <c r="R1088" s="25"/>
      <c r="S1088" s="36" t="str">
        <f aca="false">IF(A1088="","",YEAR(A1088)+IF(AND(FYStart&gt;1,MONTH(A1088)&gt;=FYStart),1,0))</f>
        <v/>
      </c>
      <c r="T1088" s="36" t="str">
        <f aca="false">IF(A1088="","",MOD(MONTH(A1088)-FYStart,12)+1)</f>
        <v/>
      </c>
      <c r="U1088" s="37" t="str">
        <f aca="false">IF(A1088="","",TEXT(A1088,"mmm"))</f>
        <v/>
      </c>
      <c r="V1088" s="37" t="str">
        <f aca="false">IF(Q1088="","",IFERROR(INDEX(Settings!$I$11:$I$15,MATCH(Q1088,Settings!$H$11:$H$15,0)),"No"))</f>
        <v/>
      </c>
      <c r="W1088" s="37" t="str">
        <f aca="false">IF(Q1088="","",IFERROR(INDEX(Settings!$J$11:$J$15,MATCH(Q1088,Settings!$H$11:$H$15,0)),"No"))</f>
        <v/>
      </c>
    </row>
    <row r="1089" customFormat="false" ht="15" hidden="false" customHeight="false" outlineLevel="0" collapsed="false">
      <c r="A1089" s="30"/>
      <c r="B1089" s="25"/>
      <c r="C1089" s="25"/>
      <c r="D1089" s="25"/>
      <c r="E1089" s="25"/>
      <c r="F1089" s="25"/>
      <c r="G1089" s="25"/>
      <c r="H1089" s="31"/>
      <c r="I1089" s="32"/>
      <c r="J1089" s="33"/>
      <c r="K1089" s="34" t="str">
        <f aca="false">IF(OR(H1089="",I1089=""),"",H1089*I1089*(1-N(J1089)))</f>
        <v/>
      </c>
      <c r="L1089" s="32"/>
      <c r="M1089" s="34" t="str">
        <f aca="false">IF(OR(H1089="",L1089=""),"",H1089*L1089)</f>
        <v/>
      </c>
      <c r="N1089" s="34" t="str">
        <f aca="false">IF(OR(K1089="",M1089=""),"",K1089-M1089)</f>
        <v/>
      </c>
      <c r="O1089" s="35" t="str">
        <f aca="false">IF(OR(N1089="",K1089=""),"",IF(K1089=0,"",N1089/K1089))</f>
        <v/>
      </c>
      <c r="P1089" s="25"/>
      <c r="Q1089" s="25"/>
      <c r="R1089" s="25"/>
      <c r="S1089" s="36" t="str">
        <f aca="false">IF(A1089="","",YEAR(A1089)+IF(AND(FYStart&gt;1,MONTH(A1089)&gt;=FYStart),1,0))</f>
        <v/>
      </c>
      <c r="T1089" s="36" t="str">
        <f aca="false">IF(A1089="","",MOD(MONTH(A1089)-FYStart,12)+1)</f>
        <v/>
      </c>
      <c r="U1089" s="37" t="str">
        <f aca="false">IF(A1089="","",TEXT(A1089,"mmm"))</f>
        <v/>
      </c>
      <c r="V1089" s="37" t="str">
        <f aca="false">IF(Q1089="","",IFERROR(INDEX(Settings!$I$11:$I$15,MATCH(Q1089,Settings!$H$11:$H$15,0)),"No"))</f>
        <v/>
      </c>
      <c r="W1089" s="37" t="str">
        <f aca="false">IF(Q1089="","",IFERROR(INDEX(Settings!$J$11:$J$15,MATCH(Q1089,Settings!$H$11:$H$15,0)),"No"))</f>
        <v/>
      </c>
    </row>
    <row r="1090" customFormat="false" ht="15" hidden="false" customHeight="false" outlineLevel="0" collapsed="false">
      <c r="A1090" s="30"/>
      <c r="B1090" s="25"/>
      <c r="C1090" s="25"/>
      <c r="D1090" s="25"/>
      <c r="E1090" s="25"/>
      <c r="F1090" s="25"/>
      <c r="G1090" s="25"/>
      <c r="H1090" s="31"/>
      <c r="I1090" s="32"/>
      <c r="J1090" s="33"/>
      <c r="K1090" s="34" t="str">
        <f aca="false">IF(OR(H1090="",I1090=""),"",H1090*I1090*(1-N(J1090)))</f>
        <v/>
      </c>
      <c r="L1090" s="32"/>
      <c r="M1090" s="34" t="str">
        <f aca="false">IF(OR(H1090="",L1090=""),"",H1090*L1090)</f>
        <v/>
      </c>
      <c r="N1090" s="34" t="str">
        <f aca="false">IF(OR(K1090="",M1090=""),"",K1090-M1090)</f>
        <v/>
      </c>
      <c r="O1090" s="35" t="str">
        <f aca="false">IF(OR(N1090="",K1090=""),"",IF(K1090=0,"",N1090/K1090))</f>
        <v/>
      </c>
      <c r="P1090" s="25"/>
      <c r="Q1090" s="25"/>
      <c r="R1090" s="25"/>
      <c r="S1090" s="36" t="str">
        <f aca="false">IF(A1090="","",YEAR(A1090)+IF(AND(FYStart&gt;1,MONTH(A1090)&gt;=FYStart),1,0))</f>
        <v/>
      </c>
      <c r="T1090" s="36" t="str">
        <f aca="false">IF(A1090="","",MOD(MONTH(A1090)-FYStart,12)+1)</f>
        <v/>
      </c>
      <c r="U1090" s="37" t="str">
        <f aca="false">IF(A1090="","",TEXT(A1090,"mmm"))</f>
        <v/>
      </c>
      <c r="V1090" s="37" t="str">
        <f aca="false">IF(Q1090="","",IFERROR(INDEX(Settings!$I$11:$I$15,MATCH(Q1090,Settings!$H$11:$H$15,0)),"No"))</f>
        <v/>
      </c>
      <c r="W1090" s="37" t="str">
        <f aca="false">IF(Q1090="","",IFERROR(INDEX(Settings!$J$11:$J$15,MATCH(Q1090,Settings!$H$11:$H$15,0)),"No"))</f>
        <v/>
      </c>
    </row>
    <row r="1091" customFormat="false" ht="15" hidden="false" customHeight="false" outlineLevel="0" collapsed="false">
      <c r="A1091" s="30"/>
      <c r="B1091" s="25"/>
      <c r="C1091" s="25"/>
      <c r="D1091" s="25"/>
      <c r="E1091" s="25"/>
      <c r="F1091" s="25"/>
      <c r="G1091" s="25"/>
      <c r="H1091" s="31"/>
      <c r="I1091" s="32"/>
      <c r="J1091" s="33"/>
      <c r="K1091" s="34" t="str">
        <f aca="false">IF(OR(H1091="",I1091=""),"",H1091*I1091*(1-N(J1091)))</f>
        <v/>
      </c>
      <c r="L1091" s="32"/>
      <c r="M1091" s="34" t="str">
        <f aca="false">IF(OR(H1091="",L1091=""),"",H1091*L1091)</f>
        <v/>
      </c>
      <c r="N1091" s="34" t="str">
        <f aca="false">IF(OR(K1091="",M1091=""),"",K1091-M1091)</f>
        <v/>
      </c>
      <c r="O1091" s="35" t="str">
        <f aca="false">IF(OR(N1091="",K1091=""),"",IF(K1091=0,"",N1091/K1091))</f>
        <v/>
      </c>
      <c r="P1091" s="25"/>
      <c r="Q1091" s="25"/>
      <c r="R1091" s="25"/>
      <c r="S1091" s="36" t="str">
        <f aca="false">IF(A1091="","",YEAR(A1091)+IF(AND(FYStart&gt;1,MONTH(A1091)&gt;=FYStart),1,0))</f>
        <v/>
      </c>
      <c r="T1091" s="36" t="str">
        <f aca="false">IF(A1091="","",MOD(MONTH(A1091)-FYStart,12)+1)</f>
        <v/>
      </c>
      <c r="U1091" s="37" t="str">
        <f aca="false">IF(A1091="","",TEXT(A1091,"mmm"))</f>
        <v/>
      </c>
      <c r="V1091" s="37" t="str">
        <f aca="false">IF(Q1091="","",IFERROR(INDEX(Settings!$I$11:$I$15,MATCH(Q1091,Settings!$H$11:$H$15,0)),"No"))</f>
        <v/>
      </c>
      <c r="W1091" s="37" t="str">
        <f aca="false">IF(Q1091="","",IFERROR(INDEX(Settings!$J$11:$J$15,MATCH(Q1091,Settings!$H$11:$H$15,0)),"No"))</f>
        <v/>
      </c>
    </row>
    <row r="1092" customFormat="false" ht="15" hidden="false" customHeight="false" outlineLevel="0" collapsed="false">
      <c r="A1092" s="30"/>
      <c r="B1092" s="25"/>
      <c r="C1092" s="25"/>
      <c r="D1092" s="25"/>
      <c r="E1092" s="25"/>
      <c r="F1092" s="25"/>
      <c r="G1092" s="25"/>
      <c r="H1092" s="31"/>
      <c r="I1092" s="32"/>
      <c r="J1092" s="33"/>
      <c r="K1092" s="34" t="str">
        <f aca="false">IF(OR(H1092="",I1092=""),"",H1092*I1092*(1-N(J1092)))</f>
        <v/>
      </c>
      <c r="L1092" s="32"/>
      <c r="M1092" s="34" t="str">
        <f aca="false">IF(OR(H1092="",L1092=""),"",H1092*L1092)</f>
        <v/>
      </c>
      <c r="N1092" s="34" t="str">
        <f aca="false">IF(OR(K1092="",M1092=""),"",K1092-M1092)</f>
        <v/>
      </c>
      <c r="O1092" s="35" t="str">
        <f aca="false">IF(OR(N1092="",K1092=""),"",IF(K1092=0,"",N1092/K1092))</f>
        <v/>
      </c>
      <c r="P1092" s="25"/>
      <c r="Q1092" s="25"/>
      <c r="R1092" s="25"/>
      <c r="S1092" s="36" t="str">
        <f aca="false">IF(A1092="","",YEAR(A1092)+IF(AND(FYStart&gt;1,MONTH(A1092)&gt;=FYStart),1,0))</f>
        <v/>
      </c>
      <c r="T1092" s="36" t="str">
        <f aca="false">IF(A1092="","",MOD(MONTH(A1092)-FYStart,12)+1)</f>
        <v/>
      </c>
      <c r="U1092" s="37" t="str">
        <f aca="false">IF(A1092="","",TEXT(A1092,"mmm"))</f>
        <v/>
      </c>
      <c r="V1092" s="37" t="str">
        <f aca="false">IF(Q1092="","",IFERROR(INDEX(Settings!$I$11:$I$15,MATCH(Q1092,Settings!$H$11:$H$15,0)),"No"))</f>
        <v/>
      </c>
      <c r="W1092" s="37" t="str">
        <f aca="false">IF(Q1092="","",IFERROR(INDEX(Settings!$J$11:$J$15,MATCH(Q1092,Settings!$H$11:$H$15,0)),"No"))</f>
        <v/>
      </c>
    </row>
    <row r="1093" customFormat="false" ht="15" hidden="false" customHeight="false" outlineLevel="0" collapsed="false">
      <c r="A1093" s="30"/>
      <c r="B1093" s="25"/>
      <c r="C1093" s="25"/>
      <c r="D1093" s="25"/>
      <c r="E1093" s="25"/>
      <c r="F1093" s="25"/>
      <c r="G1093" s="25"/>
      <c r="H1093" s="31"/>
      <c r="I1093" s="32"/>
      <c r="J1093" s="33"/>
      <c r="K1093" s="34" t="str">
        <f aca="false">IF(OR(H1093="",I1093=""),"",H1093*I1093*(1-N(J1093)))</f>
        <v/>
      </c>
      <c r="L1093" s="32"/>
      <c r="M1093" s="34" t="str">
        <f aca="false">IF(OR(H1093="",L1093=""),"",H1093*L1093)</f>
        <v/>
      </c>
      <c r="N1093" s="34" t="str">
        <f aca="false">IF(OR(K1093="",M1093=""),"",K1093-M1093)</f>
        <v/>
      </c>
      <c r="O1093" s="35" t="str">
        <f aca="false">IF(OR(N1093="",K1093=""),"",IF(K1093=0,"",N1093/K1093))</f>
        <v/>
      </c>
      <c r="P1093" s="25"/>
      <c r="Q1093" s="25"/>
      <c r="R1093" s="25"/>
      <c r="S1093" s="36" t="str">
        <f aca="false">IF(A1093="","",YEAR(A1093)+IF(AND(FYStart&gt;1,MONTH(A1093)&gt;=FYStart),1,0))</f>
        <v/>
      </c>
      <c r="T1093" s="36" t="str">
        <f aca="false">IF(A1093="","",MOD(MONTH(A1093)-FYStart,12)+1)</f>
        <v/>
      </c>
      <c r="U1093" s="37" t="str">
        <f aca="false">IF(A1093="","",TEXT(A1093,"mmm"))</f>
        <v/>
      </c>
      <c r="V1093" s="37" t="str">
        <f aca="false">IF(Q1093="","",IFERROR(INDEX(Settings!$I$11:$I$15,MATCH(Q1093,Settings!$H$11:$H$15,0)),"No"))</f>
        <v/>
      </c>
      <c r="W1093" s="37" t="str">
        <f aca="false">IF(Q1093="","",IFERROR(INDEX(Settings!$J$11:$J$15,MATCH(Q1093,Settings!$H$11:$H$15,0)),"No"))</f>
        <v/>
      </c>
    </row>
    <row r="1094" customFormat="false" ht="15" hidden="false" customHeight="false" outlineLevel="0" collapsed="false">
      <c r="A1094" s="30"/>
      <c r="B1094" s="25"/>
      <c r="C1094" s="25"/>
      <c r="D1094" s="25"/>
      <c r="E1094" s="25"/>
      <c r="F1094" s="25"/>
      <c r="G1094" s="25"/>
      <c r="H1094" s="31"/>
      <c r="I1094" s="32"/>
      <c r="J1094" s="33"/>
      <c r="K1094" s="34" t="str">
        <f aca="false">IF(OR(H1094="",I1094=""),"",H1094*I1094*(1-N(J1094)))</f>
        <v/>
      </c>
      <c r="L1094" s="32"/>
      <c r="M1094" s="34" t="str">
        <f aca="false">IF(OR(H1094="",L1094=""),"",H1094*L1094)</f>
        <v/>
      </c>
      <c r="N1094" s="34" t="str">
        <f aca="false">IF(OR(K1094="",M1094=""),"",K1094-M1094)</f>
        <v/>
      </c>
      <c r="O1094" s="35" t="str">
        <f aca="false">IF(OR(N1094="",K1094=""),"",IF(K1094=0,"",N1094/K1094))</f>
        <v/>
      </c>
      <c r="P1094" s="25"/>
      <c r="Q1094" s="25"/>
      <c r="R1094" s="25"/>
      <c r="S1094" s="36" t="str">
        <f aca="false">IF(A1094="","",YEAR(A1094)+IF(AND(FYStart&gt;1,MONTH(A1094)&gt;=FYStart),1,0))</f>
        <v/>
      </c>
      <c r="T1094" s="36" t="str">
        <f aca="false">IF(A1094="","",MOD(MONTH(A1094)-FYStart,12)+1)</f>
        <v/>
      </c>
      <c r="U1094" s="37" t="str">
        <f aca="false">IF(A1094="","",TEXT(A1094,"mmm"))</f>
        <v/>
      </c>
      <c r="V1094" s="37" t="str">
        <f aca="false">IF(Q1094="","",IFERROR(INDEX(Settings!$I$11:$I$15,MATCH(Q1094,Settings!$H$11:$H$15,0)),"No"))</f>
        <v/>
      </c>
      <c r="W1094" s="37" t="str">
        <f aca="false">IF(Q1094="","",IFERROR(INDEX(Settings!$J$11:$J$15,MATCH(Q1094,Settings!$H$11:$H$15,0)),"No"))</f>
        <v/>
      </c>
    </row>
    <row r="1095" customFormat="false" ht="15" hidden="false" customHeight="false" outlineLevel="0" collapsed="false">
      <c r="A1095" s="30"/>
      <c r="B1095" s="25"/>
      <c r="C1095" s="25"/>
      <c r="D1095" s="25"/>
      <c r="E1095" s="25"/>
      <c r="F1095" s="25"/>
      <c r="G1095" s="25"/>
      <c r="H1095" s="31"/>
      <c r="I1095" s="32"/>
      <c r="J1095" s="33"/>
      <c r="K1095" s="34" t="str">
        <f aca="false">IF(OR(H1095="",I1095=""),"",H1095*I1095*(1-N(J1095)))</f>
        <v/>
      </c>
      <c r="L1095" s="32"/>
      <c r="M1095" s="34" t="str">
        <f aca="false">IF(OR(H1095="",L1095=""),"",H1095*L1095)</f>
        <v/>
      </c>
      <c r="N1095" s="34" t="str">
        <f aca="false">IF(OR(K1095="",M1095=""),"",K1095-M1095)</f>
        <v/>
      </c>
      <c r="O1095" s="35" t="str">
        <f aca="false">IF(OR(N1095="",K1095=""),"",IF(K1095=0,"",N1095/K1095))</f>
        <v/>
      </c>
      <c r="P1095" s="25"/>
      <c r="Q1095" s="25"/>
      <c r="R1095" s="25"/>
      <c r="S1095" s="36" t="str">
        <f aca="false">IF(A1095="","",YEAR(A1095)+IF(AND(FYStart&gt;1,MONTH(A1095)&gt;=FYStart),1,0))</f>
        <v/>
      </c>
      <c r="T1095" s="36" t="str">
        <f aca="false">IF(A1095="","",MOD(MONTH(A1095)-FYStart,12)+1)</f>
        <v/>
      </c>
      <c r="U1095" s="37" t="str">
        <f aca="false">IF(A1095="","",TEXT(A1095,"mmm"))</f>
        <v/>
      </c>
      <c r="V1095" s="37" t="str">
        <f aca="false">IF(Q1095="","",IFERROR(INDEX(Settings!$I$11:$I$15,MATCH(Q1095,Settings!$H$11:$H$15,0)),"No"))</f>
        <v/>
      </c>
      <c r="W1095" s="37" t="str">
        <f aca="false">IF(Q1095="","",IFERROR(INDEX(Settings!$J$11:$J$15,MATCH(Q1095,Settings!$H$11:$H$15,0)),"No"))</f>
        <v/>
      </c>
    </row>
    <row r="1096" customFormat="false" ht="15" hidden="false" customHeight="false" outlineLevel="0" collapsed="false">
      <c r="A1096" s="30"/>
      <c r="B1096" s="25"/>
      <c r="C1096" s="25"/>
      <c r="D1096" s="25"/>
      <c r="E1096" s="25"/>
      <c r="F1096" s="25"/>
      <c r="G1096" s="25"/>
      <c r="H1096" s="31"/>
      <c r="I1096" s="32"/>
      <c r="J1096" s="33"/>
      <c r="K1096" s="34" t="str">
        <f aca="false">IF(OR(H1096="",I1096=""),"",H1096*I1096*(1-N(J1096)))</f>
        <v/>
      </c>
      <c r="L1096" s="32"/>
      <c r="M1096" s="34" t="str">
        <f aca="false">IF(OR(H1096="",L1096=""),"",H1096*L1096)</f>
        <v/>
      </c>
      <c r="N1096" s="34" t="str">
        <f aca="false">IF(OR(K1096="",M1096=""),"",K1096-M1096)</f>
        <v/>
      </c>
      <c r="O1096" s="35" t="str">
        <f aca="false">IF(OR(N1096="",K1096=""),"",IF(K1096=0,"",N1096/K1096))</f>
        <v/>
      </c>
      <c r="P1096" s="25"/>
      <c r="Q1096" s="25"/>
      <c r="R1096" s="25"/>
      <c r="S1096" s="36" t="str">
        <f aca="false">IF(A1096="","",YEAR(A1096)+IF(AND(FYStart&gt;1,MONTH(A1096)&gt;=FYStart),1,0))</f>
        <v/>
      </c>
      <c r="T1096" s="36" t="str">
        <f aca="false">IF(A1096="","",MOD(MONTH(A1096)-FYStart,12)+1)</f>
        <v/>
      </c>
      <c r="U1096" s="37" t="str">
        <f aca="false">IF(A1096="","",TEXT(A1096,"mmm"))</f>
        <v/>
      </c>
      <c r="V1096" s="37" t="str">
        <f aca="false">IF(Q1096="","",IFERROR(INDEX(Settings!$I$11:$I$15,MATCH(Q1096,Settings!$H$11:$H$15,0)),"No"))</f>
        <v/>
      </c>
      <c r="W1096" s="37" t="str">
        <f aca="false">IF(Q1096="","",IFERROR(INDEX(Settings!$J$11:$J$15,MATCH(Q1096,Settings!$H$11:$H$15,0)),"No"))</f>
        <v/>
      </c>
    </row>
    <row r="1097" customFormat="false" ht="15" hidden="false" customHeight="false" outlineLevel="0" collapsed="false">
      <c r="A1097" s="30"/>
      <c r="B1097" s="25"/>
      <c r="C1097" s="25"/>
      <c r="D1097" s="25"/>
      <c r="E1097" s="25"/>
      <c r="F1097" s="25"/>
      <c r="G1097" s="25"/>
      <c r="H1097" s="31"/>
      <c r="I1097" s="32"/>
      <c r="J1097" s="33"/>
      <c r="K1097" s="34" t="str">
        <f aca="false">IF(OR(H1097="",I1097=""),"",H1097*I1097*(1-N(J1097)))</f>
        <v/>
      </c>
      <c r="L1097" s="32"/>
      <c r="M1097" s="34" t="str">
        <f aca="false">IF(OR(H1097="",L1097=""),"",H1097*L1097)</f>
        <v/>
      </c>
      <c r="N1097" s="34" t="str">
        <f aca="false">IF(OR(K1097="",M1097=""),"",K1097-M1097)</f>
        <v/>
      </c>
      <c r="O1097" s="35" t="str">
        <f aca="false">IF(OR(N1097="",K1097=""),"",IF(K1097=0,"",N1097/K1097))</f>
        <v/>
      </c>
      <c r="P1097" s="25"/>
      <c r="Q1097" s="25"/>
      <c r="R1097" s="25"/>
      <c r="S1097" s="36" t="str">
        <f aca="false">IF(A1097="","",YEAR(A1097)+IF(AND(FYStart&gt;1,MONTH(A1097)&gt;=FYStart),1,0))</f>
        <v/>
      </c>
      <c r="T1097" s="36" t="str">
        <f aca="false">IF(A1097="","",MOD(MONTH(A1097)-FYStart,12)+1)</f>
        <v/>
      </c>
      <c r="U1097" s="37" t="str">
        <f aca="false">IF(A1097="","",TEXT(A1097,"mmm"))</f>
        <v/>
      </c>
      <c r="V1097" s="37" t="str">
        <f aca="false">IF(Q1097="","",IFERROR(INDEX(Settings!$I$11:$I$15,MATCH(Q1097,Settings!$H$11:$H$15,0)),"No"))</f>
        <v/>
      </c>
      <c r="W1097" s="37" t="str">
        <f aca="false">IF(Q1097="","",IFERROR(INDEX(Settings!$J$11:$J$15,MATCH(Q1097,Settings!$H$11:$H$15,0)),"No"))</f>
        <v/>
      </c>
    </row>
    <row r="1098" customFormat="false" ht="15" hidden="false" customHeight="false" outlineLevel="0" collapsed="false">
      <c r="A1098" s="30"/>
      <c r="B1098" s="25"/>
      <c r="C1098" s="25"/>
      <c r="D1098" s="25"/>
      <c r="E1098" s="25"/>
      <c r="F1098" s="25"/>
      <c r="G1098" s="25"/>
      <c r="H1098" s="31"/>
      <c r="I1098" s="32"/>
      <c r="J1098" s="33"/>
      <c r="K1098" s="34" t="str">
        <f aca="false">IF(OR(H1098="",I1098=""),"",H1098*I1098*(1-N(J1098)))</f>
        <v/>
      </c>
      <c r="L1098" s="32"/>
      <c r="M1098" s="34" t="str">
        <f aca="false">IF(OR(H1098="",L1098=""),"",H1098*L1098)</f>
        <v/>
      </c>
      <c r="N1098" s="34" t="str">
        <f aca="false">IF(OR(K1098="",M1098=""),"",K1098-M1098)</f>
        <v/>
      </c>
      <c r="O1098" s="35" t="str">
        <f aca="false">IF(OR(N1098="",K1098=""),"",IF(K1098=0,"",N1098/K1098))</f>
        <v/>
      </c>
      <c r="P1098" s="25"/>
      <c r="Q1098" s="25"/>
      <c r="R1098" s="25"/>
      <c r="S1098" s="36" t="str">
        <f aca="false">IF(A1098="","",YEAR(A1098)+IF(AND(FYStart&gt;1,MONTH(A1098)&gt;=FYStart),1,0))</f>
        <v/>
      </c>
      <c r="T1098" s="36" t="str">
        <f aca="false">IF(A1098="","",MOD(MONTH(A1098)-FYStart,12)+1)</f>
        <v/>
      </c>
      <c r="U1098" s="37" t="str">
        <f aca="false">IF(A1098="","",TEXT(A1098,"mmm"))</f>
        <v/>
      </c>
      <c r="V1098" s="37" t="str">
        <f aca="false">IF(Q1098="","",IFERROR(INDEX(Settings!$I$11:$I$15,MATCH(Q1098,Settings!$H$11:$H$15,0)),"No"))</f>
        <v/>
      </c>
      <c r="W1098" s="37" t="str">
        <f aca="false">IF(Q1098="","",IFERROR(INDEX(Settings!$J$11:$J$15,MATCH(Q1098,Settings!$H$11:$H$15,0)),"No"))</f>
        <v/>
      </c>
    </row>
    <row r="1099" customFormat="false" ht="15" hidden="false" customHeight="false" outlineLevel="0" collapsed="false">
      <c r="A1099" s="30"/>
      <c r="B1099" s="25"/>
      <c r="C1099" s="25"/>
      <c r="D1099" s="25"/>
      <c r="E1099" s="25"/>
      <c r="F1099" s="25"/>
      <c r="G1099" s="25"/>
      <c r="H1099" s="31"/>
      <c r="I1099" s="32"/>
      <c r="J1099" s="33"/>
      <c r="K1099" s="34" t="str">
        <f aca="false">IF(OR(H1099="",I1099=""),"",H1099*I1099*(1-N(J1099)))</f>
        <v/>
      </c>
      <c r="L1099" s="32"/>
      <c r="M1099" s="34" t="str">
        <f aca="false">IF(OR(H1099="",L1099=""),"",H1099*L1099)</f>
        <v/>
      </c>
      <c r="N1099" s="34" t="str">
        <f aca="false">IF(OR(K1099="",M1099=""),"",K1099-M1099)</f>
        <v/>
      </c>
      <c r="O1099" s="35" t="str">
        <f aca="false">IF(OR(N1099="",K1099=""),"",IF(K1099=0,"",N1099/K1099))</f>
        <v/>
      </c>
      <c r="P1099" s="25"/>
      <c r="Q1099" s="25"/>
      <c r="R1099" s="25"/>
      <c r="S1099" s="36" t="str">
        <f aca="false">IF(A1099="","",YEAR(A1099)+IF(AND(FYStart&gt;1,MONTH(A1099)&gt;=FYStart),1,0))</f>
        <v/>
      </c>
      <c r="T1099" s="36" t="str">
        <f aca="false">IF(A1099="","",MOD(MONTH(A1099)-FYStart,12)+1)</f>
        <v/>
      </c>
      <c r="U1099" s="37" t="str">
        <f aca="false">IF(A1099="","",TEXT(A1099,"mmm"))</f>
        <v/>
      </c>
      <c r="V1099" s="37" t="str">
        <f aca="false">IF(Q1099="","",IFERROR(INDEX(Settings!$I$11:$I$15,MATCH(Q1099,Settings!$H$11:$H$15,0)),"No"))</f>
        <v/>
      </c>
      <c r="W1099" s="37" t="str">
        <f aca="false">IF(Q1099="","",IFERROR(INDEX(Settings!$J$11:$J$15,MATCH(Q1099,Settings!$H$11:$H$15,0)),"No"))</f>
        <v/>
      </c>
    </row>
    <row r="1100" customFormat="false" ht="15" hidden="false" customHeight="false" outlineLevel="0" collapsed="false">
      <c r="A1100" s="30"/>
      <c r="B1100" s="25"/>
      <c r="C1100" s="25"/>
      <c r="D1100" s="25"/>
      <c r="E1100" s="25"/>
      <c r="F1100" s="25"/>
      <c r="G1100" s="25"/>
      <c r="H1100" s="31"/>
      <c r="I1100" s="32"/>
      <c r="J1100" s="33"/>
      <c r="K1100" s="34" t="str">
        <f aca="false">IF(OR(H1100="",I1100=""),"",H1100*I1100*(1-N(J1100)))</f>
        <v/>
      </c>
      <c r="L1100" s="32"/>
      <c r="M1100" s="34" t="str">
        <f aca="false">IF(OR(H1100="",L1100=""),"",H1100*L1100)</f>
        <v/>
      </c>
      <c r="N1100" s="34" t="str">
        <f aca="false">IF(OR(K1100="",M1100=""),"",K1100-M1100)</f>
        <v/>
      </c>
      <c r="O1100" s="35" t="str">
        <f aca="false">IF(OR(N1100="",K1100=""),"",IF(K1100=0,"",N1100/K1100))</f>
        <v/>
      </c>
      <c r="P1100" s="25"/>
      <c r="Q1100" s="25"/>
      <c r="R1100" s="25"/>
      <c r="S1100" s="36" t="str">
        <f aca="false">IF(A1100="","",YEAR(A1100)+IF(AND(FYStart&gt;1,MONTH(A1100)&gt;=FYStart),1,0))</f>
        <v/>
      </c>
      <c r="T1100" s="36" t="str">
        <f aca="false">IF(A1100="","",MOD(MONTH(A1100)-FYStart,12)+1)</f>
        <v/>
      </c>
      <c r="U1100" s="37" t="str">
        <f aca="false">IF(A1100="","",TEXT(A1100,"mmm"))</f>
        <v/>
      </c>
      <c r="V1100" s="37" t="str">
        <f aca="false">IF(Q1100="","",IFERROR(INDEX(Settings!$I$11:$I$15,MATCH(Q1100,Settings!$H$11:$H$15,0)),"No"))</f>
        <v/>
      </c>
      <c r="W1100" s="37" t="str">
        <f aca="false">IF(Q1100="","",IFERROR(INDEX(Settings!$J$11:$J$15,MATCH(Q1100,Settings!$H$11:$H$15,0)),"No"))</f>
        <v/>
      </c>
    </row>
    <row r="1101" customFormat="false" ht="15" hidden="false" customHeight="false" outlineLevel="0" collapsed="false">
      <c r="A1101" s="30"/>
      <c r="B1101" s="25"/>
      <c r="C1101" s="25"/>
      <c r="D1101" s="25"/>
      <c r="E1101" s="25"/>
      <c r="F1101" s="25"/>
      <c r="G1101" s="25"/>
      <c r="H1101" s="31"/>
      <c r="I1101" s="32"/>
      <c r="J1101" s="33"/>
      <c r="K1101" s="34" t="str">
        <f aca="false">IF(OR(H1101="",I1101=""),"",H1101*I1101*(1-N(J1101)))</f>
        <v/>
      </c>
      <c r="L1101" s="32"/>
      <c r="M1101" s="34" t="str">
        <f aca="false">IF(OR(H1101="",L1101=""),"",H1101*L1101)</f>
        <v/>
      </c>
      <c r="N1101" s="34" t="str">
        <f aca="false">IF(OR(K1101="",M1101=""),"",K1101-M1101)</f>
        <v/>
      </c>
      <c r="O1101" s="35" t="str">
        <f aca="false">IF(OR(N1101="",K1101=""),"",IF(K1101=0,"",N1101/K1101))</f>
        <v/>
      </c>
      <c r="P1101" s="25"/>
      <c r="Q1101" s="25"/>
      <c r="R1101" s="25"/>
      <c r="S1101" s="36" t="str">
        <f aca="false">IF(A1101="","",YEAR(A1101)+IF(AND(FYStart&gt;1,MONTH(A1101)&gt;=FYStart),1,0))</f>
        <v/>
      </c>
      <c r="T1101" s="36" t="str">
        <f aca="false">IF(A1101="","",MOD(MONTH(A1101)-FYStart,12)+1)</f>
        <v/>
      </c>
      <c r="U1101" s="37" t="str">
        <f aca="false">IF(A1101="","",TEXT(A1101,"mmm"))</f>
        <v/>
      </c>
      <c r="V1101" s="37" t="str">
        <f aca="false">IF(Q1101="","",IFERROR(INDEX(Settings!$I$11:$I$15,MATCH(Q1101,Settings!$H$11:$H$15,0)),"No"))</f>
        <v/>
      </c>
      <c r="W1101" s="37" t="str">
        <f aca="false">IF(Q1101="","",IFERROR(INDEX(Settings!$J$11:$J$15,MATCH(Q1101,Settings!$H$11:$H$15,0)),"No"))</f>
        <v/>
      </c>
    </row>
    <row r="1102" customFormat="false" ht="15" hidden="false" customHeight="false" outlineLevel="0" collapsed="false">
      <c r="A1102" s="30"/>
      <c r="B1102" s="25"/>
      <c r="C1102" s="25"/>
      <c r="D1102" s="25"/>
      <c r="E1102" s="25"/>
      <c r="F1102" s="25"/>
      <c r="G1102" s="25"/>
      <c r="H1102" s="31"/>
      <c r="I1102" s="32"/>
      <c r="J1102" s="33"/>
      <c r="K1102" s="34" t="str">
        <f aca="false">IF(OR(H1102="",I1102=""),"",H1102*I1102*(1-N(J1102)))</f>
        <v/>
      </c>
      <c r="L1102" s="32"/>
      <c r="M1102" s="34" t="str">
        <f aca="false">IF(OR(H1102="",L1102=""),"",H1102*L1102)</f>
        <v/>
      </c>
      <c r="N1102" s="34" t="str">
        <f aca="false">IF(OR(K1102="",M1102=""),"",K1102-M1102)</f>
        <v/>
      </c>
      <c r="O1102" s="35" t="str">
        <f aca="false">IF(OR(N1102="",K1102=""),"",IF(K1102=0,"",N1102/K1102))</f>
        <v/>
      </c>
      <c r="P1102" s="25"/>
      <c r="Q1102" s="25"/>
      <c r="R1102" s="25"/>
      <c r="S1102" s="36" t="str">
        <f aca="false">IF(A1102="","",YEAR(A1102)+IF(AND(FYStart&gt;1,MONTH(A1102)&gt;=FYStart),1,0))</f>
        <v/>
      </c>
      <c r="T1102" s="36" t="str">
        <f aca="false">IF(A1102="","",MOD(MONTH(A1102)-FYStart,12)+1)</f>
        <v/>
      </c>
      <c r="U1102" s="37" t="str">
        <f aca="false">IF(A1102="","",TEXT(A1102,"mmm"))</f>
        <v/>
      </c>
      <c r="V1102" s="37" t="str">
        <f aca="false">IF(Q1102="","",IFERROR(INDEX(Settings!$I$11:$I$15,MATCH(Q1102,Settings!$H$11:$H$15,0)),"No"))</f>
        <v/>
      </c>
      <c r="W1102" s="37" t="str">
        <f aca="false">IF(Q1102="","",IFERROR(INDEX(Settings!$J$11:$J$15,MATCH(Q1102,Settings!$H$11:$H$15,0)),"No"))</f>
        <v/>
      </c>
    </row>
    <row r="1103" customFormat="false" ht="15" hidden="false" customHeight="false" outlineLevel="0" collapsed="false">
      <c r="A1103" s="30"/>
      <c r="B1103" s="25"/>
      <c r="C1103" s="25"/>
      <c r="D1103" s="25"/>
      <c r="E1103" s="25"/>
      <c r="F1103" s="25"/>
      <c r="G1103" s="25"/>
      <c r="H1103" s="31"/>
      <c r="I1103" s="32"/>
      <c r="J1103" s="33"/>
      <c r="K1103" s="34" t="str">
        <f aca="false">IF(OR(H1103="",I1103=""),"",H1103*I1103*(1-N(J1103)))</f>
        <v/>
      </c>
      <c r="L1103" s="32"/>
      <c r="M1103" s="34" t="str">
        <f aca="false">IF(OR(H1103="",L1103=""),"",H1103*L1103)</f>
        <v/>
      </c>
      <c r="N1103" s="34" t="str">
        <f aca="false">IF(OR(K1103="",M1103=""),"",K1103-M1103)</f>
        <v/>
      </c>
      <c r="O1103" s="35" t="str">
        <f aca="false">IF(OR(N1103="",K1103=""),"",IF(K1103=0,"",N1103/K1103))</f>
        <v/>
      </c>
      <c r="P1103" s="25"/>
      <c r="Q1103" s="25"/>
      <c r="R1103" s="25"/>
      <c r="S1103" s="36" t="str">
        <f aca="false">IF(A1103="","",YEAR(A1103)+IF(AND(FYStart&gt;1,MONTH(A1103)&gt;=FYStart),1,0))</f>
        <v/>
      </c>
      <c r="T1103" s="36" t="str">
        <f aca="false">IF(A1103="","",MOD(MONTH(A1103)-FYStart,12)+1)</f>
        <v/>
      </c>
      <c r="U1103" s="37" t="str">
        <f aca="false">IF(A1103="","",TEXT(A1103,"mmm"))</f>
        <v/>
      </c>
      <c r="V1103" s="37" t="str">
        <f aca="false">IF(Q1103="","",IFERROR(INDEX(Settings!$I$11:$I$15,MATCH(Q1103,Settings!$H$11:$H$15,0)),"No"))</f>
        <v/>
      </c>
      <c r="W1103" s="37" t="str">
        <f aca="false">IF(Q1103="","",IFERROR(INDEX(Settings!$J$11:$J$15,MATCH(Q1103,Settings!$H$11:$H$15,0)),"No"))</f>
        <v/>
      </c>
    </row>
    <row r="1104" customFormat="false" ht="15" hidden="false" customHeight="false" outlineLevel="0" collapsed="false">
      <c r="A1104" s="30"/>
      <c r="B1104" s="25"/>
      <c r="C1104" s="25"/>
      <c r="D1104" s="25"/>
      <c r="E1104" s="25"/>
      <c r="F1104" s="25"/>
      <c r="G1104" s="25"/>
      <c r="H1104" s="31"/>
      <c r="I1104" s="32"/>
      <c r="J1104" s="33"/>
      <c r="K1104" s="34" t="str">
        <f aca="false">IF(OR(H1104="",I1104=""),"",H1104*I1104*(1-N(J1104)))</f>
        <v/>
      </c>
      <c r="L1104" s="32"/>
      <c r="M1104" s="34" t="str">
        <f aca="false">IF(OR(H1104="",L1104=""),"",H1104*L1104)</f>
        <v/>
      </c>
      <c r="N1104" s="34" t="str">
        <f aca="false">IF(OR(K1104="",M1104=""),"",K1104-M1104)</f>
        <v/>
      </c>
      <c r="O1104" s="35" t="str">
        <f aca="false">IF(OR(N1104="",K1104=""),"",IF(K1104=0,"",N1104/K1104))</f>
        <v/>
      </c>
      <c r="P1104" s="25"/>
      <c r="Q1104" s="25"/>
      <c r="R1104" s="25"/>
      <c r="S1104" s="36" t="str">
        <f aca="false">IF(A1104="","",YEAR(A1104)+IF(AND(FYStart&gt;1,MONTH(A1104)&gt;=FYStart),1,0))</f>
        <v/>
      </c>
      <c r="T1104" s="36" t="str">
        <f aca="false">IF(A1104="","",MOD(MONTH(A1104)-FYStart,12)+1)</f>
        <v/>
      </c>
      <c r="U1104" s="37" t="str">
        <f aca="false">IF(A1104="","",TEXT(A1104,"mmm"))</f>
        <v/>
      </c>
      <c r="V1104" s="37" t="str">
        <f aca="false">IF(Q1104="","",IFERROR(INDEX(Settings!$I$11:$I$15,MATCH(Q1104,Settings!$H$11:$H$15,0)),"No"))</f>
        <v/>
      </c>
      <c r="W1104" s="37" t="str">
        <f aca="false">IF(Q1104="","",IFERROR(INDEX(Settings!$J$11:$J$15,MATCH(Q1104,Settings!$H$11:$H$15,0)),"No"))</f>
        <v/>
      </c>
    </row>
    <row r="1105" customFormat="false" ht="15" hidden="false" customHeight="false" outlineLevel="0" collapsed="false">
      <c r="A1105" s="30"/>
      <c r="B1105" s="25"/>
      <c r="C1105" s="25"/>
      <c r="D1105" s="25"/>
      <c r="E1105" s="25"/>
      <c r="F1105" s="25"/>
      <c r="G1105" s="25"/>
      <c r="H1105" s="31"/>
      <c r="I1105" s="32"/>
      <c r="J1105" s="33"/>
      <c r="K1105" s="34" t="str">
        <f aca="false">IF(OR(H1105="",I1105=""),"",H1105*I1105*(1-N(J1105)))</f>
        <v/>
      </c>
      <c r="L1105" s="32"/>
      <c r="M1105" s="34" t="str">
        <f aca="false">IF(OR(H1105="",L1105=""),"",H1105*L1105)</f>
        <v/>
      </c>
      <c r="N1105" s="34" t="str">
        <f aca="false">IF(OR(K1105="",M1105=""),"",K1105-M1105)</f>
        <v/>
      </c>
      <c r="O1105" s="35" t="str">
        <f aca="false">IF(OR(N1105="",K1105=""),"",IF(K1105=0,"",N1105/K1105))</f>
        <v/>
      </c>
      <c r="P1105" s="25"/>
      <c r="Q1105" s="25"/>
      <c r="R1105" s="25"/>
      <c r="S1105" s="36" t="str">
        <f aca="false">IF(A1105="","",YEAR(A1105)+IF(AND(FYStart&gt;1,MONTH(A1105)&gt;=FYStart),1,0))</f>
        <v/>
      </c>
      <c r="T1105" s="36" t="str">
        <f aca="false">IF(A1105="","",MOD(MONTH(A1105)-FYStart,12)+1)</f>
        <v/>
      </c>
      <c r="U1105" s="37" t="str">
        <f aca="false">IF(A1105="","",TEXT(A1105,"mmm"))</f>
        <v/>
      </c>
      <c r="V1105" s="37" t="str">
        <f aca="false">IF(Q1105="","",IFERROR(INDEX(Settings!$I$11:$I$15,MATCH(Q1105,Settings!$H$11:$H$15,0)),"No"))</f>
        <v/>
      </c>
      <c r="W1105" s="37" t="str">
        <f aca="false">IF(Q1105="","",IFERROR(INDEX(Settings!$J$11:$J$15,MATCH(Q1105,Settings!$H$11:$H$15,0)),"No"))</f>
        <v/>
      </c>
    </row>
    <row r="1106" customFormat="false" ht="15" hidden="false" customHeight="false" outlineLevel="0" collapsed="false">
      <c r="A1106" s="30"/>
      <c r="B1106" s="25"/>
      <c r="C1106" s="25"/>
      <c r="D1106" s="25"/>
      <c r="E1106" s="25"/>
      <c r="F1106" s="25"/>
      <c r="G1106" s="25"/>
      <c r="H1106" s="31"/>
      <c r="I1106" s="32"/>
      <c r="J1106" s="33"/>
      <c r="K1106" s="34" t="str">
        <f aca="false">IF(OR(H1106="",I1106=""),"",H1106*I1106*(1-N(J1106)))</f>
        <v/>
      </c>
      <c r="L1106" s="32"/>
      <c r="M1106" s="34" t="str">
        <f aca="false">IF(OR(H1106="",L1106=""),"",H1106*L1106)</f>
        <v/>
      </c>
      <c r="N1106" s="34" t="str">
        <f aca="false">IF(OR(K1106="",M1106=""),"",K1106-M1106)</f>
        <v/>
      </c>
      <c r="O1106" s="35" t="str">
        <f aca="false">IF(OR(N1106="",K1106=""),"",IF(K1106=0,"",N1106/K1106))</f>
        <v/>
      </c>
      <c r="P1106" s="25"/>
      <c r="Q1106" s="25"/>
      <c r="R1106" s="25"/>
      <c r="S1106" s="36" t="str">
        <f aca="false">IF(A1106="","",YEAR(A1106)+IF(AND(FYStart&gt;1,MONTH(A1106)&gt;=FYStart),1,0))</f>
        <v/>
      </c>
      <c r="T1106" s="36" t="str">
        <f aca="false">IF(A1106="","",MOD(MONTH(A1106)-FYStart,12)+1)</f>
        <v/>
      </c>
      <c r="U1106" s="37" t="str">
        <f aca="false">IF(A1106="","",TEXT(A1106,"mmm"))</f>
        <v/>
      </c>
      <c r="V1106" s="37" t="str">
        <f aca="false">IF(Q1106="","",IFERROR(INDEX(Settings!$I$11:$I$15,MATCH(Q1106,Settings!$H$11:$H$15,0)),"No"))</f>
        <v/>
      </c>
      <c r="W1106" s="37" t="str">
        <f aca="false">IF(Q1106="","",IFERROR(INDEX(Settings!$J$11:$J$15,MATCH(Q1106,Settings!$H$11:$H$15,0)),"No"))</f>
        <v/>
      </c>
    </row>
    <row r="1107" customFormat="false" ht="15" hidden="false" customHeight="false" outlineLevel="0" collapsed="false">
      <c r="A1107" s="30"/>
      <c r="B1107" s="25"/>
      <c r="C1107" s="25"/>
      <c r="D1107" s="25"/>
      <c r="E1107" s="25"/>
      <c r="F1107" s="25"/>
      <c r="G1107" s="25"/>
      <c r="H1107" s="31"/>
      <c r="I1107" s="32"/>
      <c r="J1107" s="33"/>
      <c r="K1107" s="34" t="str">
        <f aca="false">IF(OR(H1107="",I1107=""),"",H1107*I1107*(1-N(J1107)))</f>
        <v/>
      </c>
      <c r="L1107" s="32"/>
      <c r="M1107" s="34" t="str">
        <f aca="false">IF(OR(H1107="",L1107=""),"",H1107*L1107)</f>
        <v/>
      </c>
      <c r="N1107" s="34" t="str">
        <f aca="false">IF(OR(K1107="",M1107=""),"",K1107-M1107)</f>
        <v/>
      </c>
      <c r="O1107" s="35" t="str">
        <f aca="false">IF(OR(N1107="",K1107=""),"",IF(K1107=0,"",N1107/K1107))</f>
        <v/>
      </c>
      <c r="P1107" s="25"/>
      <c r="Q1107" s="25"/>
      <c r="R1107" s="25"/>
      <c r="S1107" s="36" t="str">
        <f aca="false">IF(A1107="","",YEAR(A1107)+IF(AND(FYStart&gt;1,MONTH(A1107)&gt;=FYStart),1,0))</f>
        <v/>
      </c>
      <c r="T1107" s="36" t="str">
        <f aca="false">IF(A1107="","",MOD(MONTH(A1107)-FYStart,12)+1)</f>
        <v/>
      </c>
      <c r="U1107" s="37" t="str">
        <f aca="false">IF(A1107="","",TEXT(A1107,"mmm"))</f>
        <v/>
      </c>
      <c r="V1107" s="37" t="str">
        <f aca="false">IF(Q1107="","",IFERROR(INDEX(Settings!$I$11:$I$15,MATCH(Q1107,Settings!$H$11:$H$15,0)),"No"))</f>
        <v/>
      </c>
      <c r="W1107" s="37" t="str">
        <f aca="false">IF(Q1107="","",IFERROR(INDEX(Settings!$J$11:$J$15,MATCH(Q1107,Settings!$H$11:$H$15,0)),"No"))</f>
        <v/>
      </c>
    </row>
    <row r="1108" customFormat="false" ht="15" hidden="false" customHeight="false" outlineLevel="0" collapsed="false">
      <c r="A1108" s="30"/>
      <c r="B1108" s="25"/>
      <c r="C1108" s="25"/>
      <c r="D1108" s="25"/>
      <c r="E1108" s="25"/>
      <c r="F1108" s="25"/>
      <c r="G1108" s="25"/>
      <c r="H1108" s="31"/>
      <c r="I1108" s="32"/>
      <c r="J1108" s="33"/>
      <c r="K1108" s="34" t="str">
        <f aca="false">IF(OR(H1108="",I1108=""),"",H1108*I1108*(1-N(J1108)))</f>
        <v/>
      </c>
      <c r="L1108" s="32"/>
      <c r="M1108" s="34" t="str">
        <f aca="false">IF(OR(H1108="",L1108=""),"",H1108*L1108)</f>
        <v/>
      </c>
      <c r="N1108" s="34" t="str">
        <f aca="false">IF(OR(K1108="",M1108=""),"",K1108-M1108)</f>
        <v/>
      </c>
      <c r="O1108" s="35" t="str">
        <f aca="false">IF(OR(N1108="",K1108=""),"",IF(K1108=0,"",N1108/K1108))</f>
        <v/>
      </c>
      <c r="P1108" s="25"/>
      <c r="Q1108" s="25"/>
      <c r="R1108" s="25"/>
      <c r="S1108" s="36" t="str">
        <f aca="false">IF(A1108="","",YEAR(A1108)+IF(AND(FYStart&gt;1,MONTH(A1108)&gt;=FYStart),1,0))</f>
        <v/>
      </c>
      <c r="T1108" s="36" t="str">
        <f aca="false">IF(A1108="","",MOD(MONTH(A1108)-FYStart,12)+1)</f>
        <v/>
      </c>
      <c r="U1108" s="37" t="str">
        <f aca="false">IF(A1108="","",TEXT(A1108,"mmm"))</f>
        <v/>
      </c>
      <c r="V1108" s="37" t="str">
        <f aca="false">IF(Q1108="","",IFERROR(INDEX(Settings!$I$11:$I$15,MATCH(Q1108,Settings!$H$11:$H$15,0)),"No"))</f>
        <v/>
      </c>
      <c r="W1108" s="37" t="str">
        <f aca="false">IF(Q1108="","",IFERROR(INDEX(Settings!$J$11:$J$15,MATCH(Q1108,Settings!$H$11:$H$15,0)),"No"))</f>
        <v/>
      </c>
    </row>
    <row r="1109" customFormat="false" ht="15" hidden="false" customHeight="false" outlineLevel="0" collapsed="false">
      <c r="A1109" s="30"/>
      <c r="B1109" s="25"/>
      <c r="C1109" s="25"/>
      <c r="D1109" s="25"/>
      <c r="E1109" s="25"/>
      <c r="F1109" s="25"/>
      <c r="G1109" s="25"/>
      <c r="H1109" s="31"/>
      <c r="I1109" s="32"/>
      <c r="J1109" s="33"/>
      <c r="K1109" s="34" t="str">
        <f aca="false">IF(OR(H1109="",I1109=""),"",H1109*I1109*(1-N(J1109)))</f>
        <v/>
      </c>
      <c r="L1109" s="32"/>
      <c r="M1109" s="34" t="str">
        <f aca="false">IF(OR(H1109="",L1109=""),"",H1109*L1109)</f>
        <v/>
      </c>
      <c r="N1109" s="34" t="str">
        <f aca="false">IF(OR(K1109="",M1109=""),"",K1109-M1109)</f>
        <v/>
      </c>
      <c r="O1109" s="35" t="str">
        <f aca="false">IF(OR(N1109="",K1109=""),"",IF(K1109=0,"",N1109/K1109))</f>
        <v/>
      </c>
      <c r="P1109" s="25"/>
      <c r="Q1109" s="25"/>
      <c r="R1109" s="25"/>
      <c r="S1109" s="36" t="str">
        <f aca="false">IF(A1109="","",YEAR(A1109)+IF(AND(FYStart&gt;1,MONTH(A1109)&gt;=FYStart),1,0))</f>
        <v/>
      </c>
      <c r="T1109" s="36" t="str">
        <f aca="false">IF(A1109="","",MOD(MONTH(A1109)-FYStart,12)+1)</f>
        <v/>
      </c>
      <c r="U1109" s="37" t="str">
        <f aca="false">IF(A1109="","",TEXT(A1109,"mmm"))</f>
        <v/>
      </c>
      <c r="V1109" s="37" t="str">
        <f aca="false">IF(Q1109="","",IFERROR(INDEX(Settings!$I$11:$I$15,MATCH(Q1109,Settings!$H$11:$H$15,0)),"No"))</f>
        <v/>
      </c>
      <c r="W1109" s="37" t="str">
        <f aca="false">IF(Q1109="","",IFERROR(INDEX(Settings!$J$11:$J$15,MATCH(Q1109,Settings!$H$11:$H$15,0)),"No"))</f>
        <v/>
      </c>
    </row>
    <row r="1110" customFormat="false" ht="15" hidden="false" customHeight="false" outlineLevel="0" collapsed="false">
      <c r="A1110" s="30"/>
      <c r="B1110" s="25"/>
      <c r="C1110" s="25"/>
      <c r="D1110" s="25"/>
      <c r="E1110" s="25"/>
      <c r="F1110" s="25"/>
      <c r="G1110" s="25"/>
      <c r="H1110" s="31"/>
      <c r="I1110" s="32"/>
      <c r="J1110" s="33"/>
      <c r="K1110" s="34" t="str">
        <f aca="false">IF(OR(H1110="",I1110=""),"",H1110*I1110*(1-N(J1110)))</f>
        <v/>
      </c>
      <c r="L1110" s="32"/>
      <c r="M1110" s="34" t="str">
        <f aca="false">IF(OR(H1110="",L1110=""),"",H1110*L1110)</f>
        <v/>
      </c>
      <c r="N1110" s="34" t="str">
        <f aca="false">IF(OR(K1110="",M1110=""),"",K1110-M1110)</f>
        <v/>
      </c>
      <c r="O1110" s="35" t="str">
        <f aca="false">IF(OR(N1110="",K1110=""),"",IF(K1110=0,"",N1110/K1110))</f>
        <v/>
      </c>
      <c r="P1110" s="25"/>
      <c r="Q1110" s="25"/>
      <c r="R1110" s="25"/>
      <c r="S1110" s="36" t="str">
        <f aca="false">IF(A1110="","",YEAR(A1110)+IF(AND(FYStart&gt;1,MONTH(A1110)&gt;=FYStart),1,0))</f>
        <v/>
      </c>
      <c r="T1110" s="36" t="str">
        <f aca="false">IF(A1110="","",MOD(MONTH(A1110)-FYStart,12)+1)</f>
        <v/>
      </c>
      <c r="U1110" s="37" t="str">
        <f aca="false">IF(A1110="","",TEXT(A1110,"mmm"))</f>
        <v/>
      </c>
      <c r="V1110" s="37" t="str">
        <f aca="false">IF(Q1110="","",IFERROR(INDEX(Settings!$I$11:$I$15,MATCH(Q1110,Settings!$H$11:$H$15,0)),"No"))</f>
        <v/>
      </c>
      <c r="W1110" s="37" t="str">
        <f aca="false">IF(Q1110="","",IFERROR(INDEX(Settings!$J$11:$J$15,MATCH(Q1110,Settings!$H$11:$H$15,0)),"No"))</f>
        <v/>
      </c>
    </row>
    <row r="1111" customFormat="false" ht="15" hidden="false" customHeight="false" outlineLevel="0" collapsed="false">
      <c r="A1111" s="30"/>
      <c r="B1111" s="25"/>
      <c r="C1111" s="25"/>
      <c r="D1111" s="25"/>
      <c r="E1111" s="25"/>
      <c r="F1111" s="25"/>
      <c r="G1111" s="25"/>
      <c r="H1111" s="31"/>
      <c r="I1111" s="32"/>
      <c r="J1111" s="33"/>
      <c r="K1111" s="34" t="str">
        <f aca="false">IF(OR(H1111="",I1111=""),"",H1111*I1111*(1-N(J1111)))</f>
        <v/>
      </c>
      <c r="L1111" s="32"/>
      <c r="M1111" s="34" t="str">
        <f aca="false">IF(OR(H1111="",L1111=""),"",H1111*L1111)</f>
        <v/>
      </c>
      <c r="N1111" s="34" t="str">
        <f aca="false">IF(OR(K1111="",M1111=""),"",K1111-M1111)</f>
        <v/>
      </c>
      <c r="O1111" s="35" t="str">
        <f aca="false">IF(OR(N1111="",K1111=""),"",IF(K1111=0,"",N1111/K1111))</f>
        <v/>
      </c>
      <c r="P1111" s="25"/>
      <c r="Q1111" s="25"/>
      <c r="R1111" s="25"/>
      <c r="S1111" s="36" t="str">
        <f aca="false">IF(A1111="","",YEAR(A1111)+IF(AND(FYStart&gt;1,MONTH(A1111)&gt;=FYStart),1,0))</f>
        <v/>
      </c>
      <c r="T1111" s="36" t="str">
        <f aca="false">IF(A1111="","",MOD(MONTH(A1111)-FYStart,12)+1)</f>
        <v/>
      </c>
      <c r="U1111" s="37" t="str">
        <f aca="false">IF(A1111="","",TEXT(A1111,"mmm"))</f>
        <v/>
      </c>
      <c r="V1111" s="37" t="str">
        <f aca="false">IF(Q1111="","",IFERROR(INDEX(Settings!$I$11:$I$15,MATCH(Q1111,Settings!$H$11:$H$15,0)),"No"))</f>
        <v/>
      </c>
      <c r="W1111" s="37" t="str">
        <f aca="false">IF(Q1111="","",IFERROR(INDEX(Settings!$J$11:$J$15,MATCH(Q1111,Settings!$H$11:$H$15,0)),"No"))</f>
        <v/>
      </c>
    </row>
    <row r="1112" customFormat="false" ht="15" hidden="false" customHeight="false" outlineLevel="0" collapsed="false">
      <c r="A1112" s="30"/>
      <c r="B1112" s="25"/>
      <c r="C1112" s="25"/>
      <c r="D1112" s="25"/>
      <c r="E1112" s="25"/>
      <c r="F1112" s="25"/>
      <c r="G1112" s="25"/>
      <c r="H1112" s="31"/>
      <c r="I1112" s="32"/>
      <c r="J1112" s="33"/>
      <c r="K1112" s="34" t="str">
        <f aca="false">IF(OR(H1112="",I1112=""),"",H1112*I1112*(1-N(J1112)))</f>
        <v/>
      </c>
      <c r="L1112" s="32"/>
      <c r="M1112" s="34" t="str">
        <f aca="false">IF(OR(H1112="",L1112=""),"",H1112*L1112)</f>
        <v/>
      </c>
      <c r="N1112" s="34" t="str">
        <f aca="false">IF(OR(K1112="",M1112=""),"",K1112-M1112)</f>
        <v/>
      </c>
      <c r="O1112" s="35" t="str">
        <f aca="false">IF(OR(N1112="",K1112=""),"",IF(K1112=0,"",N1112/K1112))</f>
        <v/>
      </c>
      <c r="P1112" s="25"/>
      <c r="Q1112" s="25"/>
      <c r="R1112" s="25"/>
      <c r="S1112" s="36" t="str">
        <f aca="false">IF(A1112="","",YEAR(A1112)+IF(AND(FYStart&gt;1,MONTH(A1112)&gt;=FYStart),1,0))</f>
        <v/>
      </c>
      <c r="T1112" s="36" t="str">
        <f aca="false">IF(A1112="","",MOD(MONTH(A1112)-FYStart,12)+1)</f>
        <v/>
      </c>
      <c r="U1112" s="37" t="str">
        <f aca="false">IF(A1112="","",TEXT(A1112,"mmm"))</f>
        <v/>
      </c>
      <c r="V1112" s="37" t="str">
        <f aca="false">IF(Q1112="","",IFERROR(INDEX(Settings!$I$11:$I$15,MATCH(Q1112,Settings!$H$11:$H$15,0)),"No"))</f>
        <v/>
      </c>
      <c r="W1112" s="37" t="str">
        <f aca="false">IF(Q1112="","",IFERROR(INDEX(Settings!$J$11:$J$15,MATCH(Q1112,Settings!$H$11:$H$15,0)),"No"))</f>
        <v/>
      </c>
    </row>
    <row r="1113" customFormat="false" ht="15" hidden="false" customHeight="false" outlineLevel="0" collapsed="false">
      <c r="A1113" s="30"/>
      <c r="B1113" s="25"/>
      <c r="C1113" s="25"/>
      <c r="D1113" s="25"/>
      <c r="E1113" s="25"/>
      <c r="F1113" s="25"/>
      <c r="G1113" s="25"/>
      <c r="H1113" s="31"/>
      <c r="I1113" s="32"/>
      <c r="J1113" s="33"/>
      <c r="K1113" s="34" t="str">
        <f aca="false">IF(OR(H1113="",I1113=""),"",H1113*I1113*(1-N(J1113)))</f>
        <v/>
      </c>
      <c r="L1113" s="32"/>
      <c r="M1113" s="34" t="str">
        <f aca="false">IF(OR(H1113="",L1113=""),"",H1113*L1113)</f>
        <v/>
      </c>
      <c r="N1113" s="34" t="str">
        <f aca="false">IF(OR(K1113="",M1113=""),"",K1113-M1113)</f>
        <v/>
      </c>
      <c r="O1113" s="35" t="str">
        <f aca="false">IF(OR(N1113="",K1113=""),"",IF(K1113=0,"",N1113/K1113))</f>
        <v/>
      </c>
      <c r="P1113" s="25"/>
      <c r="Q1113" s="25"/>
      <c r="R1113" s="25"/>
      <c r="S1113" s="36" t="str">
        <f aca="false">IF(A1113="","",YEAR(A1113)+IF(AND(FYStart&gt;1,MONTH(A1113)&gt;=FYStart),1,0))</f>
        <v/>
      </c>
      <c r="T1113" s="36" t="str">
        <f aca="false">IF(A1113="","",MOD(MONTH(A1113)-FYStart,12)+1)</f>
        <v/>
      </c>
      <c r="U1113" s="37" t="str">
        <f aca="false">IF(A1113="","",TEXT(A1113,"mmm"))</f>
        <v/>
      </c>
      <c r="V1113" s="37" t="str">
        <f aca="false">IF(Q1113="","",IFERROR(INDEX(Settings!$I$11:$I$15,MATCH(Q1113,Settings!$H$11:$H$15,0)),"No"))</f>
        <v/>
      </c>
      <c r="W1113" s="37" t="str">
        <f aca="false">IF(Q1113="","",IFERROR(INDEX(Settings!$J$11:$J$15,MATCH(Q1113,Settings!$H$11:$H$15,0)),"No"))</f>
        <v/>
      </c>
    </row>
    <row r="1114" customFormat="false" ht="15" hidden="false" customHeight="false" outlineLevel="0" collapsed="false">
      <c r="A1114" s="30"/>
      <c r="B1114" s="25"/>
      <c r="C1114" s="25"/>
      <c r="D1114" s="25"/>
      <c r="E1114" s="25"/>
      <c r="F1114" s="25"/>
      <c r="G1114" s="25"/>
      <c r="H1114" s="31"/>
      <c r="I1114" s="32"/>
      <c r="J1114" s="33"/>
      <c r="K1114" s="34" t="str">
        <f aca="false">IF(OR(H1114="",I1114=""),"",H1114*I1114*(1-N(J1114)))</f>
        <v/>
      </c>
      <c r="L1114" s="32"/>
      <c r="M1114" s="34" t="str">
        <f aca="false">IF(OR(H1114="",L1114=""),"",H1114*L1114)</f>
        <v/>
      </c>
      <c r="N1114" s="34" t="str">
        <f aca="false">IF(OR(K1114="",M1114=""),"",K1114-M1114)</f>
        <v/>
      </c>
      <c r="O1114" s="35" t="str">
        <f aca="false">IF(OR(N1114="",K1114=""),"",IF(K1114=0,"",N1114/K1114))</f>
        <v/>
      </c>
      <c r="P1114" s="25"/>
      <c r="Q1114" s="25"/>
      <c r="R1114" s="25"/>
      <c r="S1114" s="36" t="str">
        <f aca="false">IF(A1114="","",YEAR(A1114)+IF(AND(FYStart&gt;1,MONTH(A1114)&gt;=FYStart),1,0))</f>
        <v/>
      </c>
      <c r="T1114" s="36" t="str">
        <f aca="false">IF(A1114="","",MOD(MONTH(A1114)-FYStart,12)+1)</f>
        <v/>
      </c>
      <c r="U1114" s="37" t="str">
        <f aca="false">IF(A1114="","",TEXT(A1114,"mmm"))</f>
        <v/>
      </c>
      <c r="V1114" s="37" t="str">
        <f aca="false">IF(Q1114="","",IFERROR(INDEX(Settings!$I$11:$I$15,MATCH(Q1114,Settings!$H$11:$H$15,0)),"No"))</f>
        <v/>
      </c>
      <c r="W1114" s="37" t="str">
        <f aca="false">IF(Q1114="","",IFERROR(INDEX(Settings!$J$11:$J$15,MATCH(Q1114,Settings!$H$11:$H$15,0)),"No"))</f>
        <v/>
      </c>
    </row>
    <row r="1115" customFormat="false" ht="15" hidden="false" customHeight="false" outlineLevel="0" collapsed="false">
      <c r="A1115" s="30"/>
      <c r="B1115" s="25"/>
      <c r="C1115" s="25"/>
      <c r="D1115" s="25"/>
      <c r="E1115" s="25"/>
      <c r="F1115" s="25"/>
      <c r="G1115" s="25"/>
      <c r="H1115" s="31"/>
      <c r="I1115" s="32"/>
      <c r="J1115" s="33"/>
      <c r="K1115" s="34" t="str">
        <f aca="false">IF(OR(H1115="",I1115=""),"",H1115*I1115*(1-N(J1115)))</f>
        <v/>
      </c>
      <c r="L1115" s="32"/>
      <c r="M1115" s="34" t="str">
        <f aca="false">IF(OR(H1115="",L1115=""),"",H1115*L1115)</f>
        <v/>
      </c>
      <c r="N1115" s="34" t="str">
        <f aca="false">IF(OR(K1115="",M1115=""),"",K1115-M1115)</f>
        <v/>
      </c>
      <c r="O1115" s="35" t="str">
        <f aca="false">IF(OR(N1115="",K1115=""),"",IF(K1115=0,"",N1115/K1115))</f>
        <v/>
      </c>
      <c r="P1115" s="25"/>
      <c r="Q1115" s="25"/>
      <c r="R1115" s="25"/>
      <c r="S1115" s="36" t="str">
        <f aca="false">IF(A1115="","",YEAR(A1115)+IF(AND(FYStart&gt;1,MONTH(A1115)&gt;=FYStart),1,0))</f>
        <v/>
      </c>
      <c r="T1115" s="36" t="str">
        <f aca="false">IF(A1115="","",MOD(MONTH(A1115)-FYStart,12)+1)</f>
        <v/>
      </c>
      <c r="U1115" s="37" t="str">
        <f aca="false">IF(A1115="","",TEXT(A1115,"mmm"))</f>
        <v/>
      </c>
      <c r="V1115" s="37" t="str">
        <f aca="false">IF(Q1115="","",IFERROR(INDEX(Settings!$I$11:$I$15,MATCH(Q1115,Settings!$H$11:$H$15,0)),"No"))</f>
        <v/>
      </c>
      <c r="W1115" s="37" t="str">
        <f aca="false">IF(Q1115="","",IFERROR(INDEX(Settings!$J$11:$J$15,MATCH(Q1115,Settings!$H$11:$H$15,0)),"No"))</f>
        <v/>
      </c>
    </row>
    <row r="1116" customFormat="false" ht="15" hidden="false" customHeight="false" outlineLevel="0" collapsed="false">
      <c r="A1116" s="30"/>
      <c r="B1116" s="25"/>
      <c r="C1116" s="25"/>
      <c r="D1116" s="25"/>
      <c r="E1116" s="25"/>
      <c r="F1116" s="25"/>
      <c r="G1116" s="25"/>
      <c r="H1116" s="31"/>
      <c r="I1116" s="32"/>
      <c r="J1116" s="33"/>
      <c r="K1116" s="34" t="str">
        <f aca="false">IF(OR(H1116="",I1116=""),"",H1116*I1116*(1-N(J1116)))</f>
        <v/>
      </c>
      <c r="L1116" s="32"/>
      <c r="M1116" s="34" t="str">
        <f aca="false">IF(OR(H1116="",L1116=""),"",H1116*L1116)</f>
        <v/>
      </c>
      <c r="N1116" s="34" t="str">
        <f aca="false">IF(OR(K1116="",M1116=""),"",K1116-M1116)</f>
        <v/>
      </c>
      <c r="O1116" s="35" t="str">
        <f aca="false">IF(OR(N1116="",K1116=""),"",IF(K1116=0,"",N1116/K1116))</f>
        <v/>
      </c>
      <c r="P1116" s="25"/>
      <c r="Q1116" s="25"/>
      <c r="R1116" s="25"/>
      <c r="S1116" s="36" t="str">
        <f aca="false">IF(A1116="","",YEAR(A1116)+IF(AND(FYStart&gt;1,MONTH(A1116)&gt;=FYStart),1,0))</f>
        <v/>
      </c>
      <c r="T1116" s="36" t="str">
        <f aca="false">IF(A1116="","",MOD(MONTH(A1116)-FYStart,12)+1)</f>
        <v/>
      </c>
      <c r="U1116" s="37" t="str">
        <f aca="false">IF(A1116="","",TEXT(A1116,"mmm"))</f>
        <v/>
      </c>
      <c r="V1116" s="37" t="str">
        <f aca="false">IF(Q1116="","",IFERROR(INDEX(Settings!$I$11:$I$15,MATCH(Q1116,Settings!$H$11:$H$15,0)),"No"))</f>
        <v/>
      </c>
      <c r="W1116" s="37" t="str">
        <f aca="false">IF(Q1116="","",IFERROR(INDEX(Settings!$J$11:$J$15,MATCH(Q1116,Settings!$H$11:$H$15,0)),"No"))</f>
        <v/>
      </c>
    </row>
    <row r="1117" customFormat="false" ht="15" hidden="false" customHeight="false" outlineLevel="0" collapsed="false">
      <c r="A1117" s="30"/>
      <c r="B1117" s="25"/>
      <c r="C1117" s="25"/>
      <c r="D1117" s="25"/>
      <c r="E1117" s="25"/>
      <c r="F1117" s="25"/>
      <c r="G1117" s="25"/>
      <c r="H1117" s="31"/>
      <c r="I1117" s="32"/>
      <c r="J1117" s="33"/>
      <c r="K1117" s="34" t="str">
        <f aca="false">IF(OR(H1117="",I1117=""),"",H1117*I1117*(1-N(J1117)))</f>
        <v/>
      </c>
      <c r="L1117" s="32"/>
      <c r="M1117" s="34" t="str">
        <f aca="false">IF(OR(H1117="",L1117=""),"",H1117*L1117)</f>
        <v/>
      </c>
      <c r="N1117" s="34" t="str">
        <f aca="false">IF(OR(K1117="",M1117=""),"",K1117-M1117)</f>
        <v/>
      </c>
      <c r="O1117" s="35" t="str">
        <f aca="false">IF(OR(N1117="",K1117=""),"",IF(K1117=0,"",N1117/K1117))</f>
        <v/>
      </c>
      <c r="P1117" s="25"/>
      <c r="Q1117" s="25"/>
      <c r="R1117" s="25"/>
      <c r="S1117" s="36" t="str">
        <f aca="false">IF(A1117="","",YEAR(A1117)+IF(AND(FYStart&gt;1,MONTH(A1117)&gt;=FYStart),1,0))</f>
        <v/>
      </c>
      <c r="T1117" s="36" t="str">
        <f aca="false">IF(A1117="","",MOD(MONTH(A1117)-FYStart,12)+1)</f>
        <v/>
      </c>
      <c r="U1117" s="37" t="str">
        <f aca="false">IF(A1117="","",TEXT(A1117,"mmm"))</f>
        <v/>
      </c>
      <c r="V1117" s="37" t="str">
        <f aca="false">IF(Q1117="","",IFERROR(INDEX(Settings!$I$11:$I$15,MATCH(Q1117,Settings!$H$11:$H$15,0)),"No"))</f>
        <v/>
      </c>
      <c r="W1117" s="37" t="str">
        <f aca="false">IF(Q1117="","",IFERROR(INDEX(Settings!$J$11:$J$15,MATCH(Q1117,Settings!$H$11:$H$15,0)),"No"))</f>
        <v/>
      </c>
    </row>
    <row r="1118" customFormat="false" ht="15" hidden="false" customHeight="false" outlineLevel="0" collapsed="false">
      <c r="A1118" s="30"/>
      <c r="B1118" s="25"/>
      <c r="C1118" s="25"/>
      <c r="D1118" s="25"/>
      <c r="E1118" s="25"/>
      <c r="F1118" s="25"/>
      <c r="G1118" s="25"/>
      <c r="H1118" s="31"/>
      <c r="I1118" s="32"/>
      <c r="J1118" s="33"/>
      <c r="K1118" s="34" t="str">
        <f aca="false">IF(OR(H1118="",I1118=""),"",H1118*I1118*(1-N(J1118)))</f>
        <v/>
      </c>
      <c r="L1118" s="32"/>
      <c r="M1118" s="34" t="str">
        <f aca="false">IF(OR(H1118="",L1118=""),"",H1118*L1118)</f>
        <v/>
      </c>
      <c r="N1118" s="34" t="str">
        <f aca="false">IF(OR(K1118="",M1118=""),"",K1118-M1118)</f>
        <v/>
      </c>
      <c r="O1118" s="35" t="str">
        <f aca="false">IF(OR(N1118="",K1118=""),"",IF(K1118=0,"",N1118/K1118))</f>
        <v/>
      </c>
      <c r="P1118" s="25"/>
      <c r="Q1118" s="25"/>
      <c r="R1118" s="25"/>
      <c r="S1118" s="36" t="str">
        <f aca="false">IF(A1118="","",YEAR(A1118)+IF(AND(FYStart&gt;1,MONTH(A1118)&gt;=FYStart),1,0))</f>
        <v/>
      </c>
      <c r="T1118" s="36" t="str">
        <f aca="false">IF(A1118="","",MOD(MONTH(A1118)-FYStart,12)+1)</f>
        <v/>
      </c>
      <c r="U1118" s="37" t="str">
        <f aca="false">IF(A1118="","",TEXT(A1118,"mmm"))</f>
        <v/>
      </c>
      <c r="V1118" s="37" t="str">
        <f aca="false">IF(Q1118="","",IFERROR(INDEX(Settings!$I$11:$I$15,MATCH(Q1118,Settings!$H$11:$H$15,0)),"No"))</f>
        <v/>
      </c>
      <c r="W1118" s="37" t="str">
        <f aca="false">IF(Q1118="","",IFERROR(INDEX(Settings!$J$11:$J$15,MATCH(Q1118,Settings!$H$11:$H$15,0)),"No"))</f>
        <v/>
      </c>
    </row>
    <row r="1119" customFormat="false" ht="15" hidden="false" customHeight="false" outlineLevel="0" collapsed="false">
      <c r="A1119" s="30"/>
      <c r="B1119" s="25"/>
      <c r="C1119" s="25"/>
      <c r="D1119" s="25"/>
      <c r="E1119" s="25"/>
      <c r="F1119" s="25"/>
      <c r="G1119" s="25"/>
      <c r="H1119" s="31"/>
      <c r="I1119" s="32"/>
      <c r="J1119" s="33"/>
      <c r="K1119" s="34" t="str">
        <f aca="false">IF(OR(H1119="",I1119=""),"",H1119*I1119*(1-N(J1119)))</f>
        <v/>
      </c>
      <c r="L1119" s="32"/>
      <c r="M1119" s="34" t="str">
        <f aca="false">IF(OR(H1119="",L1119=""),"",H1119*L1119)</f>
        <v/>
      </c>
      <c r="N1119" s="34" t="str">
        <f aca="false">IF(OR(K1119="",M1119=""),"",K1119-M1119)</f>
        <v/>
      </c>
      <c r="O1119" s="35" t="str">
        <f aca="false">IF(OR(N1119="",K1119=""),"",IF(K1119=0,"",N1119/K1119))</f>
        <v/>
      </c>
      <c r="P1119" s="25"/>
      <c r="Q1119" s="25"/>
      <c r="R1119" s="25"/>
      <c r="S1119" s="36" t="str">
        <f aca="false">IF(A1119="","",YEAR(A1119)+IF(AND(FYStart&gt;1,MONTH(A1119)&gt;=FYStart),1,0))</f>
        <v/>
      </c>
      <c r="T1119" s="36" t="str">
        <f aca="false">IF(A1119="","",MOD(MONTH(A1119)-FYStart,12)+1)</f>
        <v/>
      </c>
      <c r="U1119" s="37" t="str">
        <f aca="false">IF(A1119="","",TEXT(A1119,"mmm"))</f>
        <v/>
      </c>
      <c r="V1119" s="37" t="str">
        <f aca="false">IF(Q1119="","",IFERROR(INDEX(Settings!$I$11:$I$15,MATCH(Q1119,Settings!$H$11:$H$15,0)),"No"))</f>
        <v/>
      </c>
      <c r="W1119" s="37" t="str">
        <f aca="false">IF(Q1119="","",IFERROR(INDEX(Settings!$J$11:$J$15,MATCH(Q1119,Settings!$H$11:$H$15,0)),"No"))</f>
        <v/>
      </c>
    </row>
    <row r="1120" customFormat="false" ht="15" hidden="false" customHeight="false" outlineLevel="0" collapsed="false">
      <c r="A1120" s="30"/>
      <c r="B1120" s="25"/>
      <c r="C1120" s="25"/>
      <c r="D1120" s="25"/>
      <c r="E1120" s="25"/>
      <c r="F1120" s="25"/>
      <c r="G1120" s="25"/>
      <c r="H1120" s="31"/>
      <c r="I1120" s="32"/>
      <c r="J1120" s="33"/>
      <c r="K1120" s="34" t="str">
        <f aca="false">IF(OR(H1120="",I1120=""),"",H1120*I1120*(1-N(J1120)))</f>
        <v/>
      </c>
      <c r="L1120" s="32"/>
      <c r="M1120" s="34" t="str">
        <f aca="false">IF(OR(H1120="",L1120=""),"",H1120*L1120)</f>
        <v/>
      </c>
      <c r="N1120" s="34" t="str">
        <f aca="false">IF(OR(K1120="",M1120=""),"",K1120-M1120)</f>
        <v/>
      </c>
      <c r="O1120" s="35" t="str">
        <f aca="false">IF(OR(N1120="",K1120=""),"",IF(K1120=0,"",N1120/K1120))</f>
        <v/>
      </c>
      <c r="P1120" s="25"/>
      <c r="Q1120" s="25"/>
      <c r="R1120" s="25"/>
      <c r="S1120" s="36" t="str">
        <f aca="false">IF(A1120="","",YEAR(A1120)+IF(AND(FYStart&gt;1,MONTH(A1120)&gt;=FYStart),1,0))</f>
        <v/>
      </c>
      <c r="T1120" s="36" t="str">
        <f aca="false">IF(A1120="","",MOD(MONTH(A1120)-FYStart,12)+1)</f>
        <v/>
      </c>
      <c r="U1120" s="37" t="str">
        <f aca="false">IF(A1120="","",TEXT(A1120,"mmm"))</f>
        <v/>
      </c>
      <c r="V1120" s="37" t="str">
        <f aca="false">IF(Q1120="","",IFERROR(INDEX(Settings!$I$11:$I$15,MATCH(Q1120,Settings!$H$11:$H$15,0)),"No"))</f>
        <v/>
      </c>
      <c r="W1120" s="37" t="str">
        <f aca="false">IF(Q1120="","",IFERROR(INDEX(Settings!$J$11:$J$15,MATCH(Q1120,Settings!$H$11:$H$15,0)),"No"))</f>
        <v/>
      </c>
    </row>
    <row r="1121" customFormat="false" ht="15" hidden="false" customHeight="false" outlineLevel="0" collapsed="false">
      <c r="A1121" s="30"/>
      <c r="B1121" s="25"/>
      <c r="C1121" s="25"/>
      <c r="D1121" s="25"/>
      <c r="E1121" s="25"/>
      <c r="F1121" s="25"/>
      <c r="G1121" s="25"/>
      <c r="H1121" s="31"/>
      <c r="I1121" s="32"/>
      <c r="J1121" s="33"/>
      <c r="K1121" s="34" t="str">
        <f aca="false">IF(OR(H1121="",I1121=""),"",H1121*I1121*(1-N(J1121)))</f>
        <v/>
      </c>
      <c r="L1121" s="32"/>
      <c r="M1121" s="34" t="str">
        <f aca="false">IF(OR(H1121="",L1121=""),"",H1121*L1121)</f>
        <v/>
      </c>
      <c r="N1121" s="34" t="str">
        <f aca="false">IF(OR(K1121="",M1121=""),"",K1121-M1121)</f>
        <v/>
      </c>
      <c r="O1121" s="35" t="str">
        <f aca="false">IF(OR(N1121="",K1121=""),"",IF(K1121=0,"",N1121/K1121))</f>
        <v/>
      </c>
      <c r="P1121" s="25"/>
      <c r="Q1121" s="25"/>
      <c r="R1121" s="25"/>
      <c r="S1121" s="36" t="str">
        <f aca="false">IF(A1121="","",YEAR(A1121)+IF(AND(FYStart&gt;1,MONTH(A1121)&gt;=FYStart),1,0))</f>
        <v/>
      </c>
      <c r="T1121" s="36" t="str">
        <f aca="false">IF(A1121="","",MOD(MONTH(A1121)-FYStart,12)+1)</f>
        <v/>
      </c>
      <c r="U1121" s="37" t="str">
        <f aca="false">IF(A1121="","",TEXT(A1121,"mmm"))</f>
        <v/>
      </c>
      <c r="V1121" s="37" t="str">
        <f aca="false">IF(Q1121="","",IFERROR(INDEX(Settings!$I$11:$I$15,MATCH(Q1121,Settings!$H$11:$H$15,0)),"No"))</f>
        <v/>
      </c>
      <c r="W1121" s="37" t="str">
        <f aca="false">IF(Q1121="","",IFERROR(INDEX(Settings!$J$11:$J$15,MATCH(Q1121,Settings!$H$11:$H$15,0)),"No"))</f>
        <v/>
      </c>
    </row>
    <row r="1122" customFormat="false" ht="15" hidden="false" customHeight="false" outlineLevel="0" collapsed="false">
      <c r="A1122" s="30"/>
      <c r="B1122" s="25"/>
      <c r="C1122" s="25"/>
      <c r="D1122" s="25"/>
      <c r="E1122" s="25"/>
      <c r="F1122" s="25"/>
      <c r="G1122" s="25"/>
      <c r="H1122" s="31"/>
      <c r="I1122" s="32"/>
      <c r="J1122" s="33"/>
      <c r="K1122" s="34" t="str">
        <f aca="false">IF(OR(H1122="",I1122=""),"",H1122*I1122*(1-N(J1122)))</f>
        <v/>
      </c>
      <c r="L1122" s="32"/>
      <c r="M1122" s="34" t="str">
        <f aca="false">IF(OR(H1122="",L1122=""),"",H1122*L1122)</f>
        <v/>
      </c>
      <c r="N1122" s="34" t="str">
        <f aca="false">IF(OR(K1122="",M1122=""),"",K1122-M1122)</f>
        <v/>
      </c>
      <c r="O1122" s="35" t="str">
        <f aca="false">IF(OR(N1122="",K1122=""),"",IF(K1122=0,"",N1122/K1122))</f>
        <v/>
      </c>
      <c r="P1122" s="25"/>
      <c r="Q1122" s="25"/>
      <c r="R1122" s="25"/>
      <c r="S1122" s="36" t="str">
        <f aca="false">IF(A1122="","",YEAR(A1122)+IF(AND(FYStart&gt;1,MONTH(A1122)&gt;=FYStart),1,0))</f>
        <v/>
      </c>
      <c r="T1122" s="36" t="str">
        <f aca="false">IF(A1122="","",MOD(MONTH(A1122)-FYStart,12)+1)</f>
        <v/>
      </c>
      <c r="U1122" s="37" t="str">
        <f aca="false">IF(A1122="","",TEXT(A1122,"mmm"))</f>
        <v/>
      </c>
      <c r="V1122" s="37" t="str">
        <f aca="false">IF(Q1122="","",IFERROR(INDEX(Settings!$I$11:$I$15,MATCH(Q1122,Settings!$H$11:$H$15,0)),"No"))</f>
        <v/>
      </c>
      <c r="W1122" s="37" t="str">
        <f aca="false">IF(Q1122="","",IFERROR(INDEX(Settings!$J$11:$J$15,MATCH(Q1122,Settings!$H$11:$H$15,0)),"No"))</f>
        <v/>
      </c>
    </row>
    <row r="1123" customFormat="false" ht="15" hidden="false" customHeight="false" outlineLevel="0" collapsed="false">
      <c r="A1123" s="30"/>
      <c r="B1123" s="25"/>
      <c r="C1123" s="25"/>
      <c r="D1123" s="25"/>
      <c r="E1123" s="25"/>
      <c r="F1123" s="25"/>
      <c r="G1123" s="25"/>
      <c r="H1123" s="31"/>
      <c r="I1123" s="32"/>
      <c r="J1123" s="33"/>
      <c r="K1123" s="34" t="str">
        <f aca="false">IF(OR(H1123="",I1123=""),"",H1123*I1123*(1-N(J1123)))</f>
        <v/>
      </c>
      <c r="L1123" s="32"/>
      <c r="M1123" s="34" t="str">
        <f aca="false">IF(OR(H1123="",L1123=""),"",H1123*L1123)</f>
        <v/>
      </c>
      <c r="N1123" s="34" t="str">
        <f aca="false">IF(OR(K1123="",M1123=""),"",K1123-M1123)</f>
        <v/>
      </c>
      <c r="O1123" s="35" t="str">
        <f aca="false">IF(OR(N1123="",K1123=""),"",IF(K1123=0,"",N1123/K1123))</f>
        <v/>
      </c>
      <c r="P1123" s="25"/>
      <c r="Q1123" s="25"/>
      <c r="R1123" s="25"/>
      <c r="S1123" s="36" t="str">
        <f aca="false">IF(A1123="","",YEAR(A1123)+IF(AND(FYStart&gt;1,MONTH(A1123)&gt;=FYStart),1,0))</f>
        <v/>
      </c>
      <c r="T1123" s="36" t="str">
        <f aca="false">IF(A1123="","",MOD(MONTH(A1123)-FYStart,12)+1)</f>
        <v/>
      </c>
      <c r="U1123" s="37" t="str">
        <f aca="false">IF(A1123="","",TEXT(A1123,"mmm"))</f>
        <v/>
      </c>
      <c r="V1123" s="37" t="str">
        <f aca="false">IF(Q1123="","",IFERROR(INDEX(Settings!$I$11:$I$15,MATCH(Q1123,Settings!$H$11:$H$15,0)),"No"))</f>
        <v/>
      </c>
      <c r="W1123" s="37" t="str">
        <f aca="false">IF(Q1123="","",IFERROR(INDEX(Settings!$J$11:$J$15,MATCH(Q1123,Settings!$H$11:$H$15,0)),"No"))</f>
        <v/>
      </c>
    </row>
    <row r="1124" customFormat="false" ht="15" hidden="false" customHeight="false" outlineLevel="0" collapsed="false">
      <c r="A1124" s="30"/>
      <c r="B1124" s="25"/>
      <c r="C1124" s="25"/>
      <c r="D1124" s="25"/>
      <c r="E1124" s="25"/>
      <c r="F1124" s="25"/>
      <c r="G1124" s="25"/>
      <c r="H1124" s="31"/>
      <c r="I1124" s="32"/>
      <c r="J1124" s="33"/>
      <c r="K1124" s="34" t="str">
        <f aca="false">IF(OR(H1124="",I1124=""),"",H1124*I1124*(1-N(J1124)))</f>
        <v/>
      </c>
      <c r="L1124" s="32"/>
      <c r="M1124" s="34" t="str">
        <f aca="false">IF(OR(H1124="",L1124=""),"",H1124*L1124)</f>
        <v/>
      </c>
      <c r="N1124" s="34" t="str">
        <f aca="false">IF(OR(K1124="",M1124=""),"",K1124-M1124)</f>
        <v/>
      </c>
      <c r="O1124" s="35" t="str">
        <f aca="false">IF(OR(N1124="",K1124=""),"",IF(K1124=0,"",N1124/K1124))</f>
        <v/>
      </c>
      <c r="P1124" s="25"/>
      <c r="Q1124" s="25"/>
      <c r="R1124" s="25"/>
      <c r="S1124" s="36" t="str">
        <f aca="false">IF(A1124="","",YEAR(A1124)+IF(AND(FYStart&gt;1,MONTH(A1124)&gt;=FYStart),1,0))</f>
        <v/>
      </c>
      <c r="T1124" s="36" t="str">
        <f aca="false">IF(A1124="","",MOD(MONTH(A1124)-FYStart,12)+1)</f>
        <v/>
      </c>
      <c r="U1124" s="37" t="str">
        <f aca="false">IF(A1124="","",TEXT(A1124,"mmm"))</f>
        <v/>
      </c>
      <c r="V1124" s="37" t="str">
        <f aca="false">IF(Q1124="","",IFERROR(INDEX(Settings!$I$11:$I$15,MATCH(Q1124,Settings!$H$11:$H$15,0)),"No"))</f>
        <v/>
      </c>
      <c r="W1124" s="37" t="str">
        <f aca="false">IF(Q1124="","",IFERROR(INDEX(Settings!$J$11:$J$15,MATCH(Q1124,Settings!$H$11:$H$15,0)),"No"))</f>
        <v/>
      </c>
    </row>
    <row r="1125" customFormat="false" ht="15" hidden="false" customHeight="false" outlineLevel="0" collapsed="false">
      <c r="A1125" s="30"/>
      <c r="B1125" s="25"/>
      <c r="C1125" s="25"/>
      <c r="D1125" s="25"/>
      <c r="E1125" s="25"/>
      <c r="F1125" s="25"/>
      <c r="G1125" s="25"/>
      <c r="H1125" s="31"/>
      <c r="I1125" s="32"/>
      <c r="J1125" s="33"/>
      <c r="K1125" s="34" t="str">
        <f aca="false">IF(OR(H1125="",I1125=""),"",H1125*I1125*(1-N(J1125)))</f>
        <v/>
      </c>
      <c r="L1125" s="32"/>
      <c r="M1125" s="34" t="str">
        <f aca="false">IF(OR(H1125="",L1125=""),"",H1125*L1125)</f>
        <v/>
      </c>
      <c r="N1125" s="34" t="str">
        <f aca="false">IF(OR(K1125="",M1125=""),"",K1125-M1125)</f>
        <v/>
      </c>
      <c r="O1125" s="35" t="str">
        <f aca="false">IF(OR(N1125="",K1125=""),"",IF(K1125=0,"",N1125/K1125))</f>
        <v/>
      </c>
      <c r="P1125" s="25"/>
      <c r="Q1125" s="25"/>
      <c r="R1125" s="25"/>
      <c r="S1125" s="36" t="str">
        <f aca="false">IF(A1125="","",YEAR(A1125)+IF(AND(FYStart&gt;1,MONTH(A1125)&gt;=FYStart),1,0))</f>
        <v/>
      </c>
      <c r="T1125" s="36" t="str">
        <f aca="false">IF(A1125="","",MOD(MONTH(A1125)-FYStart,12)+1)</f>
        <v/>
      </c>
      <c r="U1125" s="37" t="str">
        <f aca="false">IF(A1125="","",TEXT(A1125,"mmm"))</f>
        <v/>
      </c>
      <c r="V1125" s="37" t="str">
        <f aca="false">IF(Q1125="","",IFERROR(INDEX(Settings!$I$11:$I$15,MATCH(Q1125,Settings!$H$11:$H$15,0)),"No"))</f>
        <v/>
      </c>
      <c r="W1125" s="37" t="str">
        <f aca="false">IF(Q1125="","",IFERROR(INDEX(Settings!$J$11:$J$15,MATCH(Q1125,Settings!$H$11:$H$15,0)),"No"))</f>
        <v/>
      </c>
    </row>
    <row r="1126" customFormat="false" ht="15" hidden="false" customHeight="false" outlineLevel="0" collapsed="false">
      <c r="A1126" s="30"/>
      <c r="B1126" s="25"/>
      <c r="C1126" s="25"/>
      <c r="D1126" s="25"/>
      <c r="E1126" s="25"/>
      <c r="F1126" s="25"/>
      <c r="G1126" s="25"/>
      <c r="H1126" s="31"/>
      <c r="I1126" s="32"/>
      <c r="J1126" s="33"/>
      <c r="K1126" s="34" t="str">
        <f aca="false">IF(OR(H1126="",I1126=""),"",H1126*I1126*(1-N(J1126)))</f>
        <v/>
      </c>
      <c r="L1126" s="32"/>
      <c r="M1126" s="34" t="str">
        <f aca="false">IF(OR(H1126="",L1126=""),"",H1126*L1126)</f>
        <v/>
      </c>
      <c r="N1126" s="34" t="str">
        <f aca="false">IF(OR(K1126="",M1126=""),"",K1126-M1126)</f>
        <v/>
      </c>
      <c r="O1126" s="35" t="str">
        <f aca="false">IF(OR(N1126="",K1126=""),"",IF(K1126=0,"",N1126/K1126))</f>
        <v/>
      </c>
      <c r="P1126" s="25"/>
      <c r="Q1126" s="25"/>
      <c r="R1126" s="25"/>
      <c r="S1126" s="36" t="str">
        <f aca="false">IF(A1126="","",YEAR(A1126)+IF(AND(FYStart&gt;1,MONTH(A1126)&gt;=FYStart),1,0))</f>
        <v/>
      </c>
      <c r="T1126" s="36" t="str">
        <f aca="false">IF(A1126="","",MOD(MONTH(A1126)-FYStart,12)+1)</f>
        <v/>
      </c>
      <c r="U1126" s="37" t="str">
        <f aca="false">IF(A1126="","",TEXT(A1126,"mmm"))</f>
        <v/>
      </c>
      <c r="V1126" s="37" t="str">
        <f aca="false">IF(Q1126="","",IFERROR(INDEX(Settings!$I$11:$I$15,MATCH(Q1126,Settings!$H$11:$H$15,0)),"No"))</f>
        <v/>
      </c>
      <c r="W1126" s="37" t="str">
        <f aca="false">IF(Q1126="","",IFERROR(INDEX(Settings!$J$11:$J$15,MATCH(Q1126,Settings!$H$11:$H$15,0)),"No"))</f>
        <v/>
      </c>
    </row>
    <row r="1127" customFormat="false" ht="15" hidden="false" customHeight="false" outlineLevel="0" collapsed="false">
      <c r="A1127" s="30"/>
      <c r="B1127" s="25"/>
      <c r="C1127" s="25"/>
      <c r="D1127" s="25"/>
      <c r="E1127" s="25"/>
      <c r="F1127" s="25"/>
      <c r="G1127" s="25"/>
      <c r="H1127" s="31"/>
      <c r="I1127" s="32"/>
      <c r="J1127" s="33"/>
      <c r="K1127" s="34" t="str">
        <f aca="false">IF(OR(H1127="",I1127=""),"",H1127*I1127*(1-N(J1127)))</f>
        <v/>
      </c>
      <c r="L1127" s="32"/>
      <c r="M1127" s="34" t="str">
        <f aca="false">IF(OR(H1127="",L1127=""),"",H1127*L1127)</f>
        <v/>
      </c>
      <c r="N1127" s="34" t="str">
        <f aca="false">IF(OR(K1127="",M1127=""),"",K1127-M1127)</f>
        <v/>
      </c>
      <c r="O1127" s="35" t="str">
        <f aca="false">IF(OR(N1127="",K1127=""),"",IF(K1127=0,"",N1127/K1127))</f>
        <v/>
      </c>
      <c r="P1127" s="25"/>
      <c r="Q1127" s="25"/>
      <c r="R1127" s="25"/>
      <c r="S1127" s="36" t="str">
        <f aca="false">IF(A1127="","",YEAR(A1127)+IF(AND(FYStart&gt;1,MONTH(A1127)&gt;=FYStart),1,0))</f>
        <v/>
      </c>
      <c r="T1127" s="36" t="str">
        <f aca="false">IF(A1127="","",MOD(MONTH(A1127)-FYStart,12)+1)</f>
        <v/>
      </c>
      <c r="U1127" s="37" t="str">
        <f aca="false">IF(A1127="","",TEXT(A1127,"mmm"))</f>
        <v/>
      </c>
      <c r="V1127" s="37" t="str">
        <f aca="false">IF(Q1127="","",IFERROR(INDEX(Settings!$I$11:$I$15,MATCH(Q1127,Settings!$H$11:$H$15,0)),"No"))</f>
        <v/>
      </c>
      <c r="W1127" s="37" t="str">
        <f aca="false">IF(Q1127="","",IFERROR(INDEX(Settings!$J$11:$J$15,MATCH(Q1127,Settings!$H$11:$H$15,0)),"No"))</f>
        <v/>
      </c>
    </row>
    <row r="1128" customFormat="false" ht="15" hidden="false" customHeight="false" outlineLevel="0" collapsed="false">
      <c r="A1128" s="30"/>
      <c r="B1128" s="25"/>
      <c r="C1128" s="25"/>
      <c r="D1128" s="25"/>
      <c r="E1128" s="25"/>
      <c r="F1128" s="25"/>
      <c r="G1128" s="25"/>
      <c r="H1128" s="31"/>
      <c r="I1128" s="32"/>
      <c r="J1128" s="33"/>
      <c r="K1128" s="34" t="str">
        <f aca="false">IF(OR(H1128="",I1128=""),"",H1128*I1128*(1-N(J1128)))</f>
        <v/>
      </c>
      <c r="L1128" s="32"/>
      <c r="M1128" s="34" t="str">
        <f aca="false">IF(OR(H1128="",L1128=""),"",H1128*L1128)</f>
        <v/>
      </c>
      <c r="N1128" s="34" t="str">
        <f aca="false">IF(OR(K1128="",M1128=""),"",K1128-M1128)</f>
        <v/>
      </c>
      <c r="O1128" s="35" t="str">
        <f aca="false">IF(OR(N1128="",K1128=""),"",IF(K1128=0,"",N1128/K1128))</f>
        <v/>
      </c>
      <c r="P1128" s="25"/>
      <c r="Q1128" s="25"/>
      <c r="R1128" s="25"/>
      <c r="S1128" s="36" t="str">
        <f aca="false">IF(A1128="","",YEAR(A1128)+IF(AND(FYStart&gt;1,MONTH(A1128)&gt;=FYStart),1,0))</f>
        <v/>
      </c>
      <c r="T1128" s="36" t="str">
        <f aca="false">IF(A1128="","",MOD(MONTH(A1128)-FYStart,12)+1)</f>
        <v/>
      </c>
      <c r="U1128" s="37" t="str">
        <f aca="false">IF(A1128="","",TEXT(A1128,"mmm"))</f>
        <v/>
      </c>
      <c r="V1128" s="37" t="str">
        <f aca="false">IF(Q1128="","",IFERROR(INDEX(Settings!$I$11:$I$15,MATCH(Q1128,Settings!$H$11:$H$15,0)),"No"))</f>
        <v/>
      </c>
      <c r="W1128" s="37" t="str">
        <f aca="false">IF(Q1128="","",IFERROR(INDEX(Settings!$J$11:$J$15,MATCH(Q1128,Settings!$H$11:$H$15,0)),"No"))</f>
        <v/>
      </c>
    </row>
    <row r="1129" customFormat="false" ht="15" hidden="false" customHeight="false" outlineLevel="0" collapsed="false">
      <c r="A1129" s="30"/>
      <c r="B1129" s="25"/>
      <c r="C1129" s="25"/>
      <c r="D1129" s="25"/>
      <c r="E1129" s="25"/>
      <c r="F1129" s="25"/>
      <c r="G1129" s="25"/>
      <c r="H1129" s="31"/>
      <c r="I1129" s="32"/>
      <c r="J1129" s="33"/>
      <c r="K1129" s="34" t="str">
        <f aca="false">IF(OR(H1129="",I1129=""),"",H1129*I1129*(1-N(J1129)))</f>
        <v/>
      </c>
      <c r="L1129" s="32"/>
      <c r="M1129" s="34" t="str">
        <f aca="false">IF(OR(H1129="",L1129=""),"",H1129*L1129)</f>
        <v/>
      </c>
      <c r="N1129" s="34" t="str">
        <f aca="false">IF(OR(K1129="",M1129=""),"",K1129-M1129)</f>
        <v/>
      </c>
      <c r="O1129" s="35" t="str">
        <f aca="false">IF(OR(N1129="",K1129=""),"",IF(K1129=0,"",N1129/K1129))</f>
        <v/>
      </c>
      <c r="P1129" s="25"/>
      <c r="Q1129" s="25"/>
      <c r="R1129" s="25"/>
      <c r="S1129" s="36" t="str">
        <f aca="false">IF(A1129="","",YEAR(A1129)+IF(AND(FYStart&gt;1,MONTH(A1129)&gt;=FYStart),1,0))</f>
        <v/>
      </c>
      <c r="T1129" s="36" t="str">
        <f aca="false">IF(A1129="","",MOD(MONTH(A1129)-FYStart,12)+1)</f>
        <v/>
      </c>
      <c r="U1129" s="37" t="str">
        <f aca="false">IF(A1129="","",TEXT(A1129,"mmm"))</f>
        <v/>
      </c>
      <c r="V1129" s="37" t="str">
        <f aca="false">IF(Q1129="","",IFERROR(INDEX(Settings!$I$11:$I$15,MATCH(Q1129,Settings!$H$11:$H$15,0)),"No"))</f>
        <v/>
      </c>
      <c r="W1129" s="37" t="str">
        <f aca="false">IF(Q1129="","",IFERROR(INDEX(Settings!$J$11:$J$15,MATCH(Q1129,Settings!$H$11:$H$15,0)),"No"))</f>
        <v/>
      </c>
    </row>
    <row r="1130" customFormat="false" ht="15" hidden="false" customHeight="false" outlineLevel="0" collapsed="false">
      <c r="A1130" s="30"/>
      <c r="B1130" s="25"/>
      <c r="C1130" s="25"/>
      <c r="D1130" s="25"/>
      <c r="E1130" s="25"/>
      <c r="F1130" s="25"/>
      <c r="G1130" s="25"/>
      <c r="H1130" s="31"/>
      <c r="I1130" s="32"/>
      <c r="J1130" s="33"/>
      <c r="K1130" s="34" t="str">
        <f aca="false">IF(OR(H1130="",I1130=""),"",H1130*I1130*(1-N(J1130)))</f>
        <v/>
      </c>
      <c r="L1130" s="32"/>
      <c r="M1130" s="34" t="str">
        <f aca="false">IF(OR(H1130="",L1130=""),"",H1130*L1130)</f>
        <v/>
      </c>
      <c r="N1130" s="34" t="str">
        <f aca="false">IF(OR(K1130="",M1130=""),"",K1130-M1130)</f>
        <v/>
      </c>
      <c r="O1130" s="35" t="str">
        <f aca="false">IF(OR(N1130="",K1130=""),"",IF(K1130=0,"",N1130/K1130))</f>
        <v/>
      </c>
      <c r="P1130" s="25"/>
      <c r="Q1130" s="25"/>
      <c r="R1130" s="25"/>
      <c r="S1130" s="36" t="str">
        <f aca="false">IF(A1130="","",YEAR(A1130)+IF(AND(FYStart&gt;1,MONTH(A1130)&gt;=FYStart),1,0))</f>
        <v/>
      </c>
      <c r="T1130" s="36" t="str">
        <f aca="false">IF(A1130="","",MOD(MONTH(A1130)-FYStart,12)+1)</f>
        <v/>
      </c>
      <c r="U1130" s="37" t="str">
        <f aca="false">IF(A1130="","",TEXT(A1130,"mmm"))</f>
        <v/>
      </c>
      <c r="V1130" s="37" t="str">
        <f aca="false">IF(Q1130="","",IFERROR(INDEX(Settings!$I$11:$I$15,MATCH(Q1130,Settings!$H$11:$H$15,0)),"No"))</f>
        <v/>
      </c>
      <c r="W1130" s="37" t="str">
        <f aca="false">IF(Q1130="","",IFERROR(INDEX(Settings!$J$11:$J$15,MATCH(Q1130,Settings!$H$11:$H$15,0)),"No"))</f>
        <v/>
      </c>
    </row>
    <row r="1131" customFormat="false" ht="15" hidden="false" customHeight="false" outlineLevel="0" collapsed="false">
      <c r="A1131" s="30"/>
      <c r="B1131" s="25"/>
      <c r="C1131" s="25"/>
      <c r="D1131" s="25"/>
      <c r="E1131" s="25"/>
      <c r="F1131" s="25"/>
      <c r="G1131" s="25"/>
      <c r="H1131" s="31"/>
      <c r="I1131" s="32"/>
      <c r="J1131" s="33"/>
      <c r="K1131" s="34" t="str">
        <f aca="false">IF(OR(H1131="",I1131=""),"",H1131*I1131*(1-N(J1131)))</f>
        <v/>
      </c>
      <c r="L1131" s="32"/>
      <c r="M1131" s="34" t="str">
        <f aca="false">IF(OR(H1131="",L1131=""),"",H1131*L1131)</f>
        <v/>
      </c>
      <c r="N1131" s="34" t="str">
        <f aca="false">IF(OR(K1131="",M1131=""),"",K1131-M1131)</f>
        <v/>
      </c>
      <c r="O1131" s="35" t="str">
        <f aca="false">IF(OR(N1131="",K1131=""),"",IF(K1131=0,"",N1131/K1131))</f>
        <v/>
      </c>
      <c r="P1131" s="25"/>
      <c r="Q1131" s="25"/>
      <c r="R1131" s="25"/>
      <c r="S1131" s="36" t="str">
        <f aca="false">IF(A1131="","",YEAR(A1131)+IF(AND(FYStart&gt;1,MONTH(A1131)&gt;=FYStart),1,0))</f>
        <v/>
      </c>
      <c r="T1131" s="36" t="str">
        <f aca="false">IF(A1131="","",MOD(MONTH(A1131)-FYStart,12)+1)</f>
        <v/>
      </c>
      <c r="U1131" s="37" t="str">
        <f aca="false">IF(A1131="","",TEXT(A1131,"mmm"))</f>
        <v/>
      </c>
      <c r="V1131" s="37" t="str">
        <f aca="false">IF(Q1131="","",IFERROR(INDEX(Settings!$I$11:$I$15,MATCH(Q1131,Settings!$H$11:$H$15,0)),"No"))</f>
        <v/>
      </c>
      <c r="W1131" s="37" t="str">
        <f aca="false">IF(Q1131="","",IFERROR(INDEX(Settings!$J$11:$J$15,MATCH(Q1131,Settings!$H$11:$H$15,0)),"No"))</f>
        <v/>
      </c>
    </row>
    <row r="1132" customFormat="false" ht="15" hidden="false" customHeight="false" outlineLevel="0" collapsed="false">
      <c r="A1132" s="30"/>
      <c r="B1132" s="25"/>
      <c r="C1132" s="25"/>
      <c r="D1132" s="25"/>
      <c r="E1132" s="25"/>
      <c r="F1132" s="25"/>
      <c r="G1132" s="25"/>
      <c r="H1132" s="31"/>
      <c r="I1132" s="32"/>
      <c r="J1132" s="33"/>
      <c r="K1132" s="34" t="str">
        <f aca="false">IF(OR(H1132="",I1132=""),"",H1132*I1132*(1-N(J1132)))</f>
        <v/>
      </c>
      <c r="L1132" s="32"/>
      <c r="M1132" s="34" t="str">
        <f aca="false">IF(OR(H1132="",L1132=""),"",H1132*L1132)</f>
        <v/>
      </c>
      <c r="N1132" s="34" t="str">
        <f aca="false">IF(OR(K1132="",M1132=""),"",K1132-M1132)</f>
        <v/>
      </c>
      <c r="O1132" s="35" t="str">
        <f aca="false">IF(OR(N1132="",K1132=""),"",IF(K1132=0,"",N1132/K1132))</f>
        <v/>
      </c>
      <c r="P1132" s="25"/>
      <c r="Q1132" s="25"/>
      <c r="R1132" s="25"/>
      <c r="S1132" s="36" t="str">
        <f aca="false">IF(A1132="","",YEAR(A1132)+IF(AND(FYStart&gt;1,MONTH(A1132)&gt;=FYStart),1,0))</f>
        <v/>
      </c>
      <c r="T1132" s="36" t="str">
        <f aca="false">IF(A1132="","",MOD(MONTH(A1132)-FYStart,12)+1)</f>
        <v/>
      </c>
      <c r="U1132" s="37" t="str">
        <f aca="false">IF(A1132="","",TEXT(A1132,"mmm"))</f>
        <v/>
      </c>
      <c r="V1132" s="37" t="str">
        <f aca="false">IF(Q1132="","",IFERROR(INDEX(Settings!$I$11:$I$15,MATCH(Q1132,Settings!$H$11:$H$15,0)),"No"))</f>
        <v/>
      </c>
      <c r="W1132" s="37" t="str">
        <f aca="false">IF(Q1132="","",IFERROR(INDEX(Settings!$J$11:$J$15,MATCH(Q1132,Settings!$H$11:$H$15,0)),"No"))</f>
        <v/>
      </c>
    </row>
    <row r="1133" customFormat="false" ht="15" hidden="false" customHeight="false" outlineLevel="0" collapsed="false">
      <c r="A1133" s="30"/>
      <c r="B1133" s="25"/>
      <c r="C1133" s="25"/>
      <c r="D1133" s="25"/>
      <c r="E1133" s="25"/>
      <c r="F1133" s="25"/>
      <c r="G1133" s="25"/>
      <c r="H1133" s="31"/>
      <c r="I1133" s="32"/>
      <c r="J1133" s="33"/>
      <c r="K1133" s="34" t="str">
        <f aca="false">IF(OR(H1133="",I1133=""),"",H1133*I1133*(1-N(J1133)))</f>
        <v/>
      </c>
      <c r="L1133" s="32"/>
      <c r="M1133" s="34" t="str">
        <f aca="false">IF(OR(H1133="",L1133=""),"",H1133*L1133)</f>
        <v/>
      </c>
      <c r="N1133" s="34" t="str">
        <f aca="false">IF(OR(K1133="",M1133=""),"",K1133-M1133)</f>
        <v/>
      </c>
      <c r="O1133" s="35" t="str">
        <f aca="false">IF(OR(N1133="",K1133=""),"",IF(K1133=0,"",N1133/K1133))</f>
        <v/>
      </c>
      <c r="P1133" s="25"/>
      <c r="Q1133" s="25"/>
      <c r="R1133" s="25"/>
      <c r="S1133" s="36" t="str">
        <f aca="false">IF(A1133="","",YEAR(A1133)+IF(AND(FYStart&gt;1,MONTH(A1133)&gt;=FYStart),1,0))</f>
        <v/>
      </c>
      <c r="T1133" s="36" t="str">
        <f aca="false">IF(A1133="","",MOD(MONTH(A1133)-FYStart,12)+1)</f>
        <v/>
      </c>
      <c r="U1133" s="37" t="str">
        <f aca="false">IF(A1133="","",TEXT(A1133,"mmm"))</f>
        <v/>
      </c>
      <c r="V1133" s="37" t="str">
        <f aca="false">IF(Q1133="","",IFERROR(INDEX(Settings!$I$11:$I$15,MATCH(Q1133,Settings!$H$11:$H$15,0)),"No"))</f>
        <v/>
      </c>
      <c r="W1133" s="37" t="str">
        <f aca="false">IF(Q1133="","",IFERROR(INDEX(Settings!$J$11:$J$15,MATCH(Q1133,Settings!$H$11:$H$15,0)),"No"))</f>
        <v/>
      </c>
    </row>
    <row r="1134" customFormat="false" ht="15" hidden="false" customHeight="false" outlineLevel="0" collapsed="false">
      <c r="A1134" s="30"/>
      <c r="B1134" s="25"/>
      <c r="C1134" s="25"/>
      <c r="D1134" s="25"/>
      <c r="E1134" s="25"/>
      <c r="F1134" s="25"/>
      <c r="G1134" s="25"/>
      <c r="H1134" s="31"/>
      <c r="I1134" s="32"/>
      <c r="J1134" s="33"/>
      <c r="K1134" s="34" t="str">
        <f aca="false">IF(OR(H1134="",I1134=""),"",H1134*I1134*(1-N(J1134)))</f>
        <v/>
      </c>
      <c r="L1134" s="32"/>
      <c r="M1134" s="34" t="str">
        <f aca="false">IF(OR(H1134="",L1134=""),"",H1134*L1134)</f>
        <v/>
      </c>
      <c r="N1134" s="34" t="str">
        <f aca="false">IF(OR(K1134="",M1134=""),"",K1134-M1134)</f>
        <v/>
      </c>
      <c r="O1134" s="35" t="str">
        <f aca="false">IF(OR(N1134="",K1134=""),"",IF(K1134=0,"",N1134/K1134))</f>
        <v/>
      </c>
      <c r="P1134" s="25"/>
      <c r="Q1134" s="25"/>
      <c r="R1134" s="25"/>
      <c r="S1134" s="36" t="str">
        <f aca="false">IF(A1134="","",YEAR(A1134)+IF(AND(FYStart&gt;1,MONTH(A1134)&gt;=FYStart),1,0))</f>
        <v/>
      </c>
      <c r="T1134" s="36" t="str">
        <f aca="false">IF(A1134="","",MOD(MONTH(A1134)-FYStart,12)+1)</f>
        <v/>
      </c>
      <c r="U1134" s="37" t="str">
        <f aca="false">IF(A1134="","",TEXT(A1134,"mmm"))</f>
        <v/>
      </c>
      <c r="V1134" s="37" t="str">
        <f aca="false">IF(Q1134="","",IFERROR(INDEX(Settings!$I$11:$I$15,MATCH(Q1134,Settings!$H$11:$H$15,0)),"No"))</f>
        <v/>
      </c>
      <c r="W1134" s="37" t="str">
        <f aca="false">IF(Q1134="","",IFERROR(INDEX(Settings!$J$11:$J$15,MATCH(Q1134,Settings!$H$11:$H$15,0)),"No"))</f>
        <v/>
      </c>
    </row>
    <row r="1135" customFormat="false" ht="15" hidden="false" customHeight="false" outlineLevel="0" collapsed="false">
      <c r="A1135" s="30"/>
      <c r="B1135" s="25"/>
      <c r="C1135" s="25"/>
      <c r="D1135" s="25"/>
      <c r="E1135" s="25"/>
      <c r="F1135" s="25"/>
      <c r="G1135" s="25"/>
      <c r="H1135" s="31"/>
      <c r="I1135" s="32"/>
      <c r="J1135" s="33"/>
      <c r="K1135" s="34" t="str">
        <f aca="false">IF(OR(H1135="",I1135=""),"",H1135*I1135*(1-N(J1135)))</f>
        <v/>
      </c>
      <c r="L1135" s="32"/>
      <c r="M1135" s="34" t="str">
        <f aca="false">IF(OR(H1135="",L1135=""),"",H1135*L1135)</f>
        <v/>
      </c>
      <c r="N1135" s="34" t="str">
        <f aca="false">IF(OR(K1135="",M1135=""),"",K1135-M1135)</f>
        <v/>
      </c>
      <c r="O1135" s="35" t="str">
        <f aca="false">IF(OR(N1135="",K1135=""),"",IF(K1135=0,"",N1135/K1135))</f>
        <v/>
      </c>
      <c r="P1135" s="25"/>
      <c r="Q1135" s="25"/>
      <c r="R1135" s="25"/>
      <c r="S1135" s="36" t="str">
        <f aca="false">IF(A1135="","",YEAR(A1135)+IF(AND(FYStart&gt;1,MONTH(A1135)&gt;=FYStart),1,0))</f>
        <v/>
      </c>
      <c r="T1135" s="36" t="str">
        <f aca="false">IF(A1135="","",MOD(MONTH(A1135)-FYStart,12)+1)</f>
        <v/>
      </c>
      <c r="U1135" s="37" t="str">
        <f aca="false">IF(A1135="","",TEXT(A1135,"mmm"))</f>
        <v/>
      </c>
      <c r="V1135" s="37" t="str">
        <f aca="false">IF(Q1135="","",IFERROR(INDEX(Settings!$I$11:$I$15,MATCH(Q1135,Settings!$H$11:$H$15,0)),"No"))</f>
        <v/>
      </c>
      <c r="W1135" s="37" t="str">
        <f aca="false">IF(Q1135="","",IFERROR(INDEX(Settings!$J$11:$J$15,MATCH(Q1135,Settings!$H$11:$H$15,0)),"No"))</f>
        <v/>
      </c>
    </row>
    <row r="1136" customFormat="false" ht="15" hidden="false" customHeight="false" outlineLevel="0" collapsed="false">
      <c r="A1136" s="30"/>
      <c r="B1136" s="25"/>
      <c r="C1136" s="25"/>
      <c r="D1136" s="25"/>
      <c r="E1136" s="25"/>
      <c r="F1136" s="25"/>
      <c r="G1136" s="25"/>
      <c r="H1136" s="31"/>
      <c r="I1136" s="32"/>
      <c r="J1136" s="33"/>
      <c r="K1136" s="34" t="str">
        <f aca="false">IF(OR(H1136="",I1136=""),"",H1136*I1136*(1-N(J1136)))</f>
        <v/>
      </c>
      <c r="L1136" s="32"/>
      <c r="M1136" s="34" t="str">
        <f aca="false">IF(OR(H1136="",L1136=""),"",H1136*L1136)</f>
        <v/>
      </c>
      <c r="N1136" s="34" t="str">
        <f aca="false">IF(OR(K1136="",M1136=""),"",K1136-M1136)</f>
        <v/>
      </c>
      <c r="O1136" s="35" t="str">
        <f aca="false">IF(OR(N1136="",K1136=""),"",IF(K1136=0,"",N1136/K1136))</f>
        <v/>
      </c>
      <c r="P1136" s="25"/>
      <c r="Q1136" s="25"/>
      <c r="R1136" s="25"/>
      <c r="S1136" s="36" t="str">
        <f aca="false">IF(A1136="","",YEAR(A1136)+IF(AND(FYStart&gt;1,MONTH(A1136)&gt;=FYStart),1,0))</f>
        <v/>
      </c>
      <c r="T1136" s="36" t="str">
        <f aca="false">IF(A1136="","",MOD(MONTH(A1136)-FYStart,12)+1)</f>
        <v/>
      </c>
      <c r="U1136" s="37" t="str">
        <f aca="false">IF(A1136="","",TEXT(A1136,"mmm"))</f>
        <v/>
      </c>
      <c r="V1136" s="37" t="str">
        <f aca="false">IF(Q1136="","",IFERROR(INDEX(Settings!$I$11:$I$15,MATCH(Q1136,Settings!$H$11:$H$15,0)),"No"))</f>
        <v/>
      </c>
      <c r="W1136" s="37" t="str">
        <f aca="false">IF(Q1136="","",IFERROR(INDEX(Settings!$J$11:$J$15,MATCH(Q1136,Settings!$H$11:$H$15,0)),"No"))</f>
        <v/>
      </c>
    </row>
    <row r="1137" customFormat="false" ht="15" hidden="false" customHeight="false" outlineLevel="0" collapsed="false">
      <c r="A1137" s="30"/>
      <c r="B1137" s="25"/>
      <c r="C1137" s="25"/>
      <c r="D1137" s="25"/>
      <c r="E1137" s="25"/>
      <c r="F1137" s="25"/>
      <c r="G1137" s="25"/>
      <c r="H1137" s="31"/>
      <c r="I1137" s="32"/>
      <c r="J1137" s="33"/>
      <c r="K1137" s="34" t="str">
        <f aca="false">IF(OR(H1137="",I1137=""),"",H1137*I1137*(1-N(J1137)))</f>
        <v/>
      </c>
      <c r="L1137" s="32"/>
      <c r="M1137" s="34" t="str">
        <f aca="false">IF(OR(H1137="",L1137=""),"",H1137*L1137)</f>
        <v/>
      </c>
      <c r="N1137" s="34" t="str">
        <f aca="false">IF(OR(K1137="",M1137=""),"",K1137-M1137)</f>
        <v/>
      </c>
      <c r="O1137" s="35" t="str">
        <f aca="false">IF(OR(N1137="",K1137=""),"",IF(K1137=0,"",N1137/K1137))</f>
        <v/>
      </c>
      <c r="P1137" s="25"/>
      <c r="Q1137" s="25"/>
      <c r="R1137" s="25"/>
      <c r="S1137" s="36" t="str">
        <f aca="false">IF(A1137="","",YEAR(A1137)+IF(AND(FYStart&gt;1,MONTH(A1137)&gt;=FYStart),1,0))</f>
        <v/>
      </c>
      <c r="T1137" s="36" t="str">
        <f aca="false">IF(A1137="","",MOD(MONTH(A1137)-FYStart,12)+1)</f>
        <v/>
      </c>
      <c r="U1137" s="37" t="str">
        <f aca="false">IF(A1137="","",TEXT(A1137,"mmm"))</f>
        <v/>
      </c>
      <c r="V1137" s="37" t="str">
        <f aca="false">IF(Q1137="","",IFERROR(INDEX(Settings!$I$11:$I$15,MATCH(Q1137,Settings!$H$11:$H$15,0)),"No"))</f>
        <v/>
      </c>
      <c r="W1137" s="37" t="str">
        <f aca="false">IF(Q1137="","",IFERROR(INDEX(Settings!$J$11:$J$15,MATCH(Q1137,Settings!$H$11:$H$15,0)),"No"))</f>
        <v/>
      </c>
    </row>
    <row r="1138" customFormat="false" ht="15" hidden="false" customHeight="false" outlineLevel="0" collapsed="false">
      <c r="A1138" s="30"/>
      <c r="B1138" s="25"/>
      <c r="C1138" s="25"/>
      <c r="D1138" s="25"/>
      <c r="E1138" s="25"/>
      <c r="F1138" s="25"/>
      <c r="G1138" s="25"/>
      <c r="H1138" s="31"/>
      <c r="I1138" s="32"/>
      <c r="J1138" s="33"/>
      <c r="K1138" s="34" t="str">
        <f aca="false">IF(OR(H1138="",I1138=""),"",H1138*I1138*(1-N(J1138)))</f>
        <v/>
      </c>
      <c r="L1138" s="32"/>
      <c r="M1138" s="34" t="str">
        <f aca="false">IF(OR(H1138="",L1138=""),"",H1138*L1138)</f>
        <v/>
      </c>
      <c r="N1138" s="34" t="str">
        <f aca="false">IF(OR(K1138="",M1138=""),"",K1138-M1138)</f>
        <v/>
      </c>
      <c r="O1138" s="35" t="str">
        <f aca="false">IF(OR(N1138="",K1138=""),"",IF(K1138=0,"",N1138/K1138))</f>
        <v/>
      </c>
      <c r="P1138" s="25"/>
      <c r="Q1138" s="25"/>
      <c r="R1138" s="25"/>
      <c r="S1138" s="36" t="str">
        <f aca="false">IF(A1138="","",YEAR(A1138)+IF(AND(FYStart&gt;1,MONTH(A1138)&gt;=FYStart),1,0))</f>
        <v/>
      </c>
      <c r="T1138" s="36" t="str">
        <f aca="false">IF(A1138="","",MOD(MONTH(A1138)-FYStart,12)+1)</f>
        <v/>
      </c>
      <c r="U1138" s="37" t="str">
        <f aca="false">IF(A1138="","",TEXT(A1138,"mmm"))</f>
        <v/>
      </c>
      <c r="V1138" s="37" t="str">
        <f aca="false">IF(Q1138="","",IFERROR(INDEX(Settings!$I$11:$I$15,MATCH(Q1138,Settings!$H$11:$H$15,0)),"No"))</f>
        <v/>
      </c>
      <c r="W1138" s="37" t="str">
        <f aca="false">IF(Q1138="","",IFERROR(INDEX(Settings!$J$11:$J$15,MATCH(Q1138,Settings!$H$11:$H$15,0)),"No"))</f>
        <v/>
      </c>
    </row>
    <row r="1139" customFormat="false" ht="15" hidden="false" customHeight="false" outlineLevel="0" collapsed="false">
      <c r="A1139" s="30"/>
      <c r="B1139" s="25"/>
      <c r="C1139" s="25"/>
      <c r="D1139" s="25"/>
      <c r="E1139" s="25"/>
      <c r="F1139" s="25"/>
      <c r="G1139" s="25"/>
      <c r="H1139" s="31"/>
      <c r="I1139" s="32"/>
      <c r="J1139" s="33"/>
      <c r="K1139" s="34" t="str">
        <f aca="false">IF(OR(H1139="",I1139=""),"",H1139*I1139*(1-N(J1139)))</f>
        <v/>
      </c>
      <c r="L1139" s="32"/>
      <c r="M1139" s="34" t="str">
        <f aca="false">IF(OR(H1139="",L1139=""),"",H1139*L1139)</f>
        <v/>
      </c>
      <c r="N1139" s="34" t="str">
        <f aca="false">IF(OR(K1139="",M1139=""),"",K1139-M1139)</f>
        <v/>
      </c>
      <c r="O1139" s="35" t="str">
        <f aca="false">IF(OR(N1139="",K1139=""),"",IF(K1139=0,"",N1139/K1139))</f>
        <v/>
      </c>
      <c r="P1139" s="25"/>
      <c r="Q1139" s="25"/>
      <c r="R1139" s="25"/>
      <c r="S1139" s="36" t="str">
        <f aca="false">IF(A1139="","",YEAR(A1139)+IF(AND(FYStart&gt;1,MONTH(A1139)&gt;=FYStart),1,0))</f>
        <v/>
      </c>
      <c r="T1139" s="36" t="str">
        <f aca="false">IF(A1139="","",MOD(MONTH(A1139)-FYStart,12)+1)</f>
        <v/>
      </c>
      <c r="U1139" s="37" t="str">
        <f aca="false">IF(A1139="","",TEXT(A1139,"mmm"))</f>
        <v/>
      </c>
      <c r="V1139" s="37" t="str">
        <f aca="false">IF(Q1139="","",IFERROR(INDEX(Settings!$I$11:$I$15,MATCH(Q1139,Settings!$H$11:$H$15,0)),"No"))</f>
        <v/>
      </c>
      <c r="W1139" s="37" t="str">
        <f aca="false">IF(Q1139="","",IFERROR(INDEX(Settings!$J$11:$J$15,MATCH(Q1139,Settings!$H$11:$H$15,0)),"No"))</f>
        <v/>
      </c>
    </row>
    <row r="1140" customFormat="false" ht="15" hidden="false" customHeight="false" outlineLevel="0" collapsed="false">
      <c r="A1140" s="30"/>
      <c r="B1140" s="25"/>
      <c r="C1140" s="25"/>
      <c r="D1140" s="25"/>
      <c r="E1140" s="25"/>
      <c r="F1140" s="25"/>
      <c r="G1140" s="25"/>
      <c r="H1140" s="31"/>
      <c r="I1140" s="32"/>
      <c r="J1140" s="33"/>
      <c r="K1140" s="34" t="str">
        <f aca="false">IF(OR(H1140="",I1140=""),"",H1140*I1140*(1-N(J1140)))</f>
        <v/>
      </c>
      <c r="L1140" s="32"/>
      <c r="M1140" s="34" t="str">
        <f aca="false">IF(OR(H1140="",L1140=""),"",H1140*L1140)</f>
        <v/>
      </c>
      <c r="N1140" s="34" t="str">
        <f aca="false">IF(OR(K1140="",M1140=""),"",K1140-M1140)</f>
        <v/>
      </c>
      <c r="O1140" s="35" t="str">
        <f aca="false">IF(OR(N1140="",K1140=""),"",IF(K1140=0,"",N1140/K1140))</f>
        <v/>
      </c>
      <c r="P1140" s="25"/>
      <c r="Q1140" s="25"/>
      <c r="R1140" s="25"/>
      <c r="S1140" s="36" t="str">
        <f aca="false">IF(A1140="","",YEAR(A1140)+IF(AND(FYStart&gt;1,MONTH(A1140)&gt;=FYStart),1,0))</f>
        <v/>
      </c>
      <c r="T1140" s="36" t="str">
        <f aca="false">IF(A1140="","",MOD(MONTH(A1140)-FYStart,12)+1)</f>
        <v/>
      </c>
      <c r="U1140" s="37" t="str">
        <f aca="false">IF(A1140="","",TEXT(A1140,"mmm"))</f>
        <v/>
      </c>
      <c r="V1140" s="37" t="str">
        <f aca="false">IF(Q1140="","",IFERROR(INDEX(Settings!$I$11:$I$15,MATCH(Q1140,Settings!$H$11:$H$15,0)),"No"))</f>
        <v/>
      </c>
      <c r="W1140" s="37" t="str">
        <f aca="false">IF(Q1140="","",IFERROR(INDEX(Settings!$J$11:$J$15,MATCH(Q1140,Settings!$H$11:$H$15,0)),"No"))</f>
        <v/>
      </c>
    </row>
    <row r="1141" customFormat="false" ht="15" hidden="false" customHeight="false" outlineLevel="0" collapsed="false">
      <c r="A1141" s="30"/>
      <c r="B1141" s="25"/>
      <c r="C1141" s="25"/>
      <c r="D1141" s="25"/>
      <c r="E1141" s="25"/>
      <c r="F1141" s="25"/>
      <c r="G1141" s="25"/>
      <c r="H1141" s="31"/>
      <c r="I1141" s="32"/>
      <c r="J1141" s="33"/>
      <c r="K1141" s="34" t="str">
        <f aca="false">IF(OR(H1141="",I1141=""),"",H1141*I1141*(1-N(J1141)))</f>
        <v/>
      </c>
      <c r="L1141" s="32"/>
      <c r="M1141" s="34" t="str">
        <f aca="false">IF(OR(H1141="",L1141=""),"",H1141*L1141)</f>
        <v/>
      </c>
      <c r="N1141" s="34" t="str">
        <f aca="false">IF(OR(K1141="",M1141=""),"",K1141-M1141)</f>
        <v/>
      </c>
      <c r="O1141" s="35" t="str">
        <f aca="false">IF(OR(N1141="",K1141=""),"",IF(K1141=0,"",N1141/K1141))</f>
        <v/>
      </c>
      <c r="P1141" s="25"/>
      <c r="Q1141" s="25"/>
      <c r="R1141" s="25"/>
      <c r="S1141" s="36" t="str">
        <f aca="false">IF(A1141="","",YEAR(A1141)+IF(AND(FYStart&gt;1,MONTH(A1141)&gt;=FYStart),1,0))</f>
        <v/>
      </c>
      <c r="T1141" s="36" t="str">
        <f aca="false">IF(A1141="","",MOD(MONTH(A1141)-FYStart,12)+1)</f>
        <v/>
      </c>
      <c r="U1141" s="37" t="str">
        <f aca="false">IF(A1141="","",TEXT(A1141,"mmm"))</f>
        <v/>
      </c>
      <c r="V1141" s="37" t="str">
        <f aca="false">IF(Q1141="","",IFERROR(INDEX(Settings!$I$11:$I$15,MATCH(Q1141,Settings!$H$11:$H$15,0)),"No"))</f>
        <v/>
      </c>
      <c r="W1141" s="37" t="str">
        <f aca="false">IF(Q1141="","",IFERROR(INDEX(Settings!$J$11:$J$15,MATCH(Q1141,Settings!$H$11:$H$15,0)),"No"))</f>
        <v/>
      </c>
    </row>
    <row r="1142" customFormat="false" ht="15" hidden="false" customHeight="false" outlineLevel="0" collapsed="false">
      <c r="A1142" s="30"/>
      <c r="B1142" s="25"/>
      <c r="C1142" s="25"/>
      <c r="D1142" s="25"/>
      <c r="E1142" s="25"/>
      <c r="F1142" s="25"/>
      <c r="G1142" s="25"/>
      <c r="H1142" s="31"/>
      <c r="I1142" s="32"/>
      <c r="J1142" s="33"/>
      <c r="K1142" s="34" t="str">
        <f aca="false">IF(OR(H1142="",I1142=""),"",H1142*I1142*(1-N(J1142)))</f>
        <v/>
      </c>
      <c r="L1142" s="32"/>
      <c r="M1142" s="34" t="str">
        <f aca="false">IF(OR(H1142="",L1142=""),"",H1142*L1142)</f>
        <v/>
      </c>
      <c r="N1142" s="34" t="str">
        <f aca="false">IF(OR(K1142="",M1142=""),"",K1142-M1142)</f>
        <v/>
      </c>
      <c r="O1142" s="35" t="str">
        <f aca="false">IF(OR(N1142="",K1142=""),"",IF(K1142=0,"",N1142/K1142))</f>
        <v/>
      </c>
      <c r="P1142" s="25"/>
      <c r="Q1142" s="25"/>
      <c r="R1142" s="25"/>
      <c r="S1142" s="36" t="str">
        <f aca="false">IF(A1142="","",YEAR(A1142)+IF(AND(FYStart&gt;1,MONTH(A1142)&gt;=FYStart),1,0))</f>
        <v/>
      </c>
      <c r="T1142" s="36" t="str">
        <f aca="false">IF(A1142="","",MOD(MONTH(A1142)-FYStart,12)+1)</f>
        <v/>
      </c>
      <c r="U1142" s="37" t="str">
        <f aca="false">IF(A1142="","",TEXT(A1142,"mmm"))</f>
        <v/>
      </c>
      <c r="V1142" s="37" t="str">
        <f aca="false">IF(Q1142="","",IFERROR(INDEX(Settings!$I$11:$I$15,MATCH(Q1142,Settings!$H$11:$H$15,0)),"No"))</f>
        <v/>
      </c>
      <c r="W1142" s="37" t="str">
        <f aca="false">IF(Q1142="","",IFERROR(INDEX(Settings!$J$11:$J$15,MATCH(Q1142,Settings!$H$11:$H$15,0)),"No"))</f>
        <v/>
      </c>
    </row>
    <row r="1143" customFormat="false" ht="15" hidden="false" customHeight="false" outlineLevel="0" collapsed="false">
      <c r="A1143" s="30"/>
      <c r="B1143" s="25"/>
      <c r="C1143" s="25"/>
      <c r="D1143" s="25"/>
      <c r="E1143" s="25"/>
      <c r="F1143" s="25"/>
      <c r="G1143" s="25"/>
      <c r="H1143" s="31"/>
      <c r="I1143" s="32"/>
      <c r="J1143" s="33"/>
      <c r="K1143" s="34" t="str">
        <f aca="false">IF(OR(H1143="",I1143=""),"",H1143*I1143*(1-N(J1143)))</f>
        <v/>
      </c>
      <c r="L1143" s="32"/>
      <c r="M1143" s="34" t="str">
        <f aca="false">IF(OR(H1143="",L1143=""),"",H1143*L1143)</f>
        <v/>
      </c>
      <c r="N1143" s="34" t="str">
        <f aca="false">IF(OR(K1143="",M1143=""),"",K1143-M1143)</f>
        <v/>
      </c>
      <c r="O1143" s="35" t="str">
        <f aca="false">IF(OR(N1143="",K1143=""),"",IF(K1143=0,"",N1143/K1143))</f>
        <v/>
      </c>
      <c r="P1143" s="25"/>
      <c r="Q1143" s="25"/>
      <c r="R1143" s="25"/>
      <c r="S1143" s="36" t="str">
        <f aca="false">IF(A1143="","",YEAR(A1143)+IF(AND(FYStart&gt;1,MONTH(A1143)&gt;=FYStart),1,0))</f>
        <v/>
      </c>
      <c r="T1143" s="36" t="str">
        <f aca="false">IF(A1143="","",MOD(MONTH(A1143)-FYStart,12)+1)</f>
        <v/>
      </c>
      <c r="U1143" s="37" t="str">
        <f aca="false">IF(A1143="","",TEXT(A1143,"mmm"))</f>
        <v/>
      </c>
      <c r="V1143" s="37" t="str">
        <f aca="false">IF(Q1143="","",IFERROR(INDEX(Settings!$I$11:$I$15,MATCH(Q1143,Settings!$H$11:$H$15,0)),"No"))</f>
        <v/>
      </c>
      <c r="W1143" s="37" t="str">
        <f aca="false">IF(Q1143="","",IFERROR(INDEX(Settings!$J$11:$J$15,MATCH(Q1143,Settings!$H$11:$H$15,0)),"No"))</f>
        <v/>
      </c>
    </row>
    <row r="1144" customFormat="false" ht="15" hidden="false" customHeight="false" outlineLevel="0" collapsed="false">
      <c r="A1144" s="30"/>
      <c r="B1144" s="25"/>
      <c r="C1144" s="25"/>
      <c r="D1144" s="25"/>
      <c r="E1144" s="25"/>
      <c r="F1144" s="25"/>
      <c r="G1144" s="25"/>
      <c r="H1144" s="31"/>
      <c r="I1144" s="32"/>
      <c r="J1144" s="33"/>
      <c r="K1144" s="34" t="str">
        <f aca="false">IF(OR(H1144="",I1144=""),"",H1144*I1144*(1-N(J1144)))</f>
        <v/>
      </c>
      <c r="L1144" s="32"/>
      <c r="M1144" s="34" t="str">
        <f aca="false">IF(OR(H1144="",L1144=""),"",H1144*L1144)</f>
        <v/>
      </c>
      <c r="N1144" s="34" t="str">
        <f aca="false">IF(OR(K1144="",M1144=""),"",K1144-M1144)</f>
        <v/>
      </c>
      <c r="O1144" s="35" t="str">
        <f aca="false">IF(OR(N1144="",K1144=""),"",IF(K1144=0,"",N1144/K1144))</f>
        <v/>
      </c>
      <c r="P1144" s="25"/>
      <c r="Q1144" s="25"/>
      <c r="R1144" s="25"/>
      <c r="S1144" s="36" t="str">
        <f aca="false">IF(A1144="","",YEAR(A1144)+IF(AND(FYStart&gt;1,MONTH(A1144)&gt;=FYStart),1,0))</f>
        <v/>
      </c>
      <c r="T1144" s="36" t="str">
        <f aca="false">IF(A1144="","",MOD(MONTH(A1144)-FYStart,12)+1)</f>
        <v/>
      </c>
      <c r="U1144" s="37" t="str">
        <f aca="false">IF(A1144="","",TEXT(A1144,"mmm"))</f>
        <v/>
      </c>
      <c r="V1144" s="37" t="str">
        <f aca="false">IF(Q1144="","",IFERROR(INDEX(Settings!$I$11:$I$15,MATCH(Q1144,Settings!$H$11:$H$15,0)),"No"))</f>
        <v/>
      </c>
      <c r="W1144" s="37" t="str">
        <f aca="false">IF(Q1144="","",IFERROR(INDEX(Settings!$J$11:$J$15,MATCH(Q1144,Settings!$H$11:$H$15,0)),"No"))</f>
        <v/>
      </c>
    </row>
    <row r="1145" customFormat="false" ht="15" hidden="false" customHeight="false" outlineLevel="0" collapsed="false">
      <c r="A1145" s="30"/>
      <c r="B1145" s="25"/>
      <c r="C1145" s="25"/>
      <c r="D1145" s="25"/>
      <c r="E1145" s="25"/>
      <c r="F1145" s="25"/>
      <c r="G1145" s="25"/>
      <c r="H1145" s="31"/>
      <c r="I1145" s="32"/>
      <c r="J1145" s="33"/>
      <c r="K1145" s="34" t="str">
        <f aca="false">IF(OR(H1145="",I1145=""),"",H1145*I1145*(1-N(J1145)))</f>
        <v/>
      </c>
      <c r="L1145" s="32"/>
      <c r="M1145" s="34" t="str">
        <f aca="false">IF(OR(H1145="",L1145=""),"",H1145*L1145)</f>
        <v/>
      </c>
      <c r="N1145" s="34" t="str">
        <f aca="false">IF(OR(K1145="",M1145=""),"",K1145-M1145)</f>
        <v/>
      </c>
      <c r="O1145" s="35" t="str">
        <f aca="false">IF(OR(N1145="",K1145=""),"",IF(K1145=0,"",N1145/K1145))</f>
        <v/>
      </c>
      <c r="P1145" s="25"/>
      <c r="Q1145" s="25"/>
      <c r="R1145" s="25"/>
      <c r="S1145" s="36" t="str">
        <f aca="false">IF(A1145="","",YEAR(A1145)+IF(AND(FYStart&gt;1,MONTH(A1145)&gt;=FYStart),1,0))</f>
        <v/>
      </c>
      <c r="T1145" s="36" t="str">
        <f aca="false">IF(A1145="","",MOD(MONTH(A1145)-FYStart,12)+1)</f>
        <v/>
      </c>
      <c r="U1145" s="37" t="str">
        <f aca="false">IF(A1145="","",TEXT(A1145,"mmm"))</f>
        <v/>
      </c>
      <c r="V1145" s="37" t="str">
        <f aca="false">IF(Q1145="","",IFERROR(INDEX(Settings!$I$11:$I$15,MATCH(Q1145,Settings!$H$11:$H$15,0)),"No"))</f>
        <v/>
      </c>
      <c r="W1145" s="37" t="str">
        <f aca="false">IF(Q1145="","",IFERROR(INDEX(Settings!$J$11:$J$15,MATCH(Q1145,Settings!$H$11:$H$15,0)),"No"))</f>
        <v/>
      </c>
    </row>
    <row r="1146" customFormat="false" ht="15" hidden="false" customHeight="false" outlineLevel="0" collapsed="false">
      <c r="A1146" s="30"/>
      <c r="B1146" s="25"/>
      <c r="C1146" s="25"/>
      <c r="D1146" s="25"/>
      <c r="E1146" s="25"/>
      <c r="F1146" s="25"/>
      <c r="G1146" s="25"/>
      <c r="H1146" s="31"/>
      <c r="I1146" s="32"/>
      <c r="J1146" s="33"/>
      <c r="K1146" s="34" t="str">
        <f aca="false">IF(OR(H1146="",I1146=""),"",H1146*I1146*(1-N(J1146)))</f>
        <v/>
      </c>
      <c r="L1146" s="32"/>
      <c r="M1146" s="34" t="str">
        <f aca="false">IF(OR(H1146="",L1146=""),"",H1146*L1146)</f>
        <v/>
      </c>
      <c r="N1146" s="34" t="str">
        <f aca="false">IF(OR(K1146="",M1146=""),"",K1146-M1146)</f>
        <v/>
      </c>
      <c r="O1146" s="35" t="str">
        <f aca="false">IF(OR(N1146="",K1146=""),"",IF(K1146=0,"",N1146/K1146))</f>
        <v/>
      </c>
      <c r="P1146" s="25"/>
      <c r="Q1146" s="25"/>
      <c r="R1146" s="25"/>
      <c r="S1146" s="36" t="str">
        <f aca="false">IF(A1146="","",YEAR(A1146)+IF(AND(FYStart&gt;1,MONTH(A1146)&gt;=FYStart),1,0))</f>
        <v/>
      </c>
      <c r="T1146" s="36" t="str">
        <f aca="false">IF(A1146="","",MOD(MONTH(A1146)-FYStart,12)+1)</f>
        <v/>
      </c>
      <c r="U1146" s="37" t="str">
        <f aca="false">IF(A1146="","",TEXT(A1146,"mmm"))</f>
        <v/>
      </c>
      <c r="V1146" s="37" t="str">
        <f aca="false">IF(Q1146="","",IFERROR(INDEX(Settings!$I$11:$I$15,MATCH(Q1146,Settings!$H$11:$H$15,0)),"No"))</f>
        <v/>
      </c>
      <c r="W1146" s="37" t="str">
        <f aca="false">IF(Q1146="","",IFERROR(INDEX(Settings!$J$11:$J$15,MATCH(Q1146,Settings!$H$11:$H$15,0)),"No"))</f>
        <v/>
      </c>
    </row>
    <row r="1147" customFormat="false" ht="15" hidden="false" customHeight="false" outlineLevel="0" collapsed="false">
      <c r="A1147" s="30"/>
      <c r="B1147" s="25"/>
      <c r="C1147" s="25"/>
      <c r="D1147" s="25"/>
      <c r="E1147" s="25"/>
      <c r="F1147" s="25"/>
      <c r="G1147" s="25"/>
      <c r="H1147" s="31"/>
      <c r="I1147" s="32"/>
      <c r="J1147" s="33"/>
      <c r="K1147" s="34" t="str">
        <f aca="false">IF(OR(H1147="",I1147=""),"",H1147*I1147*(1-N(J1147)))</f>
        <v/>
      </c>
      <c r="L1147" s="32"/>
      <c r="M1147" s="34" t="str">
        <f aca="false">IF(OR(H1147="",L1147=""),"",H1147*L1147)</f>
        <v/>
      </c>
      <c r="N1147" s="34" t="str">
        <f aca="false">IF(OR(K1147="",M1147=""),"",K1147-M1147)</f>
        <v/>
      </c>
      <c r="O1147" s="35" t="str">
        <f aca="false">IF(OR(N1147="",K1147=""),"",IF(K1147=0,"",N1147/K1147))</f>
        <v/>
      </c>
      <c r="P1147" s="25"/>
      <c r="Q1147" s="25"/>
      <c r="R1147" s="25"/>
      <c r="S1147" s="36" t="str">
        <f aca="false">IF(A1147="","",YEAR(A1147)+IF(AND(FYStart&gt;1,MONTH(A1147)&gt;=FYStart),1,0))</f>
        <v/>
      </c>
      <c r="T1147" s="36" t="str">
        <f aca="false">IF(A1147="","",MOD(MONTH(A1147)-FYStart,12)+1)</f>
        <v/>
      </c>
      <c r="U1147" s="37" t="str">
        <f aca="false">IF(A1147="","",TEXT(A1147,"mmm"))</f>
        <v/>
      </c>
      <c r="V1147" s="37" t="str">
        <f aca="false">IF(Q1147="","",IFERROR(INDEX(Settings!$I$11:$I$15,MATCH(Q1147,Settings!$H$11:$H$15,0)),"No"))</f>
        <v/>
      </c>
      <c r="W1147" s="37" t="str">
        <f aca="false">IF(Q1147="","",IFERROR(INDEX(Settings!$J$11:$J$15,MATCH(Q1147,Settings!$H$11:$H$15,0)),"No"))</f>
        <v/>
      </c>
    </row>
    <row r="1148" customFormat="false" ht="15" hidden="false" customHeight="false" outlineLevel="0" collapsed="false">
      <c r="A1148" s="30"/>
      <c r="B1148" s="25"/>
      <c r="C1148" s="25"/>
      <c r="D1148" s="25"/>
      <c r="E1148" s="25"/>
      <c r="F1148" s="25"/>
      <c r="G1148" s="25"/>
      <c r="H1148" s="31"/>
      <c r="I1148" s="32"/>
      <c r="J1148" s="33"/>
      <c r="K1148" s="34" t="str">
        <f aca="false">IF(OR(H1148="",I1148=""),"",H1148*I1148*(1-N(J1148)))</f>
        <v/>
      </c>
      <c r="L1148" s="32"/>
      <c r="M1148" s="34" t="str">
        <f aca="false">IF(OR(H1148="",L1148=""),"",H1148*L1148)</f>
        <v/>
      </c>
      <c r="N1148" s="34" t="str">
        <f aca="false">IF(OR(K1148="",M1148=""),"",K1148-M1148)</f>
        <v/>
      </c>
      <c r="O1148" s="35" t="str">
        <f aca="false">IF(OR(N1148="",K1148=""),"",IF(K1148=0,"",N1148/K1148))</f>
        <v/>
      </c>
      <c r="P1148" s="25"/>
      <c r="Q1148" s="25"/>
      <c r="R1148" s="25"/>
      <c r="S1148" s="36" t="str">
        <f aca="false">IF(A1148="","",YEAR(A1148)+IF(AND(FYStart&gt;1,MONTH(A1148)&gt;=FYStart),1,0))</f>
        <v/>
      </c>
      <c r="T1148" s="36" t="str">
        <f aca="false">IF(A1148="","",MOD(MONTH(A1148)-FYStart,12)+1)</f>
        <v/>
      </c>
      <c r="U1148" s="37" t="str">
        <f aca="false">IF(A1148="","",TEXT(A1148,"mmm"))</f>
        <v/>
      </c>
      <c r="V1148" s="37" t="str">
        <f aca="false">IF(Q1148="","",IFERROR(INDEX(Settings!$I$11:$I$15,MATCH(Q1148,Settings!$H$11:$H$15,0)),"No"))</f>
        <v/>
      </c>
      <c r="W1148" s="37" t="str">
        <f aca="false">IF(Q1148="","",IFERROR(INDEX(Settings!$J$11:$J$15,MATCH(Q1148,Settings!$H$11:$H$15,0)),"No"))</f>
        <v/>
      </c>
    </row>
    <row r="1149" customFormat="false" ht="15" hidden="false" customHeight="false" outlineLevel="0" collapsed="false">
      <c r="A1149" s="30"/>
      <c r="B1149" s="25"/>
      <c r="C1149" s="25"/>
      <c r="D1149" s="25"/>
      <c r="E1149" s="25"/>
      <c r="F1149" s="25"/>
      <c r="G1149" s="25"/>
      <c r="H1149" s="31"/>
      <c r="I1149" s="32"/>
      <c r="J1149" s="33"/>
      <c r="K1149" s="34" t="str">
        <f aca="false">IF(OR(H1149="",I1149=""),"",H1149*I1149*(1-N(J1149)))</f>
        <v/>
      </c>
      <c r="L1149" s="32"/>
      <c r="M1149" s="34" t="str">
        <f aca="false">IF(OR(H1149="",L1149=""),"",H1149*L1149)</f>
        <v/>
      </c>
      <c r="N1149" s="34" t="str">
        <f aca="false">IF(OR(K1149="",M1149=""),"",K1149-M1149)</f>
        <v/>
      </c>
      <c r="O1149" s="35" t="str">
        <f aca="false">IF(OR(N1149="",K1149=""),"",IF(K1149=0,"",N1149/K1149))</f>
        <v/>
      </c>
      <c r="P1149" s="25"/>
      <c r="Q1149" s="25"/>
      <c r="R1149" s="25"/>
      <c r="S1149" s="36" t="str">
        <f aca="false">IF(A1149="","",YEAR(A1149)+IF(AND(FYStart&gt;1,MONTH(A1149)&gt;=FYStart),1,0))</f>
        <v/>
      </c>
      <c r="T1149" s="36" t="str">
        <f aca="false">IF(A1149="","",MOD(MONTH(A1149)-FYStart,12)+1)</f>
        <v/>
      </c>
      <c r="U1149" s="37" t="str">
        <f aca="false">IF(A1149="","",TEXT(A1149,"mmm"))</f>
        <v/>
      </c>
      <c r="V1149" s="37" t="str">
        <f aca="false">IF(Q1149="","",IFERROR(INDEX(Settings!$I$11:$I$15,MATCH(Q1149,Settings!$H$11:$H$15,0)),"No"))</f>
        <v/>
      </c>
      <c r="W1149" s="37" t="str">
        <f aca="false">IF(Q1149="","",IFERROR(INDEX(Settings!$J$11:$J$15,MATCH(Q1149,Settings!$H$11:$H$15,0)),"No"))</f>
        <v/>
      </c>
    </row>
    <row r="1150" customFormat="false" ht="15" hidden="false" customHeight="false" outlineLevel="0" collapsed="false">
      <c r="A1150" s="30"/>
      <c r="B1150" s="25"/>
      <c r="C1150" s="25"/>
      <c r="D1150" s="25"/>
      <c r="E1150" s="25"/>
      <c r="F1150" s="25"/>
      <c r="G1150" s="25"/>
      <c r="H1150" s="31"/>
      <c r="I1150" s="32"/>
      <c r="J1150" s="33"/>
      <c r="K1150" s="34" t="str">
        <f aca="false">IF(OR(H1150="",I1150=""),"",H1150*I1150*(1-N(J1150)))</f>
        <v/>
      </c>
      <c r="L1150" s="32"/>
      <c r="M1150" s="34" t="str">
        <f aca="false">IF(OR(H1150="",L1150=""),"",H1150*L1150)</f>
        <v/>
      </c>
      <c r="N1150" s="34" t="str">
        <f aca="false">IF(OR(K1150="",M1150=""),"",K1150-M1150)</f>
        <v/>
      </c>
      <c r="O1150" s="35" t="str">
        <f aca="false">IF(OR(N1150="",K1150=""),"",IF(K1150=0,"",N1150/K1150))</f>
        <v/>
      </c>
      <c r="P1150" s="25"/>
      <c r="Q1150" s="25"/>
      <c r="R1150" s="25"/>
      <c r="S1150" s="36" t="str">
        <f aca="false">IF(A1150="","",YEAR(A1150)+IF(AND(FYStart&gt;1,MONTH(A1150)&gt;=FYStart),1,0))</f>
        <v/>
      </c>
      <c r="T1150" s="36" t="str">
        <f aca="false">IF(A1150="","",MOD(MONTH(A1150)-FYStart,12)+1)</f>
        <v/>
      </c>
      <c r="U1150" s="37" t="str">
        <f aca="false">IF(A1150="","",TEXT(A1150,"mmm"))</f>
        <v/>
      </c>
      <c r="V1150" s="37" t="str">
        <f aca="false">IF(Q1150="","",IFERROR(INDEX(Settings!$I$11:$I$15,MATCH(Q1150,Settings!$H$11:$H$15,0)),"No"))</f>
        <v/>
      </c>
      <c r="W1150" s="37" t="str">
        <f aca="false">IF(Q1150="","",IFERROR(INDEX(Settings!$J$11:$J$15,MATCH(Q1150,Settings!$H$11:$H$15,0)),"No"))</f>
        <v/>
      </c>
    </row>
    <row r="1151" customFormat="false" ht="15" hidden="false" customHeight="false" outlineLevel="0" collapsed="false">
      <c r="A1151" s="30"/>
      <c r="B1151" s="25"/>
      <c r="C1151" s="25"/>
      <c r="D1151" s="25"/>
      <c r="E1151" s="25"/>
      <c r="F1151" s="25"/>
      <c r="G1151" s="25"/>
      <c r="H1151" s="31"/>
      <c r="I1151" s="32"/>
      <c r="J1151" s="33"/>
      <c r="K1151" s="34" t="str">
        <f aca="false">IF(OR(H1151="",I1151=""),"",H1151*I1151*(1-N(J1151)))</f>
        <v/>
      </c>
      <c r="L1151" s="32"/>
      <c r="M1151" s="34" t="str">
        <f aca="false">IF(OR(H1151="",L1151=""),"",H1151*L1151)</f>
        <v/>
      </c>
      <c r="N1151" s="34" t="str">
        <f aca="false">IF(OR(K1151="",M1151=""),"",K1151-M1151)</f>
        <v/>
      </c>
      <c r="O1151" s="35" t="str">
        <f aca="false">IF(OR(N1151="",K1151=""),"",IF(K1151=0,"",N1151/K1151))</f>
        <v/>
      </c>
      <c r="P1151" s="25"/>
      <c r="Q1151" s="25"/>
      <c r="R1151" s="25"/>
      <c r="S1151" s="36" t="str">
        <f aca="false">IF(A1151="","",YEAR(A1151)+IF(AND(FYStart&gt;1,MONTH(A1151)&gt;=FYStart),1,0))</f>
        <v/>
      </c>
      <c r="T1151" s="36" t="str">
        <f aca="false">IF(A1151="","",MOD(MONTH(A1151)-FYStart,12)+1)</f>
        <v/>
      </c>
      <c r="U1151" s="37" t="str">
        <f aca="false">IF(A1151="","",TEXT(A1151,"mmm"))</f>
        <v/>
      </c>
      <c r="V1151" s="37" t="str">
        <f aca="false">IF(Q1151="","",IFERROR(INDEX(Settings!$I$11:$I$15,MATCH(Q1151,Settings!$H$11:$H$15,0)),"No"))</f>
        <v/>
      </c>
      <c r="W1151" s="37" t="str">
        <f aca="false">IF(Q1151="","",IFERROR(INDEX(Settings!$J$11:$J$15,MATCH(Q1151,Settings!$H$11:$H$15,0)),"No"))</f>
        <v/>
      </c>
    </row>
    <row r="1152" customFormat="false" ht="15" hidden="false" customHeight="false" outlineLevel="0" collapsed="false">
      <c r="A1152" s="30"/>
      <c r="B1152" s="25"/>
      <c r="C1152" s="25"/>
      <c r="D1152" s="25"/>
      <c r="E1152" s="25"/>
      <c r="F1152" s="25"/>
      <c r="G1152" s="25"/>
      <c r="H1152" s="31"/>
      <c r="I1152" s="32"/>
      <c r="J1152" s="33"/>
      <c r="K1152" s="34" t="str">
        <f aca="false">IF(OR(H1152="",I1152=""),"",H1152*I1152*(1-N(J1152)))</f>
        <v/>
      </c>
      <c r="L1152" s="32"/>
      <c r="M1152" s="34" t="str">
        <f aca="false">IF(OR(H1152="",L1152=""),"",H1152*L1152)</f>
        <v/>
      </c>
      <c r="N1152" s="34" t="str">
        <f aca="false">IF(OR(K1152="",M1152=""),"",K1152-M1152)</f>
        <v/>
      </c>
      <c r="O1152" s="35" t="str">
        <f aca="false">IF(OR(N1152="",K1152=""),"",IF(K1152=0,"",N1152/K1152))</f>
        <v/>
      </c>
      <c r="P1152" s="25"/>
      <c r="Q1152" s="25"/>
      <c r="R1152" s="25"/>
      <c r="S1152" s="36" t="str">
        <f aca="false">IF(A1152="","",YEAR(A1152)+IF(AND(FYStart&gt;1,MONTH(A1152)&gt;=FYStart),1,0))</f>
        <v/>
      </c>
      <c r="T1152" s="36" t="str">
        <f aca="false">IF(A1152="","",MOD(MONTH(A1152)-FYStart,12)+1)</f>
        <v/>
      </c>
      <c r="U1152" s="37" t="str">
        <f aca="false">IF(A1152="","",TEXT(A1152,"mmm"))</f>
        <v/>
      </c>
      <c r="V1152" s="37" t="str">
        <f aca="false">IF(Q1152="","",IFERROR(INDEX(Settings!$I$11:$I$15,MATCH(Q1152,Settings!$H$11:$H$15,0)),"No"))</f>
        <v/>
      </c>
      <c r="W1152" s="37" t="str">
        <f aca="false">IF(Q1152="","",IFERROR(INDEX(Settings!$J$11:$J$15,MATCH(Q1152,Settings!$H$11:$H$15,0)),"No"))</f>
        <v/>
      </c>
    </row>
    <row r="1153" customFormat="false" ht="15" hidden="false" customHeight="false" outlineLevel="0" collapsed="false">
      <c r="A1153" s="30"/>
      <c r="B1153" s="25"/>
      <c r="C1153" s="25"/>
      <c r="D1153" s="25"/>
      <c r="E1153" s="25"/>
      <c r="F1153" s="25"/>
      <c r="G1153" s="25"/>
      <c r="H1153" s="31"/>
      <c r="I1153" s="32"/>
      <c r="J1153" s="33"/>
      <c r="K1153" s="34" t="str">
        <f aca="false">IF(OR(H1153="",I1153=""),"",H1153*I1153*(1-N(J1153)))</f>
        <v/>
      </c>
      <c r="L1153" s="32"/>
      <c r="M1153" s="34" t="str">
        <f aca="false">IF(OR(H1153="",L1153=""),"",H1153*L1153)</f>
        <v/>
      </c>
      <c r="N1153" s="34" t="str">
        <f aca="false">IF(OR(K1153="",M1153=""),"",K1153-M1153)</f>
        <v/>
      </c>
      <c r="O1153" s="35" t="str">
        <f aca="false">IF(OR(N1153="",K1153=""),"",IF(K1153=0,"",N1153/K1153))</f>
        <v/>
      </c>
      <c r="P1153" s="25"/>
      <c r="Q1153" s="25"/>
      <c r="R1153" s="25"/>
      <c r="S1153" s="36" t="str">
        <f aca="false">IF(A1153="","",YEAR(A1153)+IF(AND(FYStart&gt;1,MONTH(A1153)&gt;=FYStart),1,0))</f>
        <v/>
      </c>
      <c r="T1153" s="36" t="str">
        <f aca="false">IF(A1153="","",MOD(MONTH(A1153)-FYStart,12)+1)</f>
        <v/>
      </c>
      <c r="U1153" s="37" t="str">
        <f aca="false">IF(A1153="","",TEXT(A1153,"mmm"))</f>
        <v/>
      </c>
      <c r="V1153" s="37" t="str">
        <f aca="false">IF(Q1153="","",IFERROR(INDEX(Settings!$I$11:$I$15,MATCH(Q1153,Settings!$H$11:$H$15,0)),"No"))</f>
        <v/>
      </c>
      <c r="W1153" s="37" t="str">
        <f aca="false">IF(Q1153="","",IFERROR(INDEX(Settings!$J$11:$J$15,MATCH(Q1153,Settings!$H$11:$H$15,0)),"No"))</f>
        <v/>
      </c>
    </row>
    <row r="1154" customFormat="false" ht="15" hidden="false" customHeight="false" outlineLevel="0" collapsed="false">
      <c r="A1154" s="30"/>
      <c r="B1154" s="25"/>
      <c r="C1154" s="25"/>
      <c r="D1154" s="25"/>
      <c r="E1154" s="25"/>
      <c r="F1154" s="25"/>
      <c r="G1154" s="25"/>
      <c r="H1154" s="31"/>
      <c r="I1154" s="32"/>
      <c r="J1154" s="33"/>
      <c r="K1154" s="34" t="str">
        <f aca="false">IF(OR(H1154="",I1154=""),"",H1154*I1154*(1-N(J1154)))</f>
        <v/>
      </c>
      <c r="L1154" s="32"/>
      <c r="M1154" s="34" t="str">
        <f aca="false">IF(OR(H1154="",L1154=""),"",H1154*L1154)</f>
        <v/>
      </c>
      <c r="N1154" s="34" t="str">
        <f aca="false">IF(OR(K1154="",M1154=""),"",K1154-M1154)</f>
        <v/>
      </c>
      <c r="O1154" s="35" t="str">
        <f aca="false">IF(OR(N1154="",K1154=""),"",IF(K1154=0,"",N1154/K1154))</f>
        <v/>
      </c>
      <c r="P1154" s="25"/>
      <c r="Q1154" s="25"/>
      <c r="R1154" s="25"/>
      <c r="S1154" s="36" t="str">
        <f aca="false">IF(A1154="","",YEAR(A1154)+IF(AND(FYStart&gt;1,MONTH(A1154)&gt;=FYStart),1,0))</f>
        <v/>
      </c>
      <c r="T1154" s="36" t="str">
        <f aca="false">IF(A1154="","",MOD(MONTH(A1154)-FYStart,12)+1)</f>
        <v/>
      </c>
      <c r="U1154" s="37" t="str">
        <f aca="false">IF(A1154="","",TEXT(A1154,"mmm"))</f>
        <v/>
      </c>
      <c r="V1154" s="37" t="str">
        <f aca="false">IF(Q1154="","",IFERROR(INDEX(Settings!$I$11:$I$15,MATCH(Q1154,Settings!$H$11:$H$15,0)),"No"))</f>
        <v/>
      </c>
      <c r="W1154" s="37" t="str">
        <f aca="false">IF(Q1154="","",IFERROR(INDEX(Settings!$J$11:$J$15,MATCH(Q1154,Settings!$H$11:$H$15,0)),"No"))</f>
        <v/>
      </c>
    </row>
    <row r="1155" customFormat="false" ht="15" hidden="false" customHeight="false" outlineLevel="0" collapsed="false">
      <c r="A1155" s="30"/>
      <c r="B1155" s="25"/>
      <c r="C1155" s="25"/>
      <c r="D1155" s="25"/>
      <c r="E1155" s="25"/>
      <c r="F1155" s="25"/>
      <c r="G1155" s="25"/>
      <c r="H1155" s="31"/>
      <c r="I1155" s="32"/>
      <c r="J1155" s="33"/>
      <c r="K1155" s="34" t="str">
        <f aca="false">IF(OR(H1155="",I1155=""),"",H1155*I1155*(1-N(J1155)))</f>
        <v/>
      </c>
      <c r="L1155" s="32"/>
      <c r="M1155" s="34" t="str">
        <f aca="false">IF(OR(H1155="",L1155=""),"",H1155*L1155)</f>
        <v/>
      </c>
      <c r="N1155" s="34" t="str">
        <f aca="false">IF(OR(K1155="",M1155=""),"",K1155-M1155)</f>
        <v/>
      </c>
      <c r="O1155" s="35" t="str">
        <f aca="false">IF(OR(N1155="",K1155=""),"",IF(K1155=0,"",N1155/K1155))</f>
        <v/>
      </c>
      <c r="P1155" s="25"/>
      <c r="Q1155" s="25"/>
      <c r="R1155" s="25"/>
      <c r="S1155" s="36" t="str">
        <f aca="false">IF(A1155="","",YEAR(A1155)+IF(AND(FYStart&gt;1,MONTH(A1155)&gt;=FYStart),1,0))</f>
        <v/>
      </c>
      <c r="T1155" s="36" t="str">
        <f aca="false">IF(A1155="","",MOD(MONTH(A1155)-FYStart,12)+1)</f>
        <v/>
      </c>
      <c r="U1155" s="37" t="str">
        <f aca="false">IF(A1155="","",TEXT(A1155,"mmm"))</f>
        <v/>
      </c>
      <c r="V1155" s="37" t="str">
        <f aca="false">IF(Q1155="","",IFERROR(INDEX(Settings!$I$11:$I$15,MATCH(Q1155,Settings!$H$11:$H$15,0)),"No"))</f>
        <v/>
      </c>
      <c r="W1155" s="37" t="str">
        <f aca="false">IF(Q1155="","",IFERROR(INDEX(Settings!$J$11:$J$15,MATCH(Q1155,Settings!$H$11:$H$15,0)),"No"))</f>
        <v/>
      </c>
    </row>
    <row r="1156" customFormat="false" ht="15" hidden="false" customHeight="false" outlineLevel="0" collapsed="false">
      <c r="A1156" s="30"/>
      <c r="B1156" s="25"/>
      <c r="C1156" s="25"/>
      <c r="D1156" s="25"/>
      <c r="E1156" s="25"/>
      <c r="F1156" s="25"/>
      <c r="G1156" s="25"/>
      <c r="H1156" s="31"/>
      <c r="I1156" s="32"/>
      <c r="J1156" s="33"/>
      <c r="K1156" s="34" t="str">
        <f aca="false">IF(OR(H1156="",I1156=""),"",H1156*I1156*(1-N(J1156)))</f>
        <v/>
      </c>
      <c r="L1156" s="32"/>
      <c r="M1156" s="34" t="str">
        <f aca="false">IF(OR(H1156="",L1156=""),"",H1156*L1156)</f>
        <v/>
      </c>
      <c r="N1156" s="34" t="str">
        <f aca="false">IF(OR(K1156="",M1156=""),"",K1156-M1156)</f>
        <v/>
      </c>
      <c r="O1156" s="35" t="str">
        <f aca="false">IF(OR(N1156="",K1156=""),"",IF(K1156=0,"",N1156/K1156))</f>
        <v/>
      </c>
      <c r="P1156" s="25"/>
      <c r="Q1156" s="25"/>
      <c r="R1156" s="25"/>
      <c r="S1156" s="36" t="str">
        <f aca="false">IF(A1156="","",YEAR(A1156)+IF(AND(FYStart&gt;1,MONTH(A1156)&gt;=FYStart),1,0))</f>
        <v/>
      </c>
      <c r="T1156" s="36" t="str">
        <f aca="false">IF(A1156="","",MOD(MONTH(A1156)-FYStart,12)+1)</f>
        <v/>
      </c>
      <c r="U1156" s="37" t="str">
        <f aca="false">IF(A1156="","",TEXT(A1156,"mmm"))</f>
        <v/>
      </c>
      <c r="V1156" s="37" t="str">
        <f aca="false">IF(Q1156="","",IFERROR(INDEX(Settings!$I$11:$I$15,MATCH(Q1156,Settings!$H$11:$H$15,0)),"No"))</f>
        <v/>
      </c>
      <c r="W1156" s="37" t="str">
        <f aca="false">IF(Q1156="","",IFERROR(INDEX(Settings!$J$11:$J$15,MATCH(Q1156,Settings!$H$11:$H$15,0)),"No"))</f>
        <v/>
      </c>
    </row>
    <row r="1157" customFormat="false" ht="15" hidden="false" customHeight="false" outlineLevel="0" collapsed="false">
      <c r="A1157" s="30"/>
      <c r="B1157" s="25"/>
      <c r="C1157" s="25"/>
      <c r="D1157" s="25"/>
      <c r="E1157" s="25"/>
      <c r="F1157" s="25"/>
      <c r="G1157" s="25"/>
      <c r="H1157" s="31"/>
      <c r="I1157" s="32"/>
      <c r="J1157" s="33"/>
      <c r="K1157" s="34" t="str">
        <f aca="false">IF(OR(H1157="",I1157=""),"",H1157*I1157*(1-N(J1157)))</f>
        <v/>
      </c>
      <c r="L1157" s="32"/>
      <c r="M1157" s="34" t="str">
        <f aca="false">IF(OR(H1157="",L1157=""),"",H1157*L1157)</f>
        <v/>
      </c>
      <c r="N1157" s="34" t="str">
        <f aca="false">IF(OR(K1157="",M1157=""),"",K1157-M1157)</f>
        <v/>
      </c>
      <c r="O1157" s="35" t="str">
        <f aca="false">IF(OR(N1157="",K1157=""),"",IF(K1157=0,"",N1157/K1157))</f>
        <v/>
      </c>
      <c r="P1157" s="25"/>
      <c r="Q1157" s="25"/>
      <c r="R1157" s="25"/>
      <c r="S1157" s="36" t="str">
        <f aca="false">IF(A1157="","",YEAR(A1157)+IF(AND(FYStart&gt;1,MONTH(A1157)&gt;=FYStart),1,0))</f>
        <v/>
      </c>
      <c r="T1157" s="36" t="str">
        <f aca="false">IF(A1157="","",MOD(MONTH(A1157)-FYStart,12)+1)</f>
        <v/>
      </c>
      <c r="U1157" s="37" t="str">
        <f aca="false">IF(A1157="","",TEXT(A1157,"mmm"))</f>
        <v/>
      </c>
      <c r="V1157" s="37" t="str">
        <f aca="false">IF(Q1157="","",IFERROR(INDEX(Settings!$I$11:$I$15,MATCH(Q1157,Settings!$H$11:$H$15,0)),"No"))</f>
        <v/>
      </c>
      <c r="W1157" s="37" t="str">
        <f aca="false">IF(Q1157="","",IFERROR(INDEX(Settings!$J$11:$J$15,MATCH(Q1157,Settings!$H$11:$H$15,0)),"No"))</f>
        <v/>
      </c>
    </row>
    <row r="1158" customFormat="false" ht="15" hidden="false" customHeight="false" outlineLevel="0" collapsed="false">
      <c r="A1158" s="30"/>
      <c r="B1158" s="25"/>
      <c r="C1158" s="25"/>
      <c r="D1158" s="25"/>
      <c r="E1158" s="25"/>
      <c r="F1158" s="25"/>
      <c r="G1158" s="25"/>
      <c r="H1158" s="31"/>
      <c r="I1158" s="32"/>
      <c r="J1158" s="33"/>
      <c r="K1158" s="34" t="str">
        <f aca="false">IF(OR(H1158="",I1158=""),"",H1158*I1158*(1-N(J1158)))</f>
        <v/>
      </c>
      <c r="L1158" s="32"/>
      <c r="M1158" s="34" t="str">
        <f aca="false">IF(OR(H1158="",L1158=""),"",H1158*L1158)</f>
        <v/>
      </c>
      <c r="N1158" s="34" t="str">
        <f aca="false">IF(OR(K1158="",M1158=""),"",K1158-M1158)</f>
        <v/>
      </c>
      <c r="O1158" s="35" t="str">
        <f aca="false">IF(OR(N1158="",K1158=""),"",IF(K1158=0,"",N1158/K1158))</f>
        <v/>
      </c>
      <c r="P1158" s="25"/>
      <c r="Q1158" s="25"/>
      <c r="R1158" s="25"/>
      <c r="S1158" s="36" t="str">
        <f aca="false">IF(A1158="","",YEAR(A1158)+IF(AND(FYStart&gt;1,MONTH(A1158)&gt;=FYStart),1,0))</f>
        <v/>
      </c>
      <c r="T1158" s="36" t="str">
        <f aca="false">IF(A1158="","",MOD(MONTH(A1158)-FYStart,12)+1)</f>
        <v/>
      </c>
      <c r="U1158" s="37" t="str">
        <f aca="false">IF(A1158="","",TEXT(A1158,"mmm"))</f>
        <v/>
      </c>
      <c r="V1158" s="37" t="str">
        <f aca="false">IF(Q1158="","",IFERROR(INDEX(Settings!$I$11:$I$15,MATCH(Q1158,Settings!$H$11:$H$15,0)),"No"))</f>
        <v/>
      </c>
      <c r="W1158" s="37" t="str">
        <f aca="false">IF(Q1158="","",IFERROR(INDEX(Settings!$J$11:$J$15,MATCH(Q1158,Settings!$H$11:$H$15,0)),"No"))</f>
        <v/>
      </c>
    </row>
    <row r="1159" customFormat="false" ht="15" hidden="false" customHeight="false" outlineLevel="0" collapsed="false">
      <c r="A1159" s="30"/>
      <c r="B1159" s="25"/>
      <c r="C1159" s="25"/>
      <c r="D1159" s="25"/>
      <c r="E1159" s="25"/>
      <c r="F1159" s="25"/>
      <c r="G1159" s="25"/>
      <c r="H1159" s="31"/>
      <c r="I1159" s="32"/>
      <c r="J1159" s="33"/>
      <c r="K1159" s="34" t="str">
        <f aca="false">IF(OR(H1159="",I1159=""),"",H1159*I1159*(1-N(J1159)))</f>
        <v/>
      </c>
      <c r="L1159" s="32"/>
      <c r="M1159" s="34" t="str">
        <f aca="false">IF(OR(H1159="",L1159=""),"",H1159*L1159)</f>
        <v/>
      </c>
      <c r="N1159" s="34" t="str">
        <f aca="false">IF(OR(K1159="",M1159=""),"",K1159-M1159)</f>
        <v/>
      </c>
      <c r="O1159" s="35" t="str">
        <f aca="false">IF(OR(N1159="",K1159=""),"",IF(K1159=0,"",N1159/K1159))</f>
        <v/>
      </c>
      <c r="P1159" s="25"/>
      <c r="Q1159" s="25"/>
      <c r="R1159" s="25"/>
      <c r="S1159" s="36" t="str">
        <f aca="false">IF(A1159="","",YEAR(A1159)+IF(AND(FYStart&gt;1,MONTH(A1159)&gt;=FYStart),1,0))</f>
        <v/>
      </c>
      <c r="T1159" s="36" t="str">
        <f aca="false">IF(A1159="","",MOD(MONTH(A1159)-FYStart,12)+1)</f>
        <v/>
      </c>
      <c r="U1159" s="37" t="str">
        <f aca="false">IF(A1159="","",TEXT(A1159,"mmm"))</f>
        <v/>
      </c>
      <c r="V1159" s="37" t="str">
        <f aca="false">IF(Q1159="","",IFERROR(INDEX(Settings!$I$11:$I$15,MATCH(Q1159,Settings!$H$11:$H$15,0)),"No"))</f>
        <v/>
      </c>
      <c r="W1159" s="37" t="str">
        <f aca="false">IF(Q1159="","",IFERROR(INDEX(Settings!$J$11:$J$15,MATCH(Q1159,Settings!$H$11:$H$15,0)),"No"))</f>
        <v/>
      </c>
    </row>
    <row r="1160" customFormat="false" ht="15" hidden="false" customHeight="false" outlineLevel="0" collapsed="false">
      <c r="A1160" s="30"/>
      <c r="B1160" s="25"/>
      <c r="C1160" s="25"/>
      <c r="D1160" s="25"/>
      <c r="E1160" s="25"/>
      <c r="F1160" s="25"/>
      <c r="G1160" s="25"/>
      <c r="H1160" s="31"/>
      <c r="I1160" s="32"/>
      <c r="J1160" s="33"/>
      <c r="K1160" s="34" t="str">
        <f aca="false">IF(OR(H1160="",I1160=""),"",H1160*I1160*(1-N(J1160)))</f>
        <v/>
      </c>
      <c r="L1160" s="32"/>
      <c r="M1160" s="34" t="str">
        <f aca="false">IF(OR(H1160="",L1160=""),"",H1160*L1160)</f>
        <v/>
      </c>
      <c r="N1160" s="34" t="str">
        <f aca="false">IF(OR(K1160="",M1160=""),"",K1160-M1160)</f>
        <v/>
      </c>
      <c r="O1160" s="35" t="str">
        <f aca="false">IF(OR(N1160="",K1160=""),"",IF(K1160=0,"",N1160/K1160))</f>
        <v/>
      </c>
      <c r="P1160" s="25"/>
      <c r="Q1160" s="25"/>
      <c r="R1160" s="25"/>
      <c r="S1160" s="36" t="str">
        <f aca="false">IF(A1160="","",YEAR(A1160)+IF(AND(FYStart&gt;1,MONTH(A1160)&gt;=FYStart),1,0))</f>
        <v/>
      </c>
      <c r="T1160" s="36" t="str">
        <f aca="false">IF(A1160="","",MOD(MONTH(A1160)-FYStart,12)+1)</f>
        <v/>
      </c>
      <c r="U1160" s="37" t="str">
        <f aca="false">IF(A1160="","",TEXT(A1160,"mmm"))</f>
        <v/>
      </c>
      <c r="V1160" s="37" t="str">
        <f aca="false">IF(Q1160="","",IFERROR(INDEX(Settings!$I$11:$I$15,MATCH(Q1160,Settings!$H$11:$H$15,0)),"No"))</f>
        <v/>
      </c>
      <c r="W1160" s="37" t="str">
        <f aca="false">IF(Q1160="","",IFERROR(INDEX(Settings!$J$11:$J$15,MATCH(Q1160,Settings!$H$11:$H$15,0)),"No"))</f>
        <v/>
      </c>
    </row>
    <row r="1161" customFormat="false" ht="15" hidden="false" customHeight="false" outlineLevel="0" collapsed="false">
      <c r="A1161" s="30"/>
      <c r="B1161" s="25"/>
      <c r="C1161" s="25"/>
      <c r="D1161" s="25"/>
      <c r="E1161" s="25"/>
      <c r="F1161" s="25"/>
      <c r="G1161" s="25"/>
      <c r="H1161" s="31"/>
      <c r="I1161" s="32"/>
      <c r="J1161" s="33"/>
      <c r="K1161" s="34" t="str">
        <f aca="false">IF(OR(H1161="",I1161=""),"",H1161*I1161*(1-N(J1161)))</f>
        <v/>
      </c>
      <c r="L1161" s="32"/>
      <c r="M1161" s="34" t="str">
        <f aca="false">IF(OR(H1161="",L1161=""),"",H1161*L1161)</f>
        <v/>
      </c>
      <c r="N1161" s="34" t="str">
        <f aca="false">IF(OR(K1161="",M1161=""),"",K1161-M1161)</f>
        <v/>
      </c>
      <c r="O1161" s="35" t="str">
        <f aca="false">IF(OR(N1161="",K1161=""),"",IF(K1161=0,"",N1161/K1161))</f>
        <v/>
      </c>
      <c r="P1161" s="25"/>
      <c r="Q1161" s="25"/>
      <c r="R1161" s="25"/>
      <c r="S1161" s="36" t="str">
        <f aca="false">IF(A1161="","",YEAR(A1161)+IF(AND(FYStart&gt;1,MONTH(A1161)&gt;=FYStart),1,0))</f>
        <v/>
      </c>
      <c r="T1161" s="36" t="str">
        <f aca="false">IF(A1161="","",MOD(MONTH(A1161)-FYStart,12)+1)</f>
        <v/>
      </c>
      <c r="U1161" s="37" t="str">
        <f aca="false">IF(A1161="","",TEXT(A1161,"mmm"))</f>
        <v/>
      </c>
      <c r="V1161" s="37" t="str">
        <f aca="false">IF(Q1161="","",IFERROR(INDEX(Settings!$I$11:$I$15,MATCH(Q1161,Settings!$H$11:$H$15,0)),"No"))</f>
        <v/>
      </c>
      <c r="W1161" s="37" t="str">
        <f aca="false">IF(Q1161="","",IFERROR(INDEX(Settings!$J$11:$J$15,MATCH(Q1161,Settings!$H$11:$H$15,0)),"No"))</f>
        <v/>
      </c>
    </row>
    <row r="1162" customFormat="false" ht="15" hidden="false" customHeight="false" outlineLevel="0" collapsed="false">
      <c r="A1162" s="30"/>
      <c r="B1162" s="25"/>
      <c r="C1162" s="25"/>
      <c r="D1162" s="25"/>
      <c r="E1162" s="25"/>
      <c r="F1162" s="25"/>
      <c r="G1162" s="25"/>
      <c r="H1162" s="31"/>
      <c r="I1162" s="32"/>
      <c r="J1162" s="33"/>
      <c r="K1162" s="34" t="str">
        <f aca="false">IF(OR(H1162="",I1162=""),"",H1162*I1162*(1-N(J1162)))</f>
        <v/>
      </c>
      <c r="L1162" s="32"/>
      <c r="M1162" s="34" t="str">
        <f aca="false">IF(OR(H1162="",L1162=""),"",H1162*L1162)</f>
        <v/>
      </c>
      <c r="N1162" s="34" t="str">
        <f aca="false">IF(OR(K1162="",M1162=""),"",K1162-M1162)</f>
        <v/>
      </c>
      <c r="O1162" s="35" t="str">
        <f aca="false">IF(OR(N1162="",K1162=""),"",IF(K1162=0,"",N1162/K1162))</f>
        <v/>
      </c>
      <c r="P1162" s="25"/>
      <c r="Q1162" s="25"/>
      <c r="R1162" s="25"/>
      <c r="S1162" s="36" t="str">
        <f aca="false">IF(A1162="","",YEAR(A1162)+IF(AND(FYStart&gt;1,MONTH(A1162)&gt;=FYStart),1,0))</f>
        <v/>
      </c>
      <c r="T1162" s="36" t="str">
        <f aca="false">IF(A1162="","",MOD(MONTH(A1162)-FYStart,12)+1)</f>
        <v/>
      </c>
      <c r="U1162" s="37" t="str">
        <f aca="false">IF(A1162="","",TEXT(A1162,"mmm"))</f>
        <v/>
      </c>
      <c r="V1162" s="37" t="str">
        <f aca="false">IF(Q1162="","",IFERROR(INDEX(Settings!$I$11:$I$15,MATCH(Q1162,Settings!$H$11:$H$15,0)),"No"))</f>
        <v/>
      </c>
      <c r="W1162" s="37" t="str">
        <f aca="false">IF(Q1162="","",IFERROR(INDEX(Settings!$J$11:$J$15,MATCH(Q1162,Settings!$H$11:$H$15,0)),"No"))</f>
        <v/>
      </c>
    </row>
    <row r="1163" customFormat="false" ht="15" hidden="false" customHeight="false" outlineLevel="0" collapsed="false">
      <c r="A1163" s="30"/>
      <c r="B1163" s="25"/>
      <c r="C1163" s="25"/>
      <c r="D1163" s="25"/>
      <c r="E1163" s="25"/>
      <c r="F1163" s="25"/>
      <c r="G1163" s="25"/>
      <c r="H1163" s="31"/>
      <c r="I1163" s="32"/>
      <c r="J1163" s="33"/>
      <c r="K1163" s="34" t="str">
        <f aca="false">IF(OR(H1163="",I1163=""),"",H1163*I1163*(1-N(J1163)))</f>
        <v/>
      </c>
      <c r="L1163" s="32"/>
      <c r="M1163" s="34" t="str">
        <f aca="false">IF(OR(H1163="",L1163=""),"",H1163*L1163)</f>
        <v/>
      </c>
      <c r="N1163" s="34" t="str">
        <f aca="false">IF(OR(K1163="",M1163=""),"",K1163-M1163)</f>
        <v/>
      </c>
      <c r="O1163" s="35" t="str">
        <f aca="false">IF(OR(N1163="",K1163=""),"",IF(K1163=0,"",N1163/K1163))</f>
        <v/>
      </c>
      <c r="P1163" s="25"/>
      <c r="Q1163" s="25"/>
      <c r="R1163" s="25"/>
      <c r="S1163" s="36" t="str">
        <f aca="false">IF(A1163="","",YEAR(A1163)+IF(AND(FYStart&gt;1,MONTH(A1163)&gt;=FYStart),1,0))</f>
        <v/>
      </c>
      <c r="T1163" s="36" t="str">
        <f aca="false">IF(A1163="","",MOD(MONTH(A1163)-FYStart,12)+1)</f>
        <v/>
      </c>
      <c r="U1163" s="37" t="str">
        <f aca="false">IF(A1163="","",TEXT(A1163,"mmm"))</f>
        <v/>
      </c>
      <c r="V1163" s="37" t="str">
        <f aca="false">IF(Q1163="","",IFERROR(INDEX(Settings!$I$11:$I$15,MATCH(Q1163,Settings!$H$11:$H$15,0)),"No"))</f>
        <v/>
      </c>
      <c r="W1163" s="37" t="str">
        <f aca="false">IF(Q1163="","",IFERROR(INDEX(Settings!$J$11:$J$15,MATCH(Q1163,Settings!$H$11:$H$15,0)),"No"))</f>
        <v/>
      </c>
    </row>
    <row r="1164" customFormat="false" ht="15" hidden="false" customHeight="false" outlineLevel="0" collapsed="false">
      <c r="A1164" s="30"/>
      <c r="B1164" s="25"/>
      <c r="C1164" s="25"/>
      <c r="D1164" s="25"/>
      <c r="E1164" s="25"/>
      <c r="F1164" s="25"/>
      <c r="G1164" s="25"/>
      <c r="H1164" s="31"/>
      <c r="I1164" s="32"/>
      <c r="J1164" s="33"/>
      <c r="K1164" s="34" t="str">
        <f aca="false">IF(OR(H1164="",I1164=""),"",H1164*I1164*(1-N(J1164)))</f>
        <v/>
      </c>
      <c r="L1164" s="32"/>
      <c r="M1164" s="34" t="str">
        <f aca="false">IF(OR(H1164="",L1164=""),"",H1164*L1164)</f>
        <v/>
      </c>
      <c r="N1164" s="34" t="str">
        <f aca="false">IF(OR(K1164="",M1164=""),"",K1164-M1164)</f>
        <v/>
      </c>
      <c r="O1164" s="35" t="str">
        <f aca="false">IF(OR(N1164="",K1164=""),"",IF(K1164=0,"",N1164/K1164))</f>
        <v/>
      </c>
      <c r="P1164" s="25"/>
      <c r="Q1164" s="25"/>
      <c r="R1164" s="25"/>
      <c r="S1164" s="36" t="str">
        <f aca="false">IF(A1164="","",YEAR(A1164)+IF(AND(FYStart&gt;1,MONTH(A1164)&gt;=FYStart),1,0))</f>
        <v/>
      </c>
      <c r="T1164" s="36" t="str">
        <f aca="false">IF(A1164="","",MOD(MONTH(A1164)-FYStart,12)+1)</f>
        <v/>
      </c>
      <c r="U1164" s="37" t="str">
        <f aca="false">IF(A1164="","",TEXT(A1164,"mmm"))</f>
        <v/>
      </c>
      <c r="V1164" s="37" t="str">
        <f aca="false">IF(Q1164="","",IFERROR(INDEX(Settings!$I$11:$I$15,MATCH(Q1164,Settings!$H$11:$H$15,0)),"No"))</f>
        <v/>
      </c>
      <c r="W1164" s="37" t="str">
        <f aca="false">IF(Q1164="","",IFERROR(INDEX(Settings!$J$11:$J$15,MATCH(Q1164,Settings!$H$11:$H$15,0)),"No"))</f>
        <v/>
      </c>
    </row>
    <row r="1165" customFormat="false" ht="15" hidden="false" customHeight="false" outlineLevel="0" collapsed="false">
      <c r="A1165" s="30"/>
      <c r="B1165" s="25"/>
      <c r="C1165" s="25"/>
      <c r="D1165" s="25"/>
      <c r="E1165" s="25"/>
      <c r="F1165" s="25"/>
      <c r="G1165" s="25"/>
      <c r="H1165" s="31"/>
      <c r="I1165" s="32"/>
      <c r="J1165" s="33"/>
      <c r="K1165" s="34" t="str">
        <f aca="false">IF(OR(H1165="",I1165=""),"",H1165*I1165*(1-N(J1165)))</f>
        <v/>
      </c>
      <c r="L1165" s="32"/>
      <c r="M1165" s="34" t="str">
        <f aca="false">IF(OR(H1165="",L1165=""),"",H1165*L1165)</f>
        <v/>
      </c>
      <c r="N1165" s="34" t="str">
        <f aca="false">IF(OR(K1165="",M1165=""),"",K1165-M1165)</f>
        <v/>
      </c>
      <c r="O1165" s="35" t="str">
        <f aca="false">IF(OR(N1165="",K1165=""),"",IF(K1165=0,"",N1165/K1165))</f>
        <v/>
      </c>
      <c r="P1165" s="25"/>
      <c r="Q1165" s="25"/>
      <c r="R1165" s="25"/>
      <c r="S1165" s="36" t="str">
        <f aca="false">IF(A1165="","",YEAR(A1165)+IF(AND(FYStart&gt;1,MONTH(A1165)&gt;=FYStart),1,0))</f>
        <v/>
      </c>
      <c r="T1165" s="36" t="str">
        <f aca="false">IF(A1165="","",MOD(MONTH(A1165)-FYStart,12)+1)</f>
        <v/>
      </c>
      <c r="U1165" s="37" t="str">
        <f aca="false">IF(A1165="","",TEXT(A1165,"mmm"))</f>
        <v/>
      </c>
      <c r="V1165" s="37" t="str">
        <f aca="false">IF(Q1165="","",IFERROR(INDEX(Settings!$I$11:$I$15,MATCH(Q1165,Settings!$H$11:$H$15,0)),"No"))</f>
        <v/>
      </c>
      <c r="W1165" s="37" t="str">
        <f aca="false">IF(Q1165="","",IFERROR(INDEX(Settings!$J$11:$J$15,MATCH(Q1165,Settings!$H$11:$H$15,0)),"No"))</f>
        <v/>
      </c>
    </row>
    <row r="1166" customFormat="false" ht="15" hidden="false" customHeight="false" outlineLevel="0" collapsed="false">
      <c r="A1166" s="30"/>
      <c r="B1166" s="25"/>
      <c r="C1166" s="25"/>
      <c r="D1166" s="25"/>
      <c r="E1166" s="25"/>
      <c r="F1166" s="25"/>
      <c r="G1166" s="25"/>
      <c r="H1166" s="31"/>
      <c r="I1166" s="32"/>
      <c r="J1166" s="33"/>
      <c r="K1166" s="34" t="str">
        <f aca="false">IF(OR(H1166="",I1166=""),"",H1166*I1166*(1-N(J1166)))</f>
        <v/>
      </c>
      <c r="L1166" s="32"/>
      <c r="M1166" s="34" t="str">
        <f aca="false">IF(OR(H1166="",L1166=""),"",H1166*L1166)</f>
        <v/>
      </c>
      <c r="N1166" s="34" t="str">
        <f aca="false">IF(OR(K1166="",M1166=""),"",K1166-M1166)</f>
        <v/>
      </c>
      <c r="O1166" s="35" t="str">
        <f aca="false">IF(OR(N1166="",K1166=""),"",IF(K1166=0,"",N1166/K1166))</f>
        <v/>
      </c>
      <c r="P1166" s="25"/>
      <c r="Q1166" s="25"/>
      <c r="R1166" s="25"/>
      <c r="S1166" s="36" t="str">
        <f aca="false">IF(A1166="","",YEAR(A1166)+IF(AND(FYStart&gt;1,MONTH(A1166)&gt;=FYStart),1,0))</f>
        <v/>
      </c>
      <c r="T1166" s="36" t="str">
        <f aca="false">IF(A1166="","",MOD(MONTH(A1166)-FYStart,12)+1)</f>
        <v/>
      </c>
      <c r="U1166" s="37" t="str">
        <f aca="false">IF(A1166="","",TEXT(A1166,"mmm"))</f>
        <v/>
      </c>
      <c r="V1166" s="37" t="str">
        <f aca="false">IF(Q1166="","",IFERROR(INDEX(Settings!$I$11:$I$15,MATCH(Q1166,Settings!$H$11:$H$15,0)),"No"))</f>
        <v/>
      </c>
      <c r="W1166" s="37" t="str">
        <f aca="false">IF(Q1166="","",IFERROR(INDEX(Settings!$J$11:$J$15,MATCH(Q1166,Settings!$H$11:$H$15,0)),"No"))</f>
        <v/>
      </c>
    </row>
    <row r="1167" customFormat="false" ht="15" hidden="false" customHeight="false" outlineLevel="0" collapsed="false">
      <c r="A1167" s="30"/>
      <c r="B1167" s="25"/>
      <c r="C1167" s="25"/>
      <c r="D1167" s="25"/>
      <c r="E1167" s="25"/>
      <c r="F1167" s="25"/>
      <c r="G1167" s="25"/>
      <c r="H1167" s="31"/>
      <c r="I1167" s="32"/>
      <c r="J1167" s="33"/>
      <c r="K1167" s="34" t="str">
        <f aca="false">IF(OR(H1167="",I1167=""),"",H1167*I1167*(1-N(J1167)))</f>
        <v/>
      </c>
      <c r="L1167" s="32"/>
      <c r="M1167" s="34" t="str">
        <f aca="false">IF(OR(H1167="",L1167=""),"",H1167*L1167)</f>
        <v/>
      </c>
      <c r="N1167" s="34" t="str">
        <f aca="false">IF(OR(K1167="",M1167=""),"",K1167-M1167)</f>
        <v/>
      </c>
      <c r="O1167" s="35" t="str">
        <f aca="false">IF(OR(N1167="",K1167=""),"",IF(K1167=0,"",N1167/K1167))</f>
        <v/>
      </c>
      <c r="P1167" s="25"/>
      <c r="Q1167" s="25"/>
      <c r="R1167" s="25"/>
      <c r="S1167" s="36" t="str">
        <f aca="false">IF(A1167="","",YEAR(A1167)+IF(AND(FYStart&gt;1,MONTH(A1167)&gt;=FYStart),1,0))</f>
        <v/>
      </c>
      <c r="T1167" s="36" t="str">
        <f aca="false">IF(A1167="","",MOD(MONTH(A1167)-FYStart,12)+1)</f>
        <v/>
      </c>
      <c r="U1167" s="37" t="str">
        <f aca="false">IF(A1167="","",TEXT(A1167,"mmm"))</f>
        <v/>
      </c>
      <c r="V1167" s="37" t="str">
        <f aca="false">IF(Q1167="","",IFERROR(INDEX(Settings!$I$11:$I$15,MATCH(Q1167,Settings!$H$11:$H$15,0)),"No"))</f>
        <v/>
      </c>
      <c r="W1167" s="37" t="str">
        <f aca="false">IF(Q1167="","",IFERROR(INDEX(Settings!$J$11:$J$15,MATCH(Q1167,Settings!$H$11:$H$15,0)),"No"))</f>
        <v/>
      </c>
    </row>
    <row r="1168" customFormat="false" ht="15" hidden="false" customHeight="false" outlineLevel="0" collapsed="false">
      <c r="A1168" s="30"/>
      <c r="B1168" s="25"/>
      <c r="C1168" s="25"/>
      <c r="D1168" s="25"/>
      <c r="E1168" s="25"/>
      <c r="F1168" s="25"/>
      <c r="G1168" s="25"/>
      <c r="H1168" s="31"/>
      <c r="I1168" s="32"/>
      <c r="J1168" s="33"/>
      <c r="K1168" s="34" t="str">
        <f aca="false">IF(OR(H1168="",I1168=""),"",H1168*I1168*(1-N(J1168)))</f>
        <v/>
      </c>
      <c r="L1168" s="32"/>
      <c r="M1168" s="34" t="str">
        <f aca="false">IF(OR(H1168="",L1168=""),"",H1168*L1168)</f>
        <v/>
      </c>
      <c r="N1168" s="34" t="str">
        <f aca="false">IF(OR(K1168="",M1168=""),"",K1168-M1168)</f>
        <v/>
      </c>
      <c r="O1168" s="35" t="str">
        <f aca="false">IF(OR(N1168="",K1168=""),"",IF(K1168=0,"",N1168/K1168))</f>
        <v/>
      </c>
      <c r="P1168" s="25"/>
      <c r="Q1168" s="25"/>
      <c r="R1168" s="25"/>
      <c r="S1168" s="36" t="str">
        <f aca="false">IF(A1168="","",YEAR(A1168)+IF(AND(FYStart&gt;1,MONTH(A1168)&gt;=FYStart),1,0))</f>
        <v/>
      </c>
      <c r="T1168" s="36" t="str">
        <f aca="false">IF(A1168="","",MOD(MONTH(A1168)-FYStart,12)+1)</f>
        <v/>
      </c>
      <c r="U1168" s="37" t="str">
        <f aca="false">IF(A1168="","",TEXT(A1168,"mmm"))</f>
        <v/>
      </c>
      <c r="V1168" s="37" t="str">
        <f aca="false">IF(Q1168="","",IFERROR(INDEX(Settings!$I$11:$I$15,MATCH(Q1168,Settings!$H$11:$H$15,0)),"No"))</f>
        <v/>
      </c>
      <c r="W1168" s="37" t="str">
        <f aca="false">IF(Q1168="","",IFERROR(INDEX(Settings!$J$11:$J$15,MATCH(Q1168,Settings!$H$11:$H$15,0)),"No"))</f>
        <v/>
      </c>
    </row>
    <row r="1169" customFormat="false" ht="15" hidden="false" customHeight="false" outlineLevel="0" collapsed="false">
      <c r="A1169" s="30"/>
      <c r="B1169" s="25"/>
      <c r="C1169" s="25"/>
      <c r="D1169" s="25"/>
      <c r="E1169" s="25"/>
      <c r="F1169" s="25"/>
      <c r="G1169" s="25"/>
      <c r="H1169" s="31"/>
      <c r="I1169" s="32"/>
      <c r="J1169" s="33"/>
      <c r="K1169" s="34" t="str">
        <f aca="false">IF(OR(H1169="",I1169=""),"",H1169*I1169*(1-N(J1169)))</f>
        <v/>
      </c>
      <c r="L1169" s="32"/>
      <c r="M1169" s="34" t="str">
        <f aca="false">IF(OR(H1169="",L1169=""),"",H1169*L1169)</f>
        <v/>
      </c>
      <c r="N1169" s="34" t="str">
        <f aca="false">IF(OR(K1169="",M1169=""),"",K1169-M1169)</f>
        <v/>
      </c>
      <c r="O1169" s="35" t="str">
        <f aca="false">IF(OR(N1169="",K1169=""),"",IF(K1169=0,"",N1169/K1169))</f>
        <v/>
      </c>
      <c r="P1169" s="25"/>
      <c r="Q1169" s="25"/>
      <c r="R1169" s="25"/>
      <c r="S1169" s="36" t="str">
        <f aca="false">IF(A1169="","",YEAR(A1169)+IF(AND(FYStart&gt;1,MONTH(A1169)&gt;=FYStart),1,0))</f>
        <v/>
      </c>
      <c r="T1169" s="36" t="str">
        <f aca="false">IF(A1169="","",MOD(MONTH(A1169)-FYStart,12)+1)</f>
        <v/>
      </c>
      <c r="U1169" s="37" t="str">
        <f aca="false">IF(A1169="","",TEXT(A1169,"mmm"))</f>
        <v/>
      </c>
      <c r="V1169" s="37" t="str">
        <f aca="false">IF(Q1169="","",IFERROR(INDEX(Settings!$I$11:$I$15,MATCH(Q1169,Settings!$H$11:$H$15,0)),"No"))</f>
        <v/>
      </c>
      <c r="W1169" s="37" t="str">
        <f aca="false">IF(Q1169="","",IFERROR(INDEX(Settings!$J$11:$J$15,MATCH(Q1169,Settings!$H$11:$H$15,0)),"No"))</f>
        <v/>
      </c>
    </row>
    <row r="1170" customFormat="false" ht="15" hidden="false" customHeight="false" outlineLevel="0" collapsed="false">
      <c r="A1170" s="30"/>
      <c r="B1170" s="25"/>
      <c r="C1170" s="25"/>
      <c r="D1170" s="25"/>
      <c r="E1170" s="25"/>
      <c r="F1170" s="25"/>
      <c r="G1170" s="25"/>
      <c r="H1170" s="31"/>
      <c r="I1170" s="32"/>
      <c r="J1170" s="33"/>
      <c r="K1170" s="34" t="str">
        <f aca="false">IF(OR(H1170="",I1170=""),"",H1170*I1170*(1-N(J1170)))</f>
        <v/>
      </c>
      <c r="L1170" s="32"/>
      <c r="M1170" s="34" t="str">
        <f aca="false">IF(OR(H1170="",L1170=""),"",H1170*L1170)</f>
        <v/>
      </c>
      <c r="N1170" s="34" t="str">
        <f aca="false">IF(OR(K1170="",M1170=""),"",K1170-M1170)</f>
        <v/>
      </c>
      <c r="O1170" s="35" t="str">
        <f aca="false">IF(OR(N1170="",K1170=""),"",IF(K1170=0,"",N1170/K1170))</f>
        <v/>
      </c>
      <c r="P1170" s="25"/>
      <c r="Q1170" s="25"/>
      <c r="R1170" s="25"/>
      <c r="S1170" s="36" t="str">
        <f aca="false">IF(A1170="","",YEAR(A1170)+IF(AND(FYStart&gt;1,MONTH(A1170)&gt;=FYStart),1,0))</f>
        <v/>
      </c>
      <c r="T1170" s="36" t="str">
        <f aca="false">IF(A1170="","",MOD(MONTH(A1170)-FYStart,12)+1)</f>
        <v/>
      </c>
      <c r="U1170" s="37" t="str">
        <f aca="false">IF(A1170="","",TEXT(A1170,"mmm"))</f>
        <v/>
      </c>
      <c r="V1170" s="37" t="str">
        <f aca="false">IF(Q1170="","",IFERROR(INDEX(Settings!$I$11:$I$15,MATCH(Q1170,Settings!$H$11:$H$15,0)),"No"))</f>
        <v/>
      </c>
      <c r="W1170" s="37" t="str">
        <f aca="false">IF(Q1170="","",IFERROR(INDEX(Settings!$J$11:$J$15,MATCH(Q1170,Settings!$H$11:$H$15,0)),"No"))</f>
        <v/>
      </c>
    </row>
    <row r="1171" customFormat="false" ht="15" hidden="false" customHeight="false" outlineLevel="0" collapsed="false">
      <c r="A1171" s="30"/>
      <c r="B1171" s="25"/>
      <c r="C1171" s="25"/>
      <c r="D1171" s="25"/>
      <c r="E1171" s="25"/>
      <c r="F1171" s="25"/>
      <c r="G1171" s="25"/>
      <c r="H1171" s="31"/>
      <c r="I1171" s="32"/>
      <c r="J1171" s="33"/>
      <c r="K1171" s="34" t="str">
        <f aca="false">IF(OR(H1171="",I1171=""),"",H1171*I1171*(1-N(J1171)))</f>
        <v/>
      </c>
      <c r="L1171" s="32"/>
      <c r="M1171" s="34" t="str">
        <f aca="false">IF(OR(H1171="",L1171=""),"",H1171*L1171)</f>
        <v/>
      </c>
      <c r="N1171" s="34" t="str">
        <f aca="false">IF(OR(K1171="",M1171=""),"",K1171-M1171)</f>
        <v/>
      </c>
      <c r="O1171" s="35" t="str">
        <f aca="false">IF(OR(N1171="",K1171=""),"",IF(K1171=0,"",N1171/K1171))</f>
        <v/>
      </c>
      <c r="P1171" s="25"/>
      <c r="Q1171" s="25"/>
      <c r="R1171" s="25"/>
      <c r="S1171" s="36" t="str">
        <f aca="false">IF(A1171="","",YEAR(A1171)+IF(AND(FYStart&gt;1,MONTH(A1171)&gt;=FYStart),1,0))</f>
        <v/>
      </c>
      <c r="T1171" s="36" t="str">
        <f aca="false">IF(A1171="","",MOD(MONTH(A1171)-FYStart,12)+1)</f>
        <v/>
      </c>
      <c r="U1171" s="37" t="str">
        <f aca="false">IF(A1171="","",TEXT(A1171,"mmm"))</f>
        <v/>
      </c>
      <c r="V1171" s="37" t="str">
        <f aca="false">IF(Q1171="","",IFERROR(INDEX(Settings!$I$11:$I$15,MATCH(Q1171,Settings!$H$11:$H$15,0)),"No"))</f>
        <v/>
      </c>
      <c r="W1171" s="37" t="str">
        <f aca="false">IF(Q1171="","",IFERROR(INDEX(Settings!$J$11:$J$15,MATCH(Q1171,Settings!$H$11:$H$15,0)),"No"))</f>
        <v/>
      </c>
    </row>
    <row r="1172" customFormat="false" ht="15" hidden="false" customHeight="false" outlineLevel="0" collapsed="false">
      <c r="A1172" s="30"/>
      <c r="B1172" s="25"/>
      <c r="C1172" s="25"/>
      <c r="D1172" s="25"/>
      <c r="E1172" s="25"/>
      <c r="F1172" s="25"/>
      <c r="G1172" s="25"/>
      <c r="H1172" s="31"/>
      <c r="I1172" s="32"/>
      <c r="J1172" s="33"/>
      <c r="K1172" s="34" t="str">
        <f aca="false">IF(OR(H1172="",I1172=""),"",H1172*I1172*(1-N(J1172)))</f>
        <v/>
      </c>
      <c r="L1172" s="32"/>
      <c r="M1172" s="34" t="str">
        <f aca="false">IF(OR(H1172="",L1172=""),"",H1172*L1172)</f>
        <v/>
      </c>
      <c r="N1172" s="34" t="str">
        <f aca="false">IF(OR(K1172="",M1172=""),"",K1172-M1172)</f>
        <v/>
      </c>
      <c r="O1172" s="35" t="str">
        <f aca="false">IF(OR(N1172="",K1172=""),"",IF(K1172=0,"",N1172/K1172))</f>
        <v/>
      </c>
      <c r="P1172" s="25"/>
      <c r="Q1172" s="25"/>
      <c r="R1172" s="25"/>
      <c r="S1172" s="36" t="str">
        <f aca="false">IF(A1172="","",YEAR(A1172)+IF(AND(FYStart&gt;1,MONTH(A1172)&gt;=FYStart),1,0))</f>
        <v/>
      </c>
      <c r="T1172" s="36" t="str">
        <f aca="false">IF(A1172="","",MOD(MONTH(A1172)-FYStart,12)+1)</f>
        <v/>
      </c>
      <c r="U1172" s="37" t="str">
        <f aca="false">IF(A1172="","",TEXT(A1172,"mmm"))</f>
        <v/>
      </c>
      <c r="V1172" s="37" t="str">
        <f aca="false">IF(Q1172="","",IFERROR(INDEX(Settings!$I$11:$I$15,MATCH(Q1172,Settings!$H$11:$H$15,0)),"No"))</f>
        <v/>
      </c>
      <c r="W1172" s="37" t="str">
        <f aca="false">IF(Q1172="","",IFERROR(INDEX(Settings!$J$11:$J$15,MATCH(Q1172,Settings!$H$11:$H$15,0)),"No"))</f>
        <v/>
      </c>
    </row>
    <row r="1173" customFormat="false" ht="15" hidden="false" customHeight="false" outlineLevel="0" collapsed="false">
      <c r="A1173" s="30"/>
      <c r="B1173" s="25"/>
      <c r="C1173" s="25"/>
      <c r="D1173" s="25"/>
      <c r="E1173" s="25"/>
      <c r="F1173" s="25"/>
      <c r="G1173" s="25"/>
      <c r="H1173" s="31"/>
      <c r="I1173" s="32"/>
      <c r="J1173" s="33"/>
      <c r="K1173" s="34" t="str">
        <f aca="false">IF(OR(H1173="",I1173=""),"",H1173*I1173*(1-N(J1173)))</f>
        <v/>
      </c>
      <c r="L1173" s="32"/>
      <c r="M1173" s="34" t="str">
        <f aca="false">IF(OR(H1173="",L1173=""),"",H1173*L1173)</f>
        <v/>
      </c>
      <c r="N1173" s="34" t="str">
        <f aca="false">IF(OR(K1173="",M1173=""),"",K1173-M1173)</f>
        <v/>
      </c>
      <c r="O1173" s="35" t="str">
        <f aca="false">IF(OR(N1173="",K1173=""),"",IF(K1173=0,"",N1173/K1173))</f>
        <v/>
      </c>
      <c r="P1173" s="25"/>
      <c r="Q1173" s="25"/>
      <c r="R1173" s="25"/>
      <c r="S1173" s="36" t="str">
        <f aca="false">IF(A1173="","",YEAR(A1173)+IF(AND(FYStart&gt;1,MONTH(A1173)&gt;=FYStart),1,0))</f>
        <v/>
      </c>
      <c r="T1173" s="36" t="str">
        <f aca="false">IF(A1173="","",MOD(MONTH(A1173)-FYStart,12)+1)</f>
        <v/>
      </c>
      <c r="U1173" s="37" t="str">
        <f aca="false">IF(A1173="","",TEXT(A1173,"mmm"))</f>
        <v/>
      </c>
      <c r="V1173" s="37" t="str">
        <f aca="false">IF(Q1173="","",IFERROR(INDEX(Settings!$I$11:$I$15,MATCH(Q1173,Settings!$H$11:$H$15,0)),"No"))</f>
        <v/>
      </c>
      <c r="W1173" s="37" t="str">
        <f aca="false">IF(Q1173="","",IFERROR(INDEX(Settings!$J$11:$J$15,MATCH(Q1173,Settings!$H$11:$H$15,0)),"No"))</f>
        <v/>
      </c>
    </row>
    <row r="1174" customFormat="false" ht="15" hidden="false" customHeight="false" outlineLevel="0" collapsed="false">
      <c r="A1174" s="30"/>
      <c r="B1174" s="25"/>
      <c r="C1174" s="25"/>
      <c r="D1174" s="25"/>
      <c r="E1174" s="25"/>
      <c r="F1174" s="25"/>
      <c r="G1174" s="25"/>
      <c r="H1174" s="31"/>
      <c r="I1174" s="32"/>
      <c r="J1174" s="33"/>
      <c r="K1174" s="34" t="str">
        <f aca="false">IF(OR(H1174="",I1174=""),"",H1174*I1174*(1-N(J1174)))</f>
        <v/>
      </c>
      <c r="L1174" s="32"/>
      <c r="M1174" s="34" t="str">
        <f aca="false">IF(OR(H1174="",L1174=""),"",H1174*L1174)</f>
        <v/>
      </c>
      <c r="N1174" s="34" t="str">
        <f aca="false">IF(OR(K1174="",M1174=""),"",K1174-M1174)</f>
        <v/>
      </c>
      <c r="O1174" s="35" t="str">
        <f aca="false">IF(OR(N1174="",K1174=""),"",IF(K1174=0,"",N1174/K1174))</f>
        <v/>
      </c>
      <c r="P1174" s="25"/>
      <c r="Q1174" s="25"/>
      <c r="R1174" s="25"/>
      <c r="S1174" s="36" t="str">
        <f aca="false">IF(A1174="","",YEAR(A1174)+IF(AND(FYStart&gt;1,MONTH(A1174)&gt;=FYStart),1,0))</f>
        <v/>
      </c>
      <c r="T1174" s="36" t="str">
        <f aca="false">IF(A1174="","",MOD(MONTH(A1174)-FYStart,12)+1)</f>
        <v/>
      </c>
      <c r="U1174" s="37" t="str">
        <f aca="false">IF(A1174="","",TEXT(A1174,"mmm"))</f>
        <v/>
      </c>
      <c r="V1174" s="37" t="str">
        <f aca="false">IF(Q1174="","",IFERROR(INDEX(Settings!$I$11:$I$15,MATCH(Q1174,Settings!$H$11:$H$15,0)),"No"))</f>
        <v/>
      </c>
      <c r="W1174" s="37" t="str">
        <f aca="false">IF(Q1174="","",IFERROR(INDEX(Settings!$J$11:$J$15,MATCH(Q1174,Settings!$H$11:$H$15,0)),"No"))</f>
        <v/>
      </c>
    </row>
    <row r="1175" customFormat="false" ht="15" hidden="false" customHeight="false" outlineLevel="0" collapsed="false">
      <c r="A1175" s="30"/>
      <c r="B1175" s="25"/>
      <c r="C1175" s="25"/>
      <c r="D1175" s="25"/>
      <c r="E1175" s="25"/>
      <c r="F1175" s="25"/>
      <c r="G1175" s="25"/>
      <c r="H1175" s="31"/>
      <c r="I1175" s="32"/>
      <c r="J1175" s="33"/>
      <c r="K1175" s="34" t="str">
        <f aca="false">IF(OR(H1175="",I1175=""),"",H1175*I1175*(1-N(J1175)))</f>
        <v/>
      </c>
      <c r="L1175" s="32"/>
      <c r="M1175" s="34" t="str">
        <f aca="false">IF(OR(H1175="",L1175=""),"",H1175*L1175)</f>
        <v/>
      </c>
      <c r="N1175" s="34" t="str">
        <f aca="false">IF(OR(K1175="",M1175=""),"",K1175-M1175)</f>
        <v/>
      </c>
      <c r="O1175" s="35" t="str">
        <f aca="false">IF(OR(N1175="",K1175=""),"",IF(K1175=0,"",N1175/K1175))</f>
        <v/>
      </c>
      <c r="P1175" s="25"/>
      <c r="Q1175" s="25"/>
      <c r="R1175" s="25"/>
      <c r="S1175" s="36" t="str">
        <f aca="false">IF(A1175="","",YEAR(A1175)+IF(AND(FYStart&gt;1,MONTH(A1175)&gt;=FYStart),1,0))</f>
        <v/>
      </c>
      <c r="T1175" s="36" t="str">
        <f aca="false">IF(A1175="","",MOD(MONTH(A1175)-FYStart,12)+1)</f>
        <v/>
      </c>
      <c r="U1175" s="37" t="str">
        <f aca="false">IF(A1175="","",TEXT(A1175,"mmm"))</f>
        <v/>
      </c>
      <c r="V1175" s="37" t="str">
        <f aca="false">IF(Q1175="","",IFERROR(INDEX(Settings!$I$11:$I$15,MATCH(Q1175,Settings!$H$11:$H$15,0)),"No"))</f>
        <v/>
      </c>
      <c r="W1175" s="37" t="str">
        <f aca="false">IF(Q1175="","",IFERROR(INDEX(Settings!$J$11:$J$15,MATCH(Q1175,Settings!$H$11:$H$15,0)),"No"))</f>
        <v/>
      </c>
    </row>
    <row r="1176" customFormat="false" ht="15" hidden="false" customHeight="false" outlineLevel="0" collapsed="false">
      <c r="A1176" s="30"/>
      <c r="B1176" s="25"/>
      <c r="C1176" s="25"/>
      <c r="D1176" s="25"/>
      <c r="E1176" s="25"/>
      <c r="F1176" s="25"/>
      <c r="G1176" s="25"/>
      <c r="H1176" s="31"/>
      <c r="I1176" s="32"/>
      <c r="J1176" s="33"/>
      <c r="K1176" s="34" t="str">
        <f aca="false">IF(OR(H1176="",I1176=""),"",H1176*I1176*(1-N(J1176)))</f>
        <v/>
      </c>
      <c r="L1176" s="32"/>
      <c r="M1176" s="34" t="str">
        <f aca="false">IF(OR(H1176="",L1176=""),"",H1176*L1176)</f>
        <v/>
      </c>
      <c r="N1176" s="34" t="str">
        <f aca="false">IF(OR(K1176="",M1176=""),"",K1176-M1176)</f>
        <v/>
      </c>
      <c r="O1176" s="35" t="str">
        <f aca="false">IF(OR(N1176="",K1176=""),"",IF(K1176=0,"",N1176/K1176))</f>
        <v/>
      </c>
      <c r="P1176" s="25"/>
      <c r="Q1176" s="25"/>
      <c r="R1176" s="25"/>
      <c r="S1176" s="36" t="str">
        <f aca="false">IF(A1176="","",YEAR(A1176)+IF(AND(FYStart&gt;1,MONTH(A1176)&gt;=FYStart),1,0))</f>
        <v/>
      </c>
      <c r="T1176" s="36" t="str">
        <f aca="false">IF(A1176="","",MOD(MONTH(A1176)-FYStart,12)+1)</f>
        <v/>
      </c>
      <c r="U1176" s="37" t="str">
        <f aca="false">IF(A1176="","",TEXT(A1176,"mmm"))</f>
        <v/>
      </c>
      <c r="V1176" s="37" t="str">
        <f aca="false">IF(Q1176="","",IFERROR(INDEX(Settings!$I$11:$I$15,MATCH(Q1176,Settings!$H$11:$H$15,0)),"No"))</f>
        <v/>
      </c>
      <c r="W1176" s="37" t="str">
        <f aca="false">IF(Q1176="","",IFERROR(INDEX(Settings!$J$11:$J$15,MATCH(Q1176,Settings!$H$11:$H$15,0)),"No"))</f>
        <v/>
      </c>
    </row>
    <row r="1177" customFormat="false" ht="15" hidden="false" customHeight="false" outlineLevel="0" collapsed="false">
      <c r="A1177" s="30"/>
      <c r="B1177" s="25"/>
      <c r="C1177" s="25"/>
      <c r="D1177" s="25"/>
      <c r="E1177" s="25"/>
      <c r="F1177" s="25"/>
      <c r="G1177" s="25"/>
      <c r="H1177" s="31"/>
      <c r="I1177" s="32"/>
      <c r="J1177" s="33"/>
      <c r="K1177" s="34" t="str">
        <f aca="false">IF(OR(H1177="",I1177=""),"",H1177*I1177*(1-N(J1177)))</f>
        <v/>
      </c>
      <c r="L1177" s="32"/>
      <c r="M1177" s="34" t="str">
        <f aca="false">IF(OR(H1177="",L1177=""),"",H1177*L1177)</f>
        <v/>
      </c>
      <c r="N1177" s="34" t="str">
        <f aca="false">IF(OR(K1177="",M1177=""),"",K1177-M1177)</f>
        <v/>
      </c>
      <c r="O1177" s="35" t="str">
        <f aca="false">IF(OR(N1177="",K1177=""),"",IF(K1177=0,"",N1177/K1177))</f>
        <v/>
      </c>
      <c r="P1177" s="25"/>
      <c r="Q1177" s="25"/>
      <c r="R1177" s="25"/>
      <c r="S1177" s="36" t="str">
        <f aca="false">IF(A1177="","",YEAR(A1177)+IF(AND(FYStart&gt;1,MONTH(A1177)&gt;=FYStart),1,0))</f>
        <v/>
      </c>
      <c r="T1177" s="36" t="str">
        <f aca="false">IF(A1177="","",MOD(MONTH(A1177)-FYStart,12)+1)</f>
        <v/>
      </c>
      <c r="U1177" s="37" t="str">
        <f aca="false">IF(A1177="","",TEXT(A1177,"mmm"))</f>
        <v/>
      </c>
      <c r="V1177" s="37" t="str">
        <f aca="false">IF(Q1177="","",IFERROR(INDEX(Settings!$I$11:$I$15,MATCH(Q1177,Settings!$H$11:$H$15,0)),"No"))</f>
        <v/>
      </c>
      <c r="W1177" s="37" t="str">
        <f aca="false">IF(Q1177="","",IFERROR(INDEX(Settings!$J$11:$J$15,MATCH(Q1177,Settings!$H$11:$H$15,0)),"No"))</f>
        <v/>
      </c>
    </row>
    <row r="1178" customFormat="false" ht="15" hidden="false" customHeight="false" outlineLevel="0" collapsed="false">
      <c r="A1178" s="30"/>
      <c r="B1178" s="25"/>
      <c r="C1178" s="25"/>
      <c r="D1178" s="25"/>
      <c r="E1178" s="25"/>
      <c r="F1178" s="25"/>
      <c r="G1178" s="25"/>
      <c r="H1178" s="31"/>
      <c r="I1178" s="32"/>
      <c r="J1178" s="33"/>
      <c r="K1178" s="34" t="str">
        <f aca="false">IF(OR(H1178="",I1178=""),"",H1178*I1178*(1-N(J1178)))</f>
        <v/>
      </c>
      <c r="L1178" s="32"/>
      <c r="M1178" s="34" t="str">
        <f aca="false">IF(OR(H1178="",L1178=""),"",H1178*L1178)</f>
        <v/>
      </c>
      <c r="N1178" s="34" t="str">
        <f aca="false">IF(OR(K1178="",M1178=""),"",K1178-M1178)</f>
        <v/>
      </c>
      <c r="O1178" s="35" t="str">
        <f aca="false">IF(OR(N1178="",K1178=""),"",IF(K1178=0,"",N1178/K1178))</f>
        <v/>
      </c>
      <c r="P1178" s="25"/>
      <c r="Q1178" s="25"/>
      <c r="R1178" s="25"/>
      <c r="S1178" s="36" t="str">
        <f aca="false">IF(A1178="","",YEAR(A1178)+IF(AND(FYStart&gt;1,MONTH(A1178)&gt;=FYStart),1,0))</f>
        <v/>
      </c>
      <c r="T1178" s="36" t="str">
        <f aca="false">IF(A1178="","",MOD(MONTH(A1178)-FYStart,12)+1)</f>
        <v/>
      </c>
      <c r="U1178" s="37" t="str">
        <f aca="false">IF(A1178="","",TEXT(A1178,"mmm"))</f>
        <v/>
      </c>
      <c r="V1178" s="37" t="str">
        <f aca="false">IF(Q1178="","",IFERROR(INDEX(Settings!$I$11:$I$15,MATCH(Q1178,Settings!$H$11:$H$15,0)),"No"))</f>
        <v/>
      </c>
      <c r="W1178" s="37" t="str">
        <f aca="false">IF(Q1178="","",IFERROR(INDEX(Settings!$J$11:$J$15,MATCH(Q1178,Settings!$H$11:$H$15,0)),"No"))</f>
        <v/>
      </c>
    </row>
    <row r="1179" customFormat="false" ht="15" hidden="false" customHeight="false" outlineLevel="0" collapsed="false">
      <c r="A1179" s="30"/>
      <c r="B1179" s="25"/>
      <c r="C1179" s="25"/>
      <c r="D1179" s="25"/>
      <c r="E1179" s="25"/>
      <c r="F1179" s="25"/>
      <c r="G1179" s="25"/>
      <c r="H1179" s="31"/>
      <c r="I1179" s="32"/>
      <c r="J1179" s="33"/>
      <c r="K1179" s="34" t="str">
        <f aca="false">IF(OR(H1179="",I1179=""),"",H1179*I1179*(1-N(J1179)))</f>
        <v/>
      </c>
      <c r="L1179" s="32"/>
      <c r="M1179" s="34" t="str">
        <f aca="false">IF(OR(H1179="",L1179=""),"",H1179*L1179)</f>
        <v/>
      </c>
      <c r="N1179" s="34" t="str">
        <f aca="false">IF(OR(K1179="",M1179=""),"",K1179-M1179)</f>
        <v/>
      </c>
      <c r="O1179" s="35" t="str">
        <f aca="false">IF(OR(N1179="",K1179=""),"",IF(K1179=0,"",N1179/K1179))</f>
        <v/>
      </c>
      <c r="P1179" s="25"/>
      <c r="Q1179" s="25"/>
      <c r="R1179" s="25"/>
      <c r="S1179" s="36" t="str">
        <f aca="false">IF(A1179="","",YEAR(A1179)+IF(AND(FYStart&gt;1,MONTH(A1179)&gt;=FYStart),1,0))</f>
        <v/>
      </c>
      <c r="T1179" s="36" t="str">
        <f aca="false">IF(A1179="","",MOD(MONTH(A1179)-FYStart,12)+1)</f>
        <v/>
      </c>
      <c r="U1179" s="37" t="str">
        <f aca="false">IF(A1179="","",TEXT(A1179,"mmm"))</f>
        <v/>
      </c>
      <c r="V1179" s="37" t="str">
        <f aca="false">IF(Q1179="","",IFERROR(INDEX(Settings!$I$11:$I$15,MATCH(Q1179,Settings!$H$11:$H$15,0)),"No"))</f>
        <v/>
      </c>
      <c r="W1179" s="37" t="str">
        <f aca="false">IF(Q1179="","",IFERROR(INDEX(Settings!$J$11:$J$15,MATCH(Q1179,Settings!$H$11:$H$15,0)),"No"))</f>
        <v/>
      </c>
    </row>
    <row r="1180" customFormat="false" ht="15" hidden="false" customHeight="false" outlineLevel="0" collapsed="false">
      <c r="A1180" s="30"/>
      <c r="B1180" s="25"/>
      <c r="C1180" s="25"/>
      <c r="D1180" s="25"/>
      <c r="E1180" s="25"/>
      <c r="F1180" s="25"/>
      <c r="G1180" s="25"/>
      <c r="H1180" s="31"/>
      <c r="I1180" s="32"/>
      <c r="J1180" s="33"/>
      <c r="K1180" s="34" t="str">
        <f aca="false">IF(OR(H1180="",I1180=""),"",H1180*I1180*(1-N(J1180)))</f>
        <v/>
      </c>
      <c r="L1180" s="32"/>
      <c r="M1180" s="34" t="str">
        <f aca="false">IF(OR(H1180="",L1180=""),"",H1180*L1180)</f>
        <v/>
      </c>
      <c r="N1180" s="34" t="str">
        <f aca="false">IF(OR(K1180="",M1180=""),"",K1180-M1180)</f>
        <v/>
      </c>
      <c r="O1180" s="35" t="str">
        <f aca="false">IF(OR(N1180="",K1180=""),"",IF(K1180=0,"",N1180/K1180))</f>
        <v/>
      </c>
      <c r="P1180" s="25"/>
      <c r="Q1180" s="25"/>
      <c r="R1180" s="25"/>
      <c r="S1180" s="36" t="str">
        <f aca="false">IF(A1180="","",YEAR(A1180)+IF(AND(FYStart&gt;1,MONTH(A1180)&gt;=FYStart),1,0))</f>
        <v/>
      </c>
      <c r="T1180" s="36" t="str">
        <f aca="false">IF(A1180="","",MOD(MONTH(A1180)-FYStart,12)+1)</f>
        <v/>
      </c>
      <c r="U1180" s="37" t="str">
        <f aca="false">IF(A1180="","",TEXT(A1180,"mmm"))</f>
        <v/>
      </c>
      <c r="V1180" s="37" t="str">
        <f aca="false">IF(Q1180="","",IFERROR(INDEX(Settings!$I$11:$I$15,MATCH(Q1180,Settings!$H$11:$H$15,0)),"No"))</f>
        <v/>
      </c>
      <c r="W1180" s="37" t="str">
        <f aca="false">IF(Q1180="","",IFERROR(INDEX(Settings!$J$11:$J$15,MATCH(Q1180,Settings!$H$11:$H$15,0)),"No"))</f>
        <v/>
      </c>
    </row>
    <row r="1181" customFormat="false" ht="15" hidden="false" customHeight="false" outlineLevel="0" collapsed="false">
      <c r="A1181" s="30"/>
      <c r="B1181" s="25"/>
      <c r="C1181" s="25"/>
      <c r="D1181" s="25"/>
      <c r="E1181" s="25"/>
      <c r="F1181" s="25"/>
      <c r="G1181" s="25"/>
      <c r="H1181" s="31"/>
      <c r="I1181" s="32"/>
      <c r="J1181" s="33"/>
      <c r="K1181" s="34" t="str">
        <f aca="false">IF(OR(H1181="",I1181=""),"",H1181*I1181*(1-N(J1181)))</f>
        <v/>
      </c>
      <c r="L1181" s="32"/>
      <c r="M1181" s="34" t="str">
        <f aca="false">IF(OR(H1181="",L1181=""),"",H1181*L1181)</f>
        <v/>
      </c>
      <c r="N1181" s="34" t="str">
        <f aca="false">IF(OR(K1181="",M1181=""),"",K1181-M1181)</f>
        <v/>
      </c>
      <c r="O1181" s="35" t="str">
        <f aca="false">IF(OR(N1181="",K1181=""),"",IF(K1181=0,"",N1181/K1181))</f>
        <v/>
      </c>
      <c r="P1181" s="25"/>
      <c r="Q1181" s="25"/>
      <c r="R1181" s="25"/>
      <c r="S1181" s="36" t="str">
        <f aca="false">IF(A1181="","",YEAR(A1181)+IF(AND(FYStart&gt;1,MONTH(A1181)&gt;=FYStart),1,0))</f>
        <v/>
      </c>
      <c r="T1181" s="36" t="str">
        <f aca="false">IF(A1181="","",MOD(MONTH(A1181)-FYStart,12)+1)</f>
        <v/>
      </c>
      <c r="U1181" s="37" t="str">
        <f aca="false">IF(A1181="","",TEXT(A1181,"mmm"))</f>
        <v/>
      </c>
      <c r="V1181" s="37" t="str">
        <f aca="false">IF(Q1181="","",IFERROR(INDEX(Settings!$I$11:$I$15,MATCH(Q1181,Settings!$H$11:$H$15,0)),"No"))</f>
        <v/>
      </c>
      <c r="W1181" s="37" t="str">
        <f aca="false">IF(Q1181="","",IFERROR(INDEX(Settings!$J$11:$J$15,MATCH(Q1181,Settings!$H$11:$H$15,0)),"No"))</f>
        <v/>
      </c>
    </row>
    <row r="1182" customFormat="false" ht="15" hidden="false" customHeight="false" outlineLevel="0" collapsed="false">
      <c r="A1182" s="30"/>
      <c r="B1182" s="25"/>
      <c r="C1182" s="25"/>
      <c r="D1182" s="25"/>
      <c r="E1182" s="25"/>
      <c r="F1182" s="25"/>
      <c r="G1182" s="25"/>
      <c r="H1182" s="31"/>
      <c r="I1182" s="32"/>
      <c r="J1182" s="33"/>
      <c r="K1182" s="34" t="str">
        <f aca="false">IF(OR(H1182="",I1182=""),"",H1182*I1182*(1-N(J1182)))</f>
        <v/>
      </c>
      <c r="L1182" s="32"/>
      <c r="M1182" s="34" t="str">
        <f aca="false">IF(OR(H1182="",L1182=""),"",H1182*L1182)</f>
        <v/>
      </c>
      <c r="N1182" s="34" t="str">
        <f aca="false">IF(OR(K1182="",M1182=""),"",K1182-M1182)</f>
        <v/>
      </c>
      <c r="O1182" s="35" t="str">
        <f aca="false">IF(OR(N1182="",K1182=""),"",IF(K1182=0,"",N1182/K1182))</f>
        <v/>
      </c>
      <c r="P1182" s="25"/>
      <c r="Q1182" s="25"/>
      <c r="R1182" s="25"/>
      <c r="S1182" s="36" t="str">
        <f aca="false">IF(A1182="","",YEAR(A1182)+IF(AND(FYStart&gt;1,MONTH(A1182)&gt;=FYStart),1,0))</f>
        <v/>
      </c>
      <c r="T1182" s="36" t="str">
        <f aca="false">IF(A1182="","",MOD(MONTH(A1182)-FYStart,12)+1)</f>
        <v/>
      </c>
      <c r="U1182" s="37" t="str">
        <f aca="false">IF(A1182="","",TEXT(A1182,"mmm"))</f>
        <v/>
      </c>
      <c r="V1182" s="37" t="str">
        <f aca="false">IF(Q1182="","",IFERROR(INDEX(Settings!$I$11:$I$15,MATCH(Q1182,Settings!$H$11:$H$15,0)),"No"))</f>
        <v/>
      </c>
      <c r="W1182" s="37" t="str">
        <f aca="false">IF(Q1182="","",IFERROR(INDEX(Settings!$J$11:$J$15,MATCH(Q1182,Settings!$H$11:$H$15,0)),"No"))</f>
        <v/>
      </c>
    </row>
    <row r="1183" customFormat="false" ht="15" hidden="false" customHeight="false" outlineLevel="0" collapsed="false">
      <c r="A1183" s="30"/>
      <c r="B1183" s="25"/>
      <c r="C1183" s="25"/>
      <c r="D1183" s="25"/>
      <c r="E1183" s="25"/>
      <c r="F1183" s="25"/>
      <c r="G1183" s="25"/>
      <c r="H1183" s="31"/>
      <c r="I1183" s="32"/>
      <c r="J1183" s="33"/>
      <c r="K1183" s="34" t="str">
        <f aca="false">IF(OR(H1183="",I1183=""),"",H1183*I1183*(1-N(J1183)))</f>
        <v/>
      </c>
      <c r="L1183" s="32"/>
      <c r="M1183" s="34" t="str">
        <f aca="false">IF(OR(H1183="",L1183=""),"",H1183*L1183)</f>
        <v/>
      </c>
      <c r="N1183" s="34" t="str">
        <f aca="false">IF(OR(K1183="",M1183=""),"",K1183-M1183)</f>
        <v/>
      </c>
      <c r="O1183" s="35" t="str">
        <f aca="false">IF(OR(N1183="",K1183=""),"",IF(K1183=0,"",N1183/K1183))</f>
        <v/>
      </c>
      <c r="P1183" s="25"/>
      <c r="Q1183" s="25"/>
      <c r="R1183" s="25"/>
      <c r="S1183" s="36" t="str">
        <f aca="false">IF(A1183="","",YEAR(A1183)+IF(AND(FYStart&gt;1,MONTH(A1183)&gt;=FYStart),1,0))</f>
        <v/>
      </c>
      <c r="T1183" s="36" t="str">
        <f aca="false">IF(A1183="","",MOD(MONTH(A1183)-FYStart,12)+1)</f>
        <v/>
      </c>
      <c r="U1183" s="37" t="str">
        <f aca="false">IF(A1183="","",TEXT(A1183,"mmm"))</f>
        <v/>
      </c>
      <c r="V1183" s="37" t="str">
        <f aca="false">IF(Q1183="","",IFERROR(INDEX(Settings!$I$11:$I$15,MATCH(Q1183,Settings!$H$11:$H$15,0)),"No"))</f>
        <v/>
      </c>
      <c r="W1183" s="37" t="str">
        <f aca="false">IF(Q1183="","",IFERROR(INDEX(Settings!$J$11:$J$15,MATCH(Q1183,Settings!$H$11:$H$15,0)),"No"))</f>
        <v/>
      </c>
    </row>
    <row r="1184" customFormat="false" ht="15" hidden="false" customHeight="false" outlineLevel="0" collapsed="false">
      <c r="A1184" s="30"/>
      <c r="B1184" s="25"/>
      <c r="C1184" s="25"/>
      <c r="D1184" s="25"/>
      <c r="E1184" s="25"/>
      <c r="F1184" s="25"/>
      <c r="G1184" s="25"/>
      <c r="H1184" s="31"/>
      <c r="I1184" s="32"/>
      <c r="J1184" s="33"/>
      <c r="K1184" s="34" t="str">
        <f aca="false">IF(OR(H1184="",I1184=""),"",H1184*I1184*(1-N(J1184)))</f>
        <v/>
      </c>
      <c r="L1184" s="32"/>
      <c r="M1184" s="34" t="str">
        <f aca="false">IF(OR(H1184="",L1184=""),"",H1184*L1184)</f>
        <v/>
      </c>
      <c r="N1184" s="34" t="str">
        <f aca="false">IF(OR(K1184="",M1184=""),"",K1184-M1184)</f>
        <v/>
      </c>
      <c r="O1184" s="35" t="str">
        <f aca="false">IF(OR(N1184="",K1184=""),"",IF(K1184=0,"",N1184/K1184))</f>
        <v/>
      </c>
      <c r="P1184" s="25"/>
      <c r="Q1184" s="25"/>
      <c r="R1184" s="25"/>
      <c r="S1184" s="36" t="str">
        <f aca="false">IF(A1184="","",YEAR(A1184)+IF(AND(FYStart&gt;1,MONTH(A1184)&gt;=FYStart),1,0))</f>
        <v/>
      </c>
      <c r="T1184" s="36" t="str">
        <f aca="false">IF(A1184="","",MOD(MONTH(A1184)-FYStart,12)+1)</f>
        <v/>
      </c>
      <c r="U1184" s="37" t="str">
        <f aca="false">IF(A1184="","",TEXT(A1184,"mmm"))</f>
        <v/>
      </c>
      <c r="V1184" s="37" t="str">
        <f aca="false">IF(Q1184="","",IFERROR(INDEX(Settings!$I$11:$I$15,MATCH(Q1184,Settings!$H$11:$H$15,0)),"No"))</f>
        <v/>
      </c>
      <c r="W1184" s="37" t="str">
        <f aca="false">IF(Q1184="","",IFERROR(INDEX(Settings!$J$11:$J$15,MATCH(Q1184,Settings!$H$11:$H$15,0)),"No"))</f>
        <v/>
      </c>
    </row>
    <row r="1185" customFormat="false" ht="15" hidden="false" customHeight="false" outlineLevel="0" collapsed="false">
      <c r="A1185" s="30"/>
      <c r="B1185" s="25"/>
      <c r="C1185" s="25"/>
      <c r="D1185" s="25"/>
      <c r="E1185" s="25"/>
      <c r="F1185" s="25"/>
      <c r="G1185" s="25"/>
      <c r="H1185" s="31"/>
      <c r="I1185" s="32"/>
      <c r="J1185" s="33"/>
      <c r="K1185" s="34" t="str">
        <f aca="false">IF(OR(H1185="",I1185=""),"",H1185*I1185*(1-N(J1185)))</f>
        <v/>
      </c>
      <c r="L1185" s="32"/>
      <c r="M1185" s="34" t="str">
        <f aca="false">IF(OR(H1185="",L1185=""),"",H1185*L1185)</f>
        <v/>
      </c>
      <c r="N1185" s="34" t="str">
        <f aca="false">IF(OR(K1185="",M1185=""),"",K1185-M1185)</f>
        <v/>
      </c>
      <c r="O1185" s="35" t="str">
        <f aca="false">IF(OR(N1185="",K1185=""),"",IF(K1185=0,"",N1185/K1185))</f>
        <v/>
      </c>
      <c r="P1185" s="25"/>
      <c r="Q1185" s="25"/>
      <c r="R1185" s="25"/>
      <c r="S1185" s="36" t="str">
        <f aca="false">IF(A1185="","",YEAR(A1185)+IF(AND(FYStart&gt;1,MONTH(A1185)&gt;=FYStart),1,0))</f>
        <v/>
      </c>
      <c r="T1185" s="36" t="str">
        <f aca="false">IF(A1185="","",MOD(MONTH(A1185)-FYStart,12)+1)</f>
        <v/>
      </c>
      <c r="U1185" s="37" t="str">
        <f aca="false">IF(A1185="","",TEXT(A1185,"mmm"))</f>
        <v/>
      </c>
      <c r="V1185" s="37" t="str">
        <f aca="false">IF(Q1185="","",IFERROR(INDEX(Settings!$I$11:$I$15,MATCH(Q1185,Settings!$H$11:$H$15,0)),"No"))</f>
        <v/>
      </c>
      <c r="W1185" s="37" t="str">
        <f aca="false">IF(Q1185="","",IFERROR(INDEX(Settings!$J$11:$J$15,MATCH(Q1185,Settings!$H$11:$H$15,0)),"No"))</f>
        <v/>
      </c>
    </row>
    <row r="1186" customFormat="false" ht="15" hidden="false" customHeight="false" outlineLevel="0" collapsed="false">
      <c r="A1186" s="30"/>
      <c r="B1186" s="25"/>
      <c r="C1186" s="25"/>
      <c r="D1186" s="25"/>
      <c r="E1186" s="25"/>
      <c r="F1186" s="25"/>
      <c r="G1186" s="25"/>
      <c r="H1186" s="31"/>
      <c r="I1186" s="32"/>
      <c r="J1186" s="33"/>
      <c r="K1186" s="34" t="str">
        <f aca="false">IF(OR(H1186="",I1186=""),"",H1186*I1186*(1-N(J1186)))</f>
        <v/>
      </c>
      <c r="L1186" s="32"/>
      <c r="M1186" s="34" t="str">
        <f aca="false">IF(OR(H1186="",L1186=""),"",H1186*L1186)</f>
        <v/>
      </c>
      <c r="N1186" s="34" t="str">
        <f aca="false">IF(OR(K1186="",M1186=""),"",K1186-M1186)</f>
        <v/>
      </c>
      <c r="O1186" s="35" t="str">
        <f aca="false">IF(OR(N1186="",K1186=""),"",IF(K1186=0,"",N1186/K1186))</f>
        <v/>
      </c>
      <c r="P1186" s="25"/>
      <c r="Q1186" s="25"/>
      <c r="R1186" s="25"/>
      <c r="S1186" s="36" t="str">
        <f aca="false">IF(A1186="","",YEAR(A1186)+IF(AND(FYStart&gt;1,MONTH(A1186)&gt;=FYStart),1,0))</f>
        <v/>
      </c>
      <c r="T1186" s="36" t="str">
        <f aca="false">IF(A1186="","",MOD(MONTH(A1186)-FYStart,12)+1)</f>
        <v/>
      </c>
      <c r="U1186" s="37" t="str">
        <f aca="false">IF(A1186="","",TEXT(A1186,"mmm"))</f>
        <v/>
      </c>
      <c r="V1186" s="37" t="str">
        <f aca="false">IF(Q1186="","",IFERROR(INDEX(Settings!$I$11:$I$15,MATCH(Q1186,Settings!$H$11:$H$15,0)),"No"))</f>
        <v/>
      </c>
      <c r="W1186" s="37" t="str">
        <f aca="false">IF(Q1186="","",IFERROR(INDEX(Settings!$J$11:$J$15,MATCH(Q1186,Settings!$H$11:$H$15,0)),"No"))</f>
        <v/>
      </c>
    </row>
    <row r="1187" customFormat="false" ht="15" hidden="false" customHeight="false" outlineLevel="0" collapsed="false">
      <c r="A1187" s="30"/>
      <c r="B1187" s="25"/>
      <c r="C1187" s="25"/>
      <c r="D1187" s="25"/>
      <c r="E1187" s="25"/>
      <c r="F1187" s="25"/>
      <c r="G1187" s="25"/>
      <c r="H1187" s="31"/>
      <c r="I1187" s="32"/>
      <c r="J1187" s="33"/>
      <c r="K1187" s="34" t="str">
        <f aca="false">IF(OR(H1187="",I1187=""),"",H1187*I1187*(1-N(J1187)))</f>
        <v/>
      </c>
      <c r="L1187" s="32"/>
      <c r="M1187" s="34" t="str">
        <f aca="false">IF(OR(H1187="",L1187=""),"",H1187*L1187)</f>
        <v/>
      </c>
      <c r="N1187" s="34" t="str">
        <f aca="false">IF(OR(K1187="",M1187=""),"",K1187-M1187)</f>
        <v/>
      </c>
      <c r="O1187" s="35" t="str">
        <f aca="false">IF(OR(N1187="",K1187=""),"",IF(K1187=0,"",N1187/K1187))</f>
        <v/>
      </c>
      <c r="P1187" s="25"/>
      <c r="Q1187" s="25"/>
      <c r="R1187" s="25"/>
      <c r="S1187" s="36" t="str">
        <f aca="false">IF(A1187="","",YEAR(A1187)+IF(AND(FYStart&gt;1,MONTH(A1187)&gt;=FYStart),1,0))</f>
        <v/>
      </c>
      <c r="T1187" s="36" t="str">
        <f aca="false">IF(A1187="","",MOD(MONTH(A1187)-FYStart,12)+1)</f>
        <v/>
      </c>
      <c r="U1187" s="37" t="str">
        <f aca="false">IF(A1187="","",TEXT(A1187,"mmm"))</f>
        <v/>
      </c>
      <c r="V1187" s="37" t="str">
        <f aca="false">IF(Q1187="","",IFERROR(INDEX(Settings!$I$11:$I$15,MATCH(Q1187,Settings!$H$11:$H$15,0)),"No"))</f>
        <v/>
      </c>
      <c r="W1187" s="37" t="str">
        <f aca="false">IF(Q1187="","",IFERROR(INDEX(Settings!$J$11:$J$15,MATCH(Q1187,Settings!$H$11:$H$15,0)),"No"))</f>
        <v/>
      </c>
    </row>
    <row r="1188" customFormat="false" ht="15" hidden="false" customHeight="false" outlineLevel="0" collapsed="false">
      <c r="A1188" s="30"/>
      <c r="B1188" s="25"/>
      <c r="C1188" s="25"/>
      <c r="D1188" s="25"/>
      <c r="E1188" s="25"/>
      <c r="F1188" s="25"/>
      <c r="G1188" s="25"/>
      <c r="H1188" s="31"/>
      <c r="I1188" s="32"/>
      <c r="J1188" s="33"/>
      <c r="K1188" s="34" t="str">
        <f aca="false">IF(OR(H1188="",I1188=""),"",H1188*I1188*(1-N(J1188)))</f>
        <v/>
      </c>
      <c r="L1188" s="32"/>
      <c r="M1188" s="34" t="str">
        <f aca="false">IF(OR(H1188="",L1188=""),"",H1188*L1188)</f>
        <v/>
      </c>
      <c r="N1188" s="34" t="str">
        <f aca="false">IF(OR(K1188="",M1188=""),"",K1188-M1188)</f>
        <v/>
      </c>
      <c r="O1188" s="35" t="str">
        <f aca="false">IF(OR(N1188="",K1188=""),"",IF(K1188=0,"",N1188/K1188))</f>
        <v/>
      </c>
      <c r="P1188" s="25"/>
      <c r="Q1188" s="25"/>
      <c r="R1188" s="25"/>
      <c r="S1188" s="36" t="str">
        <f aca="false">IF(A1188="","",YEAR(A1188)+IF(AND(FYStart&gt;1,MONTH(A1188)&gt;=FYStart),1,0))</f>
        <v/>
      </c>
      <c r="T1188" s="36" t="str">
        <f aca="false">IF(A1188="","",MOD(MONTH(A1188)-FYStart,12)+1)</f>
        <v/>
      </c>
      <c r="U1188" s="37" t="str">
        <f aca="false">IF(A1188="","",TEXT(A1188,"mmm"))</f>
        <v/>
      </c>
      <c r="V1188" s="37" t="str">
        <f aca="false">IF(Q1188="","",IFERROR(INDEX(Settings!$I$11:$I$15,MATCH(Q1188,Settings!$H$11:$H$15,0)),"No"))</f>
        <v/>
      </c>
      <c r="W1188" s="37" t="str">
        <f aca="false">IF(Q1188="","",IFERROR(INDEX(Settings!$J$11:$J$15,MATCH(Q1188,Settings!$H$11:$H$15,0)),"No"))</f>
        <v/>
      </c>
    </row>
    <row r="1189" customFormat="false" ht="15" hidden="false" customHeight="false" outlineLevel="0" collapsed="false">
      <c r="A1189" s="30"/>
      <c r="B1189" s="25"/>
      <c r="C1189" s="25"/>
      <c r="D1189" s="25"/>
      <c r="E1189" s="25"/>
      <c r="F1189" s="25"/>
      <c r="G1189" s="25"/>
      <c r="H1189" s="31"/>
      <c r="I1189" s="32"/>
      <c r="J1189" s="33"/>
      <c r="K1189" s="34" t="str">
        <f aca="false">IF(OR(H1189="",I1189=""),"",H1189*I1189*(1-N(J1189)))</f>
        <v/>
      </c>
      <c r="L1189" s="32"/>
      <c r="M1189" s="34" t="str">
        <f aca="false">IF(OR(H1189="",L1189=""),"",H1189*L1189)</f>
        <v/>
      </c>
      <c r="N1189" s="34" t="str">
        <f aca="false">IF(OR(K1189="",M1189=""),"",K1189-M1189)</f>
        <v/>
      </c>
      <c r="O1189" s="35" t="str">
        <f aca="false">IF(OR(N1189="",K1189=""),"",IF(K1189=0,"",N1189/K1189))</f>
        <v/>
      </c>
      <c r="P1189" s="25"/>
      <c r="Q1189" s="25"/>
      <c r="R1189" s="25"/>
      <c r="S1189" s="36" t="str">
        <f aca="false">IF(A1189="","",YEAR(A1189)+IF(AND(FYStart&gt;1,MONTH(A1189)&gt;=FYStart),1,0))</f>
        <v/>
      </c>
      <c r="T1189" s="36" t="str">
        <f aca="false">IF(A1189="","",MOD(MONTH(A1189)-FYStart,12)+1)</f>
        <v/>
      </c>
      <c r="U1189" s="37" t="str">
        <f aca="false">IF(A1189="","",TEXT(A1189,"mmm"))</f>
        <v/>
      </c>
      <c r="V1189" s="37" t="str">
        <f aca="false">IF(Q1189="","",IFERROR(INDEX(Settings!$I$11:$I$15,MATCH(Q1189,Settings!$H$11:$H$15,0)),"No"))</f>
        <v/>
      </c>
      <c r="W1189" s="37" t="str">
        <f aca="false">IF(Q1189="","",IFERROR(INDEX(Settings!$J$11:$J$15,MATCH(Q1189,Settings!$H$11:$H$15,0)),"No"))</f>
        <v/>
      </c>
    </row>
    <row r="1190" customFormat="false" ht="15" hidden="false" customHeight="false" outlineLevel="0" collapsed="false">
      <c r="A1190" s="30"/>
      <c r="B1190" s="25"/>
      <c r="C1190" s="25"/>
      <c r="D1190" s="25"/>
      <c r="E1190" s="25"/>
      <c r="F1190" s="25"/>
      <c r="G1190" s="25"/>
      <c r="H1190" s="31"/>
      <c r="I1190" s="32"/>
      <c r="J1190" s="33"/>
      <c r="K1190" s="34" t="str">
        <f aca="false">IF(OR(H1190="",I1190=""),"",H1190*I1190*(1-N(J1190)))</f>
        <v/>
      </c>
      <c r="L1190" s="32"/>
      <c r="M1190" s="34" t="str">
        <f aca="false">IF(OR(H1190="",L1190=""),"",H1190*L1190)</f>
        <v/>
      </c>
      <c r="N1190" s="34" t="str">
        <f aca="false">IF(OR(K1190="",M1190=""),"",K1190-M1190)</f>
        <v/>
      </c>
      <c r="O1190" s="35" t="str">
        <f aca="false">IF(OR(N1190="",K1190=""),"",IF(K1190=0,"",N1190/K1190))</f>
        <v/>
      </c>
      <c r="P1190" s="25"/>
      <c r="Q1190" s="25"/>
      <c r="R1190" s="25"/>
      <c r="S1190" s="36" t="str">
        <f aca="false">IF(A1190="","",YEAR(A1190)+IF(AND(FYStart&gt;1,MONTH(A1190)&gt;=FYStart),1,0))</f>
        <v/>
      </c>
      <c r="T1190" s="36" t="str">
        <f aca="false">IF(A1190="","",MOD(MONTH(A1190)-FYStart,12)+1)</f>
        <v/>
      </c>
      <c r="U1190" s="37" t="str">
        <f aca="false">IF(A1190="","",TEXT(A1190,"mmm"))</f>
        <v/>
      </c>
      <c r="V1190" s="37" t="str">
        <f aca="false">IF(Q1190="","",IFERROR(INDEX(Settings!$I$11:$I$15,MATCH(Q1190,Settings!$H$11:$H$15,0)),"No"))</f>
        <v/>
      </c>
      <c r="W1190" s="37" t="str">
        <f aca="false">IF(Q1190="","",IFERROR(INDEX(Settings!$J$11:$J$15,MATCH(Q1190,Settings!$H$11:$H$15,0)),"No"))</f>
        <v/>
      </c>
    </row>
    <row r="1191" customFormat="false" ht="15" hidden="false" customHeight="false" outlineLevel="0" collapsed="false">
      <c r="A1191" s="30"/>
      <c r="B1191" s="25"/>
      <c r="C1191" s="25"/>
      <c r="D1191" s="25"/>
      <c r="E1191" s="25"/>
      <c r="F1191" s="25"/>
      <c r="G1191" s="25"/>
      <c r="H1191" s="31"/>
      <c r="I1191" s="32"/>
      <c r="J1191" s="33"/>
      <c r="K1191" s="34" t="str">
        <f aca="false">IF(OR(H1191="",I1191=""),"",H1191*I1191*(1-N(J1191)))</f>
        <v/>
      </c>
      <c r="L1191" s="32"/>
      <c r="M1191" s="34" t="str">
        <f aca="false">IF(OR(H1191="",L1191=""),"",H1191*L1191)</f>
        <v/>
      </c>
      <c r="N1191" s="34" t="str">
        <f aca="false">IF(OR(K1191="",M1191=""),"",K1191-M1191)</f>
        <v/>
      </c>
      <c r="O1191" s="35" t="str">
        <f aca="false">IF(OR(N1191="",K1191=""),"",IF(K1191=0,"",N1191/K1191))</f>
        <v/>
      </c>
      <c r="P1191" s="25"/>
      <c r="Q1191" s="25"/>
      <c r="R1191" s="25"/>
      <c r="S1191" s="36" t="str">
        <f aca="false">IF(A1191="","",YEAR(A1191)+IF(AND(FYStart&gt;1,MONTH(A1191)&gt;=FYStart),1,0))</f>
        <v/>
      </c>
      <c r="T1191" s="36" t="str">
        <f aca="false">IF(A1191="","",MOD(MONTH(A1191)-FYStart,12)+1)</f>
        <v/>
      </c>
      <c r="U1191" s="37" t="str">
        <f aca="false">IF(A1191="","",TEXT(A1191,"mmm"))</f>
        <v/>
      </c>
      <c r="V1191" s="37" t="str">
        <f aca="false">IF(Q1191="","",IFERROR(INDEX(Settings!$I$11:$I$15,MATCH(Q1191,Settings!$H$11:$H$15,0)),"No"))</f>
        <v/>
      </c>
      <c r="W1191" s="37" t="str">
        <f aca="false">IF(Q1191="","",IFERROR(INDEX(Settings!$J$11:$J$15,MATCH(Q1191,Settings!$H$11:$H$15,0)),"No"))</f>
        <v/>
      </c>
    </row>
    <row r="1192" customFormat="false" ht="15" hidden="false" customHeight="false" outlineLevel="0" collapsed="false">
      <c r="A1192" s="30"/>
      <c r="B1192" s="25"/>
      <c r="C1192" s="25"/>
      <c r="D1192" s="25"/>
      <c r="E1192" s="25"/>
      <c r="F1192" s="25"/>
      <c r="G1192" s="25"/>
      <c r="H1192" s="31"/>
      <c r="I1192" s="32"/>
      <c r="J1192" s="33"/>
      <c r="K1192" s="34" t="str">
        <f aca="false">IF(OR(H1192="",I1192=""),"",H1192*I1192*(1-N(J1192)))</f>
        <v/>
      </c>
      <c r="L1192" s="32"/>
      <c r="M1192" s="34" t="str">
        <f aca="false">IF(OR(H1192="",L1192=""),"",H1192*L1192)</f>
        <v/>
      </c>
      <c r="N1192" s="34" t="str">
        <f aca="false">IF(OR(K1192="",M1192=""),"",K1192-M1192)</f>
        <v/>
      </c>
      <c r="O1192" s="35" t="str">
        <f aca="false">IF(OR(N1192="",K1192=""),"",IF(K1192=0,"",N1192/K1192))</f>
        <v/>
      </c>
      <c r="P1192" s="25"/>
      <c r="Q1192" s="25"/>
      <c r="R1192" s="25"/>
      <c r="S1192" s="36" t="str">
        <f aca="false">IF(A1192="","",YEAR(A1192)+IF(AND(FYStart&gt;1,MONTH(A1192)&gt;=FYStart),1,0))</f>
        <v/>
      </c>
      <c r="T1192" s="36" t="str">
        <f aca="false">IF(A1192="","",MOD(MONTH(A1192)-FYStart,12)+1)</f>
        <v/>
      </c>
      <c r="U1192" s="37" t="str">
        <f aca="false">IF(A1192="","",TEXT(A1192,"mmm"))</f>
        <v/>
      </c>
      <c r="V1192" s="37" t="str">
        <f aca="false">IF(Q1192="","",IFERROR(INDEX(Settings!$I$11:$I$15,MATCH(Q1192,Settings!$H$11:$H$15,0)),"No"))</f>
        <v/>
      </c>
      <c r="W1192" s="37" t="str">
        <f aca="false">IF(Q1192="","",IFERROR(INDEX(Settings!$J$11:$J$15,MATCH(Q1192,Settings!$H$11:$H$15,0)),"No"))</f>
        <v/>
      </c>
    </row>
    <row r="1193" customFormat="false" ht="15" hidden="false" customHeight="false" outlineLevel="0" collapsed="false">
      <c r="A1193" s="30"/>
      <c r="B1193" s="25"/>
      <c r="C1193" s="25"/>
      <c r="D1193" s="25"/>
      <c r="E1193" s="25"/>
      <c r="F1193" s="25"/>
      <c r="G1193" s="25"/>
      <c r="H1193" s="31"/>
      <c r="I1193" s="32"/>
      <c r="J1193" s="33"/>
      <c r="K1193" s="34" t="str">
        <f aca="false">IF(OR(H1193="",I1193=""),"",H1193*I1193*(1-N(J1193)))</f>
        <v/>
      </c>
      <c r="L1193" s="32"/>
      <c r="M1193" s="34" t="str">
        <f aca="false">IF(OR(H1193="",L1193=""),"",H1193*L1193)</f>
        <v/>
      </c>
      <c r="N1193" s="34" t="str">
        <f aca="false">IF(OR(K1193="",M1193=""),"",K1193-M1193)</f>
        <v/>
      </c>
      <c r="O1193" s="35" t="str">
        <f aca="false">IF(OR(N1193="",K1193=""),"",IF(K1193=0,"",N1193/K1193))</f>
        <v/>
      </c>
      <c r="P1193" s="25"/>
      <c r="Q1193" s="25"/>
      <c r="R1193" s="25"/>
      <c r="S1193" s="36" t="str">
        <f aca="false">IF(A1193="","",YEAR(A1193)+IF(AND(FYStart&gt;1,MONTH(A1193)&gt;=FYStart),1,0))</f>
        <v/>
      </c>
      <c r="T1193" s="36" t="str">
        <f aca="false">IF(A1193="","",MOD(MONTH(A1193)-FYStart,12)+1)</f>
        <v/>
      </c>
      <c r="U1193" s="37" t="str">
        <f aca="false">IF(A1193="","",TEXT(A1193,"mmm"))</f>
        <v/>
      </c>
      <c r="V1193" s="37" t="str">
        <f aca="false">IF(Q1193="","",IFERROR(INDEX(Settings!$I$11:$I$15,MATCH(Q1193,Settings!$H$11:$H$15,0)),"No"))</f>
        <v/>
      </c>
      <c r="W1193" s="37" t="str">
        <f aca="false">IF(Q1193="","",IFERROR(INDEX(Settings!$J$11:$J$15,MATCH(Q1193,Settings!$H$11:$H$15,0)),"No"))</f>
        <v/>
      </c>
    </row>
    <row r="1194" customFormat="false" ht="15" hidden="false" customHeight="false" outlineLevel="0" collapsed="false">
      <c r="A1194" s="30"/>
      <c r="B1194" s="25"/>
      <c r="C1194" s="25"/>
      <c r="D1194" s="25"/>
      <c r="E1194" s="25"/>
      <c r="F1194" s="25"/>
      <c r="G1194" s="25"/>
      <c r="H1194" s="31"/>
      <c r="I1194" s="32"/>
      <c r="J1194" s="33"/>
      <c r="K1194" s="34" t="str">
        <f aca="false">IF(OR(H1194="",I1194=""),"",H1194*I1194*(1-N(J1194)))</f>
        <v/>
      </c>
      <c r="L1194" s="32"/>
      <c r="M1194" s="34" t="str">
        <f aca="false">IF(OR(H1194="",L1194=""),"",H1194*L1194)</f>
        <v/>
      </c>
      <c r="N1194" s="34" t="str">
        <f aca="false">IF(OR(K1194="",M1194=""),"",K1194-M1194)</f>
        <v/>
      </c>
      <c r="O1194" s="35" t="str">
        <f aca="false">IF(OR(N1194="",K1194=""),"",IF(K1194=0,"",N1194/K1194))</f>
        <v/>
      </c>
      <c r="P1194" s="25"/>
      <c r="Q1194" s="25"/>
      <c r="R1194" s="25"/>
      <c r="S1194" s="36" t="str">
        <f aca="false">IF(A1194="","",YEAR(A1194)+IF(AND(FYStart&gt;1,MONTH(A1194)&gt;=FYStart),1,0))</f>
        <v/>
      </c>
      <c r="T1194" s="36" t="str">
        <f aca="false">IF(A1194="","",MOD(MONTH(A1194)-FYStart,12)+1)</f>
        <v/>
      </c>
      <c r="U1194" s="37" t="str">
        <f aca="false">IF(A1194="","",TEXT(A1194,"mmm"))</f>
        <v/>
      </c>
      <c r="V1194" s="37" t="str">
        <f aca="false">IF(Q1194="","",IFERROR(INDEX(Settings!$I$11:$I$15,MATCH(Q1194,Settings!$H$11:$H$15,0)),"No"))</f>
        <v/>
      </c>
      <c r="W1194" s="37" t="str">
        <f aca="false">IF(Q1194="","",IFERROR(INDEX(Settings!$J$11:$J$15,MATCH(Q1194,Settings!$H$11:$H$15,0)),"No"))</f>
        <v/>
      </c>
    </row>
    <row r="1195" customFormat="false" ht="15" hidden="false" customHeight="false" outlineLevel="0" collapsed="false">
      <c r="A1195" s="30"/>
      <c r="B1195" s="25"/>
      <c r="C1195" s="25"/>
      <c r="D1195" s="25"/>
      <c r="E1195" s="25"/>
      <c r="F1195" s="25"/>
      <c r="G1195" s="25"/>
      <c r="H1195" s="31"/>
      <c r="I1195" s="32"/>
      <c r="J1195" s="33"/>
      <c r="K1195" s="34" t="str">
        <f aca="false">IF(OR(H1195="",I1195=""),"",H1195*I1195*(1-N(J1195)))</f>
        <v/>
      </c>
      <c r="L1195" s="32"/>
      <c r="M1195" s="34" t="str">
        <f aca="false">IF(OR(H1195="",L1195=""),"",H1195*L1195)</f>
        <v/>
      </c>
      <c r="N1195" s="34" t="str">
        <f aca="false">IF(OR(K1195="",M1195=""),"",K1195-M1195)</f>
        <v/>
      </c>
      <c r="O1195" s="35" t="str">
        <f aca="false">IF(OR(N1195="",K1195=""),"",IF(K1195=0,"",N1195/K1195))</f>
        <v/>
      </c>
      <c r="P1195" s="25"/>
      <c r="Q1195" s="25"/>
      <c r="R1195" s="25"/>
      <c r="S1195" s="36" t="str">
        <f aca="false">IF(A1195="","",YEAR(A1195)+IF(AND(FYStart&gt;1,MONTH(A1195)&gt;=FYStart),1,0))</f>
        <v/>
      </c>
      <c r="T1195" s="36" t="str">
        <f aca="false">IF(A1195="","",MOD(MONTH(A1195)-FYStart,12)+1)</f>
        <v/>
      </c>
      <c r="U1195" s="37" t="str">
        <f aca="false">IF(A1195="","",TEXT(A1195,"mmm"))</f>
        <v/>
      </c>
      <c r="V1195" s="37" t="str">
        <f aca="false">IF(Q1195="","",IFERROR(INDEX(Settings!$I$11:$I$15,MATCH(Q1195,Settings!$H$11:$H$15,0)),"No"))</f>
        <v/>
      </c>
      <c r="W1195" s="37" t="str">
        <f aca="false">IF(Q1195="","",IFERROR(INDEX(Settings!$J$11:$J$15,MATCH(Q1195,Settings!$H$11:$H$15,0)),"No"))</f>
        <v/>
      </c>
    </row>
    <row r="1196" customFormat="false" ht="15" hidden="false" customHeight="false" outlineLevel="0" collapsed="false">
      <c r="A1196" s="30"/>
      <c r="B1196" s="25"/>
      <c r="C1196" s="25"/>
      <c r="D1196" s="25"/>
      <c r="E1196" s="25"/>
      <c r="F1196" s="25"/>
      <c r="G1196" s="25"/>
      <c r="H1196" s="31"/>
      <c r="I1196" s="32"/>
      <c r="J1196" s="33"/>
      <c r="K1196" s="34" t="str">
        <f aca="false">IF(OR(H1196="",I1196=""),"",H1196*I1196*(1-N(J1196)))</f>
        <v/>
      </c>
      <c r="L1196" s="32"/>
      <c r="M1196" s="34" t="str">
        <f aca="false">IF(OR(H1196="",L1196=""),"",H1196*L1196)</f>
        <v/>
      </c>
      <c r="N1196" s="34" t="str">
        <f aca="false">IF(OR(K1196="",M1196=""),"",K1196-M1196)</f>
        <v/>
      </c>
      <c r="O1196" s="35" t="str">
        <f aca="false">IF(OR(N1196="",K1196=""),"",IF(K1196=0,"",N1196/K1196))</f>
        <v/>
      </c>
      <c r="P1196" s="25"/>
      <c r="Q1196" s="25"/>
      <c r="R1196" s="25"/>
      <c r="S1196" s="36" t="str">
        <f aca="false">IF(A1196="","",YEAR(A1196)+IF(AND(FYStart&gt;1,MONTH(A1196)&gt;=FYStart),1,0))</f>
        <v/>
      </c>
      <c r="T1196" s="36" t="str">
        <f aca="false">IF(A1196="","",MOD(MONTH(A1196)-FYStart,12)+1)</f>
        <v/>
      </c>
      <c r="U1196" s="37" t="str">
        <f aca="false">IF(A1196="","",TEXT(A1196,"mmm"))</f>
        <v/>
      </c>
      <c r="V1196" s="37" t="str">
        <f aca="false">IF(Q1196="","",IFERROR(INDEX(Settings!$I$11:$I$15,MATCH(Q1196,Settings!$H$11:$H$15,0)),"No"))</f>
        <v/>
      </c>
      <c r="W1196" s="37" t="str">
        <f aca="false">IF(Q1196="","",IFERROR(INDEX(Settings!$J$11:$J$15,MATCH(Q1196,Settings!$H$11:$H$15,0)),"No"))</f>
        <v/>
      </c>
    </row>
    <row r="1197" customFormat="false" ht="15" hidden="false" customHeight="false" outlineLevel="0" collapsed="false">
      <c r="A1197" s="30"/>
      <c r="B1197" s="25"/>
      <c r="C1197" s="25"/>
      <c r="D1197" s="25"/>
      <c r="E1197" s="25"/>
      <c r="F1197" s="25"/>
      <c r="G1197" s="25"/>
      <c r="H1197" s="31"/>
      <c r="I1197" s="32"/>
      <c r="J1197" s="33"/>
      <c r="K1197" s="34" t="str">
        <f aca="false">IF(OR(H1197="",I1197=""),"",H1197*I1197*(1-N(J1197)))</f>
        <v/>
      </c>
      <c r="L1197" s="32"/>
      <c r="M1197" s="34" t="str">
        <f aca="false">IF(OR(H1197="",L1197=""),"",H1197*L1197)</f>
        <v/>
      </c>
      <c r="N1197" s="34" t="str">
        <f aca="false">IF(OR(K1197="",M1197=""),"",K1197-M1197)</f>
        <v/>
      </c>
      <c r="O1197" s="35" t="str">
        <f aca="false">IF(OR(N1197="",K1197=""),"",IF(K1197=0,"",N1197/K1197))</f>
        <v/>
      </c>
      <c r="P1197" s="25"/>
      <c r="Q1197" s="25"/>
      <c r="R1197" s="25"/>
      <c r="S1197" s="36" t="str">
        <f aca="false">IF(A1197="","",YEAR(A1197)+IF(AND(FYStart&gt;1,MONTH(A1197)&gt;=FYStart),1,0))</f>
        <v/>
      </c>
      <c r="T1197" s="36" t="str">
        <f aca="false">IF(A1197="","",MOD(MONTH(A1197)-FYStart,12)+1)</f>
        <v/>
      </c>
      <c r="U1197" s="37" t="str">
        <f aca="false">IF(A1197="","",TEXT(A1197,"mmm"))</f>
        <v/>
      </c>
      <c r="V1197" s="37" t="str">
        <f aca="false">IF(Q1197="","",IFERROR(INDEX(Settings!$I$11:$I$15,MATCH(Q1197,Settings!$H$11:$H$15,0)),"No"))</f>
        <v/>
      </c>
      <c r="W1197" s="37" t="str">
        <f aca="false">IF(Q1197="","",IFERROR(INDEX(Settings!$J$11:$J$15,MATCH(Q1197,Settings!$H$11:$H$15,0)),"No"))</f>
        <v/>
      </c>
    </row>
    <row r="1198" customFormat="false" ht="15" hidden="false" customHeight="false" outlineLevel="0" collapsed="false">
      <c r="A1198" s="30"/>
      <c r="B1198" s="25"/>
      <c r="C1198" s="25"/>
      <c r="D1198" s="25"/>
      <c r="E1198" s="25"/>
      <c r="F1198" s="25"/>
      <c r="G1198" s="25"/>
      <c r="H1198" s="31"/>
      <c r="I1198" s="32"/>
      <c r="J1198" s="33"/>
      <c r="K1198" s="34" t="str">
        <f aca="false">IF(OR(H1198="",I1198=""),"",H1198*I1198*(1-N(J1198)))</f>
        <v/>
      </c>
      <c r="L1198" s="32"/>
      <c r="M1198" s="34" t="str">
        <f aca="false">IF(OR(H1198="",L1198=""),"",H1198*L1198)</f>
        <v/>
      </c>
      <c r="N1198" s="34" t="str">
        <f aca="false">IF(OR(K1198="",M1198=""),"",K1198-M1198)</f>
        <v/>
      </c>
      <c r="O1198" s="35" t="str">
        <f aca="false">IF(OR(N1198="",K1198=""),"",IF(K1198=0,"",N1198/K1198))</f>
        <v/>
      </c>
      <c r="P1198" s="25"/>
      <c r="Q1198" s="25"/>
      <c r="R1198" s="25"/>
      <c r="S1198" s="36" t="str">
        <f aca="false">IF(A1198="","",YEAR(A1198)+IF(AND(FYStart&gt;1,MONTH(A1198)&gt;=FYStart),1,0))</f>
        <v/>
      </c>
      <c r="T1198" s="36" t="str">
        <f aca="false">IF(A1198="","",MOD(MONTH(A1198)-FYStart,12)+1)</f>
        <v/>
      </c>
      <c r="U1198" s="37" t="str">
        <f aca="false">IF(A1198="","",TEXT(A1198,"mmm"))</f>
        <v/>
      </c>
      <c r="V1198" s="37" t="str">
        <f aca="false">IF(Q1198="","",IFERROR(INDEX(Settings!$I$11:$I$15,MATCH(Q1198,Settings!$H$11:$H$15,0)),"No"))</f>
        <v/>
      </c>
      <c r="W1198" s="37" t="str">
        <f aca="false">IF(Q1198="","",IFERROR(INDEX(Settings!$J$11:$J$15,MATCH(Q1198,Settings!$H$11:$H$15,0)),"No"))</f>
        <v/>
      </c>
    </row>
    <row r="1199" customFormat="false" ht="15" hidden="false" customHeight="false" outlineLevel="0" collapsed="false">
      <c r="A1199" s="30"/>
      <c r="B1199" s="25"/>
      <c r="C1199" s="25"/>
      <c r="D1199" s="25"/>
      <c r="E1199" s="25"/>
      <c r="F1199" s="25"/>
      <c r="G1199" s="25"/>
      <c r="H1199" s="31"/>
      <c r="I1199" s="32"/>
      <c r="J1199" s="33"/>
      <c r="K1199" s="34" t="str">
        <f aca="false">IF(OR(H1199="",I1199=""),"",H1199*I1199*(1-N(J1199)))</f>
        <v/>
      </c>
      <c r="L1199" s="32"/>
      <c r="M1199" s="34" t="str">
        <f aca="false">IF(OR(H1199="",L1199=""),"",H1199*L1199)</f>
        <v/>
      </c>
      <c r="N1199" s="34" t="str">
        <f aca="false">IF(OR(K1199="",M1199=""),"",K1199-M1199)</f>
        <v/>
      </c>
      <c r="O1199" s="35" t="str">
        <f aca="false">IF(OR(N1199="",K1199=""),"",IF(K1199=0,"",N1199/K1199))</f>
        <v/>
      </c>
      <c r="P1199" s="25"/>
      <c r="Q1199" s="25"/>
      <c r="R1199" s="25"/>
      <c r="S1199" s="36" t="str">
        <f aca="false">IF(A1199="","",YEAR(A1199)+IF(AND(FYStart&gt;1,MONTH(A1199)&gt;=FYStart),1,0))</f>
        <v/>
      </c>
      <c r="T1199" s="36" t="str">
        <f aca="false">IF(A1199="","",MOD(MONTH(A1199)-FYStart,12)+1)</f>
        <v/>
      </c>
      <c r="U1199" s="37" t="str">
        <f aca="false">IF(A1199="","",TEXT(A1199,"mmm"))</f>
        <v/>
      </c>
      <c r="V1199" s="37" t="str">
        <f aca="false">IF(Q1199="","",IFERROR(INDEX(Settings!$I$11:$I$15,MATCH(Q1199,Settings!$H$11:$H$15,0)),"No"))</f>
        <v/>
      </c>
      <c r="W1199" s="37" t="str">
        <f aca="false">IF(Q1199="","",IFERROR(INDEX(Settings!$J$11:$J$15,MATCH(Q1199,Settings!$H$11:$H$15,0)),"No"))</f>
        <v/>
      </c>
    </row>
    <row r="1200" customFormat="false" ht="15" hidden="false" customHeight="false" outlineLevel="0" collapsed="false">
      <c r="A1200" s="30"/>
      <c r="B1200" s="25"/>
      <c r="C1200" s="25"/>
      <c r="D1200" s="25"/>
      <c r="E1200" s="25"/>
      <c r="F1200" s="25"/>
      <c r="G1200" s="25"/>
      <c r="H1200" s="31"/>
      <c r="I1200" s="32"/>
      <c r="J1200" s="33"/>
      <c r="K1200" s="34" t="str">
        <f aca="false">IF(OR(H1200="",I1200=""),"",H1200*I1200*(1-N(J1200)))</f>
        <v/>
      </c>
      <c r="L1200" s="32"/>
      <c r="M1200" s="34" t="str">
        <f aca="false">IF(OR(H1200="",L1200=""),"",H1200*L1200)</f>
        <v/>
      </c>
      <c r="N1200" s="34" t="str">
        <f aca="false">IF(OR(K1200="",M1200=""),"",K1200-M1200)</f>
        <v/>
      </c>
      <c r="O1200" s="35" t="str">
        <f aca="false">IF(OR(N1200="",K1200=""),"",IF(K1200=0,"",N1200/K1200))</f>
        <v/>
      </c>
      <c r="P1200" s="25"/>
      <c r="Q1200" s="25"/>
      <c r="R1200" s="25"/>
      <c r="S1200" s="36" t="str">
        <f aca="false">IF(A1200="","",YEAR(A1200)+IF(AND(FYStart&gt;1,MONTH(A1200)&gt;=FYStart),1,0))</f>
        <v/>
      </c>
      <c r="T1200" s="36" t="str">
        <f aca="false">IF(A1200="","",MOD(MONTH(A1200)-FYStart,12)+1)</f>
        <v/>
      </c>
      <c r="U1200" s="37" t="str">
        <f aca="false">IF(A1200="","",TEXT(A1200,"mmm"))</f>
        <v/>
      </c>
      <c r="V1200" s="37" t="str">
        <f aca="false">IF(Q1200="","",IFERROR(INDEX(Settings!$I$11:$I$15,MATCH(Q1200,Settings!$H$11:$H$15,0)),"No"))</f>
        <v/>
      </c>
      <c r="W1200" s="37" t="str">
        <f aca="false">IF(Q1200="","",IFERROR(INDEX(Settings!$J$11:$J$15,MATCH(Q1200,Settings!$H$11:$H$15,0)),"No"))</f>
        <v/>
      </c>
    </row>
    <row r="1201" customFormat="false" ht="15" hidden="false" customHeight="false" outlineLevel="0" collapsed="false">
      <c r="A1201" s="30"/>
      <c r="B1201" s="25"/>
      <c r="C1201" s="25"/>
      <c r="D1201" s="25"/>
      <c r="E1201" s="25"/>
      <c r="F1201" s="25"/>
      <c r="G1201" s="25"/>
      <c r="H1201" s="31"/>
      <c r="I1201" s="32"/>
      <c r="J1201" s="33"/>
      <c r="K1201" s="34" t="str">
        <f aca="false">IF(OR(H1201="",I1201=""),"",H1201*I1201*(1-N(J1201)))</f>
        <v/>
      </c>
      <c r="L1201" s="32"/>
      <c r="M1201" s="34" t="str">
        <f aca="false">IF(OR(H1201="",L1201=""),"",H1201*L1201)</f>
        <v/>
      </c>
      <c r="N1201" s="34" t="str">
        <f aca="false">IF(OR(K1201="",M1201=""),"",K1201-M1201)</f>
        <v/>
      </c>
      <c r="O1201" s="35" t="str">
        <f aca="false">IF(OR(N1201="",K1201=""),"",IF(K1201=0,"",N1201/K1201))</f>
        <v/>
      </c>
      <c r="P1201" s="25"/>
      <c r="Q1201" s="25"/>
      <c r="R1201" s="25"/>
      <c r="S1201" s="36" t="str">
        <f aca="false">IF(A1201="","",YEAR(A1201)+IF(AND(FYStart&gt;1,MONTH(A1201)&gt;=FYStart),1,0))</f>
        <v/>
      </c>
      <c r="T1201" s="36" t="str">
        <f aca="false">IF(A1201="","",MOD(MONTH(A1201)-FYStart,12)+1)</f>
        <v/>
      </c>
      <c r="U1201" s="37" t="str">
        <f aca="false">IF(A1201="","",TEXT(A1201,"mmm"))</f>
        <v/>
      </c>
      <c r="V1201" s="37" t="str">
        <f aca="false">IF(Q1201="","",IFERROR(INDEX(Settings!$I$11:$I$15,MATCH(Q1201,Settings!$H$11:$H$15,0)),"No"))</f>
        <v/>
      </c>
      <c r="W1201" s="37" t="str">
        <f aca="false">IF(Q1201="","",IFERROR(INDEX(Settings!$J$11:$J$15,MATCH(Q1201,Settings!$H$11:$H$15,0)),"No"))</f>
        <v/>
      </c>
    </row>
    <row r="1202" customFormat="false" ht="15" hidden="false" customHeight="false" outlineLevel="0" collapsed="false">
      <c r="A1202" s="30"/>
      <c r="B1202" s="25"/>
      <c r="C1202" s="25"/>
      <c r="D1202" s="25"/>
      <c r="E1202" s="25"/>
      <c r="F1202" s="25"/>
      <c r="G1202" s="25"/>
      <c r="H1202" s="31"/>
      <c r="I1202" s="32"/>
      <c r="J1202" s="33"/>
      <c r="K1202" s="34" t="str">
        <f aca="false">IF(OR(H1202="",I1202=""),"",H1202*I1202*(1-N(J1202)))</f>
        <v/>
      </c>
      <c r="L1202" s="32"/>
      <c r="M1202" s="34" t="str">
        <f aca="false">IF(OR(H1202="",L1202=""),"",H1202*L1202)</f>
        <v/>
      </c>
      <c r="N1202" s="34" t="str">
        <f aca="false">IF(OR(K1202="",M1202=""),"",K1202-M1202)</f>
        <v/>
      </c>
      <c r="O1202" s="35" t="str">
        <f aca="false">IF(OR(N1202="",K1202=""),"",IF(K1202=0,"",N1202/K1202))</f>
        <v/>
      </c>
      <c r="P1202" s="25"/>
      <c r="Q1202" s="25"/>
      <c r="R1202" s="25"/>
      <c r="S1202" s="36" t="str">
        <f aca="false">IF(A1202="","",YEAR(A1202)+IF(AND(FYStart&gt;1,MONTH(A1202)&gt;=FYStart),1,0))</f>
        <v/>
      </c>
      <c r="T1202" s="36" t="str">
        <f aca="false">IF(A1202="","",MOD(MONTH(A1202)-FYStart,12)+1)</f>
        <v/>
      </c>
      <c r="U1202" s="37" t="str">
        <f aca="false">IF(A1202="","",TEXT(A1202,"mmm"))</f>
        <v/>
      </c>
      <c r="V1202" s="37" t="str">
        <f aca="false">IF(Q1202="","",IFERROR(INDEX(Settings!$I$11:$I$15,MATCH(Q1202,Settings!$H$11:$H$15,0)),"No"))</f>
        <v/>
      </c>
      <c r="W1202" s="37" t="str">
        <f aca="false">IF(Q1202="","",IFERROR(INDEX(Settings!$J$11:$J$15,MATCH(Q1202,Settings!$H$11:$H$15,0)),"No"))</f>
        <v/>
      </c>
    </row>
    <row r="1203" customFormat="false" ht="15" hidden="false" customHeight="false" outlineLevel="0" collapsed="false">
      <c r="A1203" s="30"/>
      <c r="B1203" s="25"/>
      <c r="C1203" s="25"/>
      <c r="D1203" s="25"/>
      <c r="E1203" s="25"/>
      <c r="F1203" s="25"/>
      <c r="G1203" s="25"/>
      <c r="H1203" s="31"/>
      <c r="I1203" s="32"/>
      <c r="J1203" s="33"/>
      <c r="K1203" s="34" t="str">
        <f aca="false">IF(OR(H1203="",I1203=""),"",H1203*I1203*(1-N(J1203)))</f>
        <v/>
      </c>
      <c r="L1203" s="32"/>
      <c r="M1203" s="34" t="str">
        <f aca="false">IF(OR(H1203="",L1203=""),"",H1203*L1203)</f>
        <v/>
      </c>
      <c r="N1203" s="34" t="str">
        <f aca="false">IF(OR(K1203="",M1203=""),"",K1203-M1203)</f>
        <v/>
      </c>
      <c r="O1203" s="35" t="str">
        <f aca="false">IF(OR(N1203="",K1203=""),"",IF(K1203=0,"",N1203/K1203))</f>
        <v/>
      </c>
      <c r="P1203" s="25"/>
      <c r="Q1203" s="25"/>
      <c r="R1203" s="25"/>
      <c r="S1203" s="36" t="str">
        <f aca="false">IF(A1203="","",YEAR(A1203)+IF(AND(FYStart&gt;1,MONTH(A1203)&gt;=FYStart),1,0))</f>
        <v/>
      </c>
      <c r="T1203" s="36" t="str">
        <f aca="false">IF(A1203="","",MOD(MONTH(A1203)-FYStart,12)+1)</f>
        <v/>
      </c>
      <c r="U1203" s="37" t="str">
        <f aca="false">IF(A1203="","",TEXT(A1203,"mmm"))</f>
        <v/>
      </c>
      <c r="V1203" s="37" t="str">
        <f aca="false">IF(Q1203="","",IFERROR(INDEX(Settings!$I$11:$I$15,MATCH(Q1203,Settings!$H$11:$H$15,0)),"No"))</f>
        <v/>
      </c>
      <c r="W1203" s="37" t="str">
        <f aca="false">IF(Q1203="","",IFERROR(INDEX(Settings!$J$11:$J$15,MATCH(Q1203,Settings!$H$11:$H$15,0)),"No"))</f>
        <v/>
      </c>
    </row>
    <row r="1204" customFormat="false" ht="15" hidden="false" customHeight="false" outlineLevel="0" collapsed="false">
      <c r="A1204" s="30"/>
      <c r="B1204" s="25"/>
      <c r="C1204" s="25"/>
      <c r="D1204" s="25"/>
      <c r="E1204" s="25"/>
      <c r="F1204" s="25"/>
      <c r="G1204" s="25"/>
      <c r="H1204" s="31"/>
      <c r="I1204" s="32"/>
      <c r="J1204" s="33"/>
      <c r="K1204" s="34" t="str">
        <f aca="false">IF(OR(H1204="",I1204=""),"",H1204*I1204*(1-N(J1204)))</f>
        <v/>
      </c>
      <c r="L1204" s="32"/>
      <c r="M1204" s="34" t="str">
        <f aca="false">IF(OR(H1204="",L1204=""),"",H1204*L1204)</f>
        <v/>
      </c>
      <c r="N1204" s="34" t="str">
        <f aca="false">IF(OR(K1204="",M1204=""),"",K1204-M1204)</f>
        <v/>
      </c>
      <c r="O1204" s="35" t="str">
        <f aca="false">IF(OR(N1204="",K1204=""),"",IF(K1204=0,"",N1204/K1204))</f>
        <v/>
      </c>
      <c r="P1204" s="25"/>
      <c r="Q1204" s="25"/>
      <c r="R1204" s="25"/>
      <c r="S1204" s="36" t="str">
        <f aca="false">IF(A1204="","",YEAR(A1204)+IF(AND(FYStart&gt;1,MONTH(A1204)&gt;=FYStart),1,0))</f>
        <v/>
      </c>
      <c r="T1204" s="36" t="str">
        <f aca="false">IF(A1204="","",MOD(MONTH(A1204)-FYStart,12)+1)</f>
        <v/>
      </c>
      <c r="U1204" s="37" t="str">
        <f aca="false">IF(A1204="","",TEXT(A1204,"mmm"))</f>
        <v/>
      </c>
      <c r="V1204" s="37" t="str">
        <f aca="false">IF(Q1204="","",IFERROR(INDEX(Settings!$I$11:$I$15,MATCH(Q1204,Settings!$H$11:$H$15,0)),"No"))</f>
        <v/>
      </c>
      <c r="W1204" s="37" t="str">
        <f aca="false">IF(Q1204="","",IFERROR(INDEX(Settings!$J$11:$J$15,MATCH(Q1204,Settings!$H$11:$H$15,0)),"No"))</f>
        <v/>
      </c>
    </row>
    <row r="1205" customFormat="false" ht="15" hidden="false" customHeight="false" outlineLevel="0" collapsed="false">
      <c r="A1205" s="30"/>
      <c r="B1205" s="25"/>
      <c r="C1205" s="25"/>
      <c r="D1205" s="25"/>
      <c r="E1205" s="25"/>
      <c r="F1205" s="25"/>
      <c r="G1205" s="25"/>
      <c r="H1205" s="31"/>
      <c r="I1205" s="32"/>
      <c r="J1205" s="33"/>
      <c r="K1205" s="34" t="str">
        <f aca="false">IF(OR(H1205="",I1205=""),"",H1205*I1205*(1-N(J1205)))</f>
        <v/>
      </c>
      <c r="L1205" s="32"/>
      <c r="M1205" s="34" t="str">
        <f aca="false">IF(OR(H1205="",L1205=""),"",H1205*L1205)</f>
        <v/>
      </c>
      <c r="N1205" s="34" t="str">
        <f aca="false">IF(OR(K1205="",M1205=""),"",K1205-M1205)</f>
        <v/>
      </c>
      <c r="O1205" s="35" t="str">
        <f aca="false">IF(OR(N1205="",K1205=""),"",IF(K1205=0,"",N1205/K1205))</f>
        <v/>
      </c>
      <c r="P1205" s="25"/>
      <c r="Q1205" s="25"/>
      <c r="R1205" s="25"/>
      <c r="S1205" s="36" t="str">
        <f aca="false">IF(A1205="","",YEAR(A1205)+IF(AND(FYStart&gt;1,MONTH(A1205)&gt;=FYStart),1,0))</f>
        <v/>
      </c>
      <c r="T1205" s="36" t="str">
        <f aca="false">IF(A1205="","",MOD(MONTH(A1205)-FYStart,12)+1)</f>
        <v/>
      </c>
      <c r="U1205" s="37" t="str">
        <f aca="false">IF(A1205="","",TEXT(A1205,"mmm"))</f>
        <v/>
      </c>
      <c r="V1205" s="37" t="str">
        <f aca="false">IF(Q1205="","",IFERROR(INDEX(Settings!$I$11:$I$15,MATCH(Q1205,Settings!$H$11:$H$15,0)),"No"))</f>
        <v/>
      </c>
      <c r="W1205" s="37" t="str">
        <f aca="false">IF(Q1205="","",IFERROR(INDEX(Settings!$J$11:$J$15,MATCH(Q1205,Settings!$H$11:$H$15,0)),"No"))</f>
        <v/>
      </c>
    </row>
    <row r="1206" customFormat="false" ht="15" hidden="false" customHeight="false" outlineLevel="0" collapsed="false">
      <c r="A1206" s="30"/>
      <c r="B1206" s="25"/>
      <c r="C1206" s="25"/>
      <c r="D1206" s="25"/>
      <c r="E1206" s="25"/>
      <c r="F1206" s="25"/>
      <c r="G1206" s="25"/>
      <c r="H1206" s="31"/>
      <c r="I1206" s="32"/>
      <c r="J1206" s="33"/>
      <c r="K1206" s="34" t="str">
        <f aca="false">IF(OR(H1206="",I1206=""),"",H1206*I1206*(1-N(J1206)))</f>
        <v/>
      </c>
      <c r="L1206" s="32"/>
      <c r="M1206" s="34" t="str">
        <f aca="false">IF(OR(H1206="",L1206=""),"",H1206*L1206)</f>
        <v/>
      </c>
      <c r="N1206" s="34" t="str">
        <f aca="false">IF(OR(K1206="",M1206=""),"",K1206-M1206)</f>
        <v/>
      </c>
      <c r="O1206" s="35" t="str">
        <f aca="false">IF(OR(N1206="",K1206=""),"",IF(K1206=0,"",N1206/K1206))</f>
        <v/>
      </c>
      <c r="P1206" s="25"/>
      <c r="Q1206" s="25"/>
      <c r="R1206" s="25"/>
      <c r="S1206" s="36" t="str">
        <f aca="false">IF(A1206="","",YEAR(A1206)+IF(AND(FYStart&gt;1,MONTH(A1206)&gt;=FYStart),1,0))</f>
        <v/>
      </c>
      <c r="T1206" s="36" t="str">
        <f aca="false">IF(A1206="","",MOD(MONTH(A1206)-FYStart,12)+1)</f>
        <v/>
      </c>
      <c r="U1206" s="37" t="str">
        <f aca="false">IF(A1206="","",TEXT(A1206,"mmm"))</f>
        <v/>
      </c>
      <c r="V1206" s="37" t="str">
        <f aca="false">IF(Q1206="","",IFERROR(INDEX(Settings!$I$11:$I$15,MATCH(Q1206,Settings!$H$11:$H$15,0)),"No"))</f>
        <v/>
      </c>
      <c r="W1206" s="37" t="str">
        <f aca="false">IF(Q1206="","",IFERROR(INDEX(Settings!$J$11:$J$15,MATCH(Q1206,Settings!$H$11:$H$15,0)),"No"))</f>
        <v/>
      </c>
    </row>
    <row r="1207" customFormat="false" ht="15" hidden="false" customHeight="false" outlineLevel="0" collapsed="false">
      <c r="A1207" s="30"/>
      <c r="B1207" s="25"/>
      <c r="C1207" s="25"/>
      <c r="D1207" s="25"/>
      <c r="E1207" s="25"/>
      <c r="F1207" s="25"/>
      <c r="G1207" s="25"/>
      <c r="H1207" s="31"/>
      <c r="I1207" s="32"/>
      <c r="J1207" s="33"/>
      <c r="K1207" s="34" t="str">
        <f aca="false">IF(OR(H1207="",I1207=""),"",H1207*I1207*(1-N(J1207)))</f>
        <v/>
      </c>
      <c r="L1207" s="32"/>
      <c r="M1207" s="34" t="str">
        <f aca="false">IF(OR(H1207="",L1207=""),"",H1207*L1207)</f>
        <v/>
      </c>
      <c r="N1207" s="34" t="str">
        <f aca="false">IF(OR(K1207="",M1207=""),"",K1207-M1207)</f>
        <v/>
      </c>
      <c r="O1207" s="35" t="str">
        <f aca="false">IF(OR(N1207="",K1207=""),"",IF(K1207=0,"",N1207/K1207))</f>
        <v/>
      </c>
      <c r="P1207" s="25"/>
      <c r="Q1207" s="25"/>
      <c r="R1207" s="25"/>
      <c r="S1207" s="36" t="str">
        <f aca="false">IF(A1207="","",YEAR(A1207)+IF(AND(FYStart&gt;1,MONTH(A1207)&gt;=FYStart),1,0))</f>
        <v/>
      </c>
      <c r="T1207" s="36" t="str">
        <f aca="false">IF(A1207="","",MOD(MONTH(A1207)-FYStart,12)+1)</f>
        <v/>
      </c>
      <c r="U1207" s="37" t="str">
        <f aca="false">IF(A1207="","",TEXT(A1207,"mmm"))</f>
        <v/>
      </c>
      <c r="V1207" s="37" t="str">
        <f aca="false">IF(Q1207="","",IFERROR(INDEX(Settings!$I$11:$I$15,MATCH(Q1207,Settings!$H$11:$H$15,0)),"No"))</f>
        <v/>
      </c>
      <c r="W1207" s="37" t="str">
        <f aca="false">IF(Q1207="","",IFERROR(INDEX(Settings!$J$11:$J$15,MATCH(Q1207,Settings!$H$11:$H$15,0)),"No"))</f>
        <v/>
      </c>
    </row>
    <row r="1208" customFormat="false" ht="15" hidden="false" customHeight="false" outlineLevel="0" collapsed="false">
      <c r="A1208" s="30"/>
      <c r="B1208" s="25"/>
      <c r="C1208" s="25"/>
      <c r="D1208" s="25"/>
      <c r="E1208" s="25"/>
      <c r="F1208" s="25"/>
      <c r="G1208" s="25"/>
      <c r="H1208" s="31"/>
      <c r="I1208" s="32"/>
      <c r="J1208" s="33"/>
      <c r="K1208" s="34" t="str">
        <f aca="false">IF(OR(H1208="",I1208=""),"",H1208*I1208*(1-N(J1208)))</f>
        <v/>
      </c>
      <c r="L1208" s="32"/>
      <c r="M1208" s="34" t="str">
        <f aca="false">IF(OR(H1208="",L1208=""),"",H1208*L1208)</f>
        <v/>
      </c>
      <c r="N1208" s="34" t="str">
        <f aca="false">IF(OR(K1208="",M1208=""),"",K1208-M1208)</f>
        <v/>
      </c>
      <c r="O1208" s="35" t="str">
        <f aca="false">IF(OR(N1208="",K1208=""),"",IF(K1208=0,"",N1208/K1208))</f>
        <v/>
      </c>
      <c r="P1208" s="25"/>
      <c r="Q1208" s="25"/>
      <c r="R1208" s="25"/>
      <c r="S1208" s="36" t="str">
        <f aca="false">IF(A1208="","",YEAR(A1208)+IF(AND(FYStart&gt;1,MONTH(A1208)&gt;=FYStart),1,0))</f>
        <v/>
      </c>
      <c r="T1208" s="36" t="str">
        <f aca="false">IF(A1208="","",MOD(MONTH(A1208)-FYStart,12)+1)</f>
        <v/>
      </c>
      <c r="U1208" s="37" t="str">
        <f aca="false">IF(A1208="","",TEXT(A1208,"mmm"))</f>
        <v/>
      </c>
      <c r="V1208" s="37" t="str">
        <f aca="false">IF(Q1208="","",IFERROR(INDEX(Settings!$I$11:$I$15,MATCH(Q1208,Settings!$H$11:$H$15,0)),"No"))</f>
        <v/>
      </c>
      <c r="W1208" s="37" t="str">
        <f aca="false">IF(Q1208="","",IFERROR(INDEX(Settings!$J$11:$J$15,MATCH(Q1208,Settings!$H$11:$H$15,0)),"No"))</f>
        <v/>
      </c>
    </row>
    <row r="1209" customFormat="false" ht="15" hidden="false" customHeight="false" outlineLevel="0" collapsed="false">
      <c r="A1209" s="30"/>
      <c r="B1209" s="25"/>
      <c r="C1209" s="25"/>
      <c r="D1209" s="25"/>
      <c r="E1209" s="25"/>
      <c r="F1209" s="25"/>
      <c r="G1209" s="25"/>
      <c r="H1209" s="31"/>
      <c r="I1209" s="32"/>
      <c r="J1209" s="33"/>
      <c r="K1209" s="34" t="str">
        <f aca="false">IF(OR(H1209="",I1209=""),"",H1209*I1209*(1-N(J1209)))</f>
        <v/>
      </c>
      <c r="L1209" s="32"/>
      <c r="M1209" s="34" t="str">
        <f aca="false">IF(OR(H1209="",L1209=""),"",H1209*L1209)</f>
        <v/>
      </c>
      <c r="N1209" s="34" t="str">
        <f aca="false">IF(OR(K1209="",M1209=""),"",K1209-M1209)</f>
        <v/>
      </c>
      <c r="O1209" s="35" t="str">
        <f aca="false">IF(OR(N1209="",K1209=""),"",IF(K1209=0,"",N1209/K1209))</f>
        <v/>
      </c>
      <c r="P1209" s="25"/>
      <c r="Q1209" s="25"/>
      <c r="R1209" s="25"/>
      <c r="S1209" s="36" t="str">
        <f aca="false">IF(A1209="","",YEAR(A1209)+IF(AND(FYStart&gt;1,MONTH(A1209)&gt;=FYStart),1,0))</f>
        <v/>
      </c>
      <c r="T1209" s="36" t="str">
        <f aca="false">IF(A1209="","",MOD(MONTH(A1209)-FYStart,12)+1)</f>
        <v/>
      </c>
      <c r="U1209" s="37" t="str">
        <f aca="false">IF(A1209="","",TEXT(A1209,"mmm"))</f>
        <v/>
      </c>
      <c r="V1209" s="37" t="str">
        <f aca="false">IF(Q1209="","",IFERROR(INDEX(Settings!$I$11:$I$15,MATCH(Q1209,Settings!$H$11:$H$15,0)),"No"))</f>
        <v/>
      </c>
      <c r="W1209" s="37" t="str">
        <f aca="false">IF(Q1209="","",IFERROR(INDEX(Settings!$J$11:$J$15,MATCH(Q1209,Settings!$H$11:$H$15,0)),"No"))</f>
        <v/>
      </c>
    </row>
    <row r="1210" customFormat="false" ht="15" hidden="false" customHeight="false" outlineLevel="0" collapsed="false">
      <c r="A1210" s="30"/>
      <c r="B1210" s="25"/>
      <c r="C1210" s="25"/>
      <c r="D1210" s="25"/>
      <c r="E1210" s="25"/>
      <c r="F1210" s="25"/>
      <c r="G1210" s="25"/>
      <c r="H1210" s="31"/>
      <c r="I1210" s="32"/>
      <c r="J1210" s="33"/>
      <c r="K1210" s="34" t="str">
        <f aca="false">IF(OR(H1210="",I1210=""),"",H1210*I1210*(1-N(J1210)))</f>
        <v/>
      </c>
      <c r="L1210" s="32"/>
      <c r="M1210" s="34" t="str">
        <f aca="false">IF(OR(H1210="",L1210=""),"",H1210*L1210)</f>
        <v/>
      </c>
      <c r="N1210" s="34" t="str">
        <f aca="false">IF(OR(K1210="",M1210=""),"",K1210-M1210)</f>
        <v/>
      </c>
      <c r="O1210" s="35" t="str">
        <f aca="false">IF(OR(N1210="",K1210=""),"",IF(K1210=0,"",N1210/K1210))</f>
        <v/>
      </c>
      <c r="P1210" s="25"/>
      <c r="Q1210" s="25"/>
      <c r="R1210" s="25"/>
      <c r="S1210" s="36" t="str">
        <f aca="false">IF(A1210="","",YEAR(A1210)+IF(AND(FYStart&gt;1,MONTH(A1210)&gt;=FYStart),1,0))</f>
        <v/>
      </c>
      <c r="T1210" s="36" t="str">
        <f aca="false">IF(A1210="","",MOD(MONTH(A1210)-FYStart,12)+1)</f>
        <v/>
      </c>
      <c r="U1210" s="37" t="str">
        <f aca="false">IF(A1210="","",TEXT(A1210,"mmm"))</f>
        <v/>
      </c>
      <c r="V1210" s="37" t="str">
        <f aca="false">IF(Q1210="","",IFERROR(INDEX(Settings!$I$11:$I$15,MATCH(Q1210,Settings!$H$11:$H$15,0)),"No"))</f>
        <v/>
      </c>
      <c r="W1210" s="37" t="str">
        <f aca="false">IF(Q1210="","",IFERROR(INDEX(Settings!$J$11:$J$15,MATCH(Q1210,Settings!$H$11:$H$15,0)),"No"))</f>
        <v/>
      </c>
    </row>
    <row r="1211" customFormat="false" ht="15" hidden="false" customHeight="false" outlineLevel="0" collapsed="false">
      <c r="A1211" s="30"/>
      <c r="B1211" s="25"/>
      <c r="C1211" s="25"/>
      <c r="D1211" s="25"/>
      <c r="E1211" s="25"/>
      <c r="F1211" s="25"/>
      <c r="G1211" s="25"/>
      <c r="H1211" s="31"/>
      <c r="I1211" s="32"/>
      <c r="J1211" s="33"/>
      <c r="K1211" s="34" t="str">
        <f aca="false">IF(OR(H1211="",I1211=""),"",H1211*I1211*(1-N(J1211)))</f>
        <v/>
      </c>
      <c r="L1211" s="32"/>
      <c r="M1211" s="34" t="str">
        <f aca="false">IF(OR(H1211="",L1211=""),"",H1211*L1211)</f>
        <v/>
      </c>
      <c r="N1211" s="34" t="str">
        <f aca="false">IF(OR(K1211="",M1211=""),"",K1211-M1211)</f>
        <v/>
      </c>
      <c r="O1211" s="35" t="str">
        <f aca="false">IF(OR(N1211="",K1211=""),"",IF(K1211=0,"",N1211/K1211))</f>
        <v/>
      </c>
      <c r="P1211" s="25"/>
      <c r="Q1211" s="25"/>
      <c r="R1211" s="25"/>
      <c r="S1211" s="36" t="str">
        <f aca="false">IF(A1211="","",YEAR(A1211)+IF(AND(FYStart&gt;1,MONTH(A1211)&gt;=FYStart),1,0))</f>
        <v/>
      </c>
      <c r="T1211" s="36" t="str">
        <f aca="false">IF(A1211="","",MOD(MONTH(A1211)-FYStart,12)+1)</f>
        <v/>
      </c>
      <c r="U1211" s="37" t="str">
        <f aca="false">IF(A1211="","",TEXT(A1211,"mmm"))</f>
        <v/>
      </c>
      <c r="V1211" s="37" t="str">
        <f aca="false">IF(Q1211="","",IFERROR(INDEX(Settings!$I$11:$I$15,MATCH(Q1211,Settings!$H$11:$H$15,0)),"No"))</f>
        <v/>
      </c>
      <c r="W1211" s="37" t="str">
        <f aca="false">IF(Q1211="","",IFERROR(INDEX(Settings!$J$11:$J$15,MATCH(Q1211,Settings!$H$11:$H$15,0)),"No"))</f>
        <v/>
      </c>
    </row>
    <row r="1212" customFormat="false" ht="15" hidden="false" customHeight="false" outlineLevel="0" collapsed="false">
      <c r="A1212" s="30"/>
      <c r="B1212" s="25"/>
      <c r="C1212" s="25"/>
      <c r="D1212" s="25"/>
      <c r="E1212" s="25"/>
      <c r="F1212" s="25"/>
      <c r="G1212" s="25"/>
      <c r="H1212" s="31"/>
      <c r="I1212" s="32"/>
      <c r="J1212" s="33"/>
      <c r="K1212" s="34" t="str">
        <f aca="false">IF(OR(H1212="",I1212=""),"",H1212*I1212*(1-N(J1212)))</f>
        <v/>
      </c>
      <c r="L1212" s="32"/>
      <c r="M1212" s="34" t="str">
        <f aca="false">IF(OR(H1212="",L1212=""),"",H1212*L1212)</f>
        <v/>
      </c>
      <c r="N1212" s="34" t="str">
        <f aca="false">IF(OR(K1212="",M1212=""),"",K1212-M1212)</f>
        <v/>
      </c>
      <c r="O1212" s="35" t="str">
        <f aca="false">IF(OR(N1212="",K1212=""),"",IF(K1212=0,"",N1212/K1212))</f>
        <v/>
      </c>
      <c r="P1212" s="25"/>
      <c r="Q1212" s="25"/>
      <c r="R1212" s="25"/>
      <c r="S1212" s="36" t="str">
        <f aca="false">IF(A1212="","",YEAR(A1212)+IF(AND(FYStart&gt;1,MONTH(A1212)&gt;=FYStart),1,0))</f>
        <v/>
      </c>
      <c r="T1212" s="36" t="str">
        <f aca="false">IF(A1212="","",MOD(MONTH(A1212)-FYStart,12)+1)</f>
        <v/>
      </c>
      <c r="U1212" s="37" t="str">
        <f aca="false">IF(A1212="","",TEXT(A1212,"mmm"))</f>
        <v/>
      </c>
      <c r="V1212" s="37" t="str">
        <f aca="false">IF(Q1212="","",IFERROR(INDEX(Settings!$I$11:$I$15,MATCH(Q1212,Settings!$H$11:$H$15,0)),"No"))</f>
        <v/>
      </c>
      <c r="W1212" s="37" t="str">
        <f aca="false">IF(Q1212="","",IFERROR(INDEX(Settings!$J$11:$J$15,MATCH(Q1212,Settings!$H$11:$H$15,0)),"No"))</f>
        <v/>
      </c>
    </row>
    <row r="1213" customFormat="false" ht="15" hidden="false" customHeight="false" outlineLevel="0" collapsed="false">
      <c r="A1213" s="30"/>
      <c r="B1213" s="25"/>
      <c r="C1213" s="25"/>
      <c r="D1213" s="25"/>
      <c r="E1213" s="25"/>
      <c r="F1213" s="25"/>
      <c r="G1213" s="25"/>
      <c r="H1213" s="31"/>
      <c r="I1213" s="32"/>
      <c r="J1213" s="33"/>
      <c r="K1213" s="34" t="str">
        <f aca="false">IF(OR(H1213="",I1213=""),"",H1213*I1213*(1-N(J1213)))</f>
        <v/>
      </c>
      <c r="L1213" s="32"/>
      <c r="M1213" s="34" t="str">
        <f aca="false">IF(OR(H1213="",L1213=""),"",H1213*L1213)</f>
        <v/>
      </c>
      <c r="N1213" s="34" t="str">
        <f aca="false">IF(OR(K1213="",M1213=""),"",K1213-M1213)</f>
        <v/>
      </c>
      <c r="O1213" s="35" t="str">
        <f aca="false">IF(OR(N1213="",K1213=""),"",IF(K1213=0,"",N1213/K1213))</f>
        <v/>
      </c>
      <c r="P1213" s="25"/>
      <c r="Q1213" s="25"/>
      <c r="R1213" s="25"/>
      <c r="S1213" s="36" t="str">
        <f aca="false">IF(A1213="","",YEAR(A1213)+IF(AND(FYStart&gt;1,MONTH(A1213)&gt;=FYStart),1,0))</f>
        <v/>
      </c>
      <c r="T1213" s="36" t="str">
        <f aca="false">IF(A1213="","",MOD(MONTH(A1213)-FYStart,12)+1)</f>
        <v/>
      </c>
      <c r="U1213" s="37" t="str">
        <f aca="false">IF(A1213="","",TEXT(A1213,"mmm"))</f>
        <v/>
      </c>
      <c r="V1213" s="37" t="str">
        <f aca="false">IF(Q1213="","",IFERROR(INDEX(Settings!$I$11:$I$15,MATCH(Q1213,Settings!$H$11:$H$15,0)),"No"))</f>
        <v/>
      </c>
      <c r="W1213" s="37" t="str">
        <f aca="false">IF(Q1213="","",IFERROR(INDEX(Settings!$J$11:$J$15,MATCH(Q1213,Settings!$H$11:$H$15,0)),"No"))</f>
        <v/>
      </c>
    </row>
    <row r="1214" customFormat="false" ht="15" hidden="false" customHeight="false" outlineLevel="0" collapsed="false">
      <c r="A1214" s="30"/>
      <c r="B1214" s="25"/>
      <c r="C1214" s="25"/>
      <c r="D1214" s="25"/>
      <c r="E1214" s="25"/>
      <c r="F1214" s="25"/>
      <c r="G1214" s="25"/>
      <c r="H1214" s="31"/>
      <c r="I1214" s="32"/>
      <c r="J1214" s="33"/>
      <c r="K1214" s="34" t="str">
        <f aca="false">IF(OR(H1214="",I1214=""),"",H1214*I1214*(1-N(J1214)))</f>
        <v/>
      </c>
      <c r="L1214" s="32"/>
      <c r="M1214" s="34" t="str">
        <f aca="false">IF(OR(H1214="",L1214=""),"",H1214*L1214)</f>
        <v/>
      </c>
      <c r="N1214" s="34" t="str">
        <f aca="false">IF(OR(K1214="",M1214=""),"",K1214-M1214)</f>
        <v/>
      </c>
      <c r="O1214" s="35" t="str">
        <f aca="false">IF(OR(N1214="",K1214=""),"",IF(K1214=0,"",N1214/K1214))</f>
        <v/>
      </c>
      <c r="P1214" s="25"/>
      <c r="Q1214" s="25"/>
      <c r="R1214" s="25"/>
      <c r="S1214" s="36" t="str">
        <f aca="false">IF(A1214="","",YEAR(A1214)+IF(AND(FYStart&gt;1,MONTH(A1214)&gt;=FYStart),1,0))</f>
        <v/>
      </c>
      <c r="T1214" s="36" t="str">
        <f aca="false">IF(A1214="","",MOD(MONTH(A1214)-FYStart,12)+1)</f>
        <v/>
      </c>
      <c r="U1214" s="37" t="str">
        <f aca="false">IF(A1214="","",TEXT(A1214,"mmm"))</f>
        <v/>
      </c>
      <c r="V1214" s="37" t="str">
        <f aca="false">IF(Q1214="","",IFERROR(INDEX(Settings!$I$11:$I$15,MATCH(Q1214,Settings!$H$11:$H$15,0)),"No"))</f>
        <v/>
      </c>
      <c r="W1214" s="37" t="str">
        <f aca="false">IF(Q1214="","",IFERROR(INDEX(Settings!$J$11:$J$15,MATCH(Q1214,Settings!$H$11:$H$15,0)),"No"))</f>
        <v/>
      </c>
    </row>
    <row r="1215" customFormat="false" ht="15" hidden="false" customHeight="false" outlineLevel="0" collapsed="false">
      <c r="A1215" s="30"/>
      <c r="B1215" s="25"/>
      <c r="C1215" s="25"/>
      <c r="D1215" s="25"/>
      <c r="E1215" s="25"/>
      <c r="F1215" s="25"/>
      <c r="G1215" s="25"/>
      <c r="H1215" s="31"/>
      <c r="I1215" s="32"/>
      <c r="J1215" s="33"/>
      <c r="K1215" s="34" t="str">
        <f aca="false">IF(OR(H1215="",I1215=""),"",H1215*I1215*(1-N(J1215)))</f>
        <v/>
      </c>
      <c r="L1215" s="32"/>
      <c r="M1215" s="34" t="str">
        <f aca="false">IF(OR(H1215="",L1215=""),"",H1215*L1215)</f>
        <v/>
      </c>
      <c r="N1215" s="34" t="str">
        <f aca="false">IF(OR(K1215="",M1215=""),"",K1215-M1215)</f>
        <v/>
      </c>
      <c r="O1215" s="35" t="str">
        <f aca="false">IF(OR(N1215="",K1215=""),"",IF(K1215=0,"",N1215/K1215))</f>
        <v/>
      </c>
      <c r="P1215" s="25"/>
      <c r="Q1215" s="25"/>
      <c r="R1215" s="25"/>
      <c r="S1215" s="36" t="str">
        <f aca="false">IF(A1215="","",YEAR(A1215)+IF(AND(FYStart&gt;1,MONTH(A1215)&gt;=FYStart),1,0))</f>
        <v/>
      </c>
      <c r="T1215" s="36" t="str">
        <f aca="false">IF(A1215="","",MOD(MONTH(A1215)-FYStart,12)+1)</f>
        <v/>
      </c>
      <c r="U1215" s="37" t="str">
        <f aca="false">IF(A1215="","",TEXT(A1215,"mmm"))</f>
        <v/>
      </c>
      <c r="V1215" s="37" t="str">
        <f aca="false">IF(Q1215="","",IFERROR(INDEX(Settings!$I$11:$I$15,MATCH(Q1215,Settings!$H$11:$H$15,0)),"No"))</f>
        <v/>
      </c>
      <c r="W1215" s="37" t="str">
        <f aca="false">IF(Q1215="","",IFERROR(INDEX(Settings!$J$11:$J$15,MATCH(Q1215,Settings!$H$11:$H$15,0)),"No"))</f>
        <v/>
      </c>
    </row>
    <row r="1216" customFormat="false" ht="15" hidden="false" customHeight="false" outlineLevel="0" collapsed="false">
      <c r="A1216" s="30"/>
      <c r="B1216" s="25"/>
      <c r="C1216" s="25"/>
      <c r="D1216" s="25"/>
      <c r="E1216" s="25"/>
      <c r="F1216" s="25"/>
      <c r="G1216" s="25"/>
      <c r="H1216" s="31"/>
      <c r="I1216" s="32"/>
      <c r="J1216" s="33"/>
      <c r="K1216" s="34" t="str">
        <f aca="false">IF(OR(H1216="",I1216=""),"",H1216*I1216*(1-N(J1216)))</f>
        <v/>
      </c>
      <c r="L1216" s="32"/>
      <c r="M1216" s="34" t="str">
        <f aca="false">IF(OR(H1216="",L1216=""),"",H1216*L1216)</f>
        <v/>
      </c>
      <c r="N1216" s="34" t="str">
        <f aca="false">IF(OR(K1216="",M1216=""),"",K1216-M1216)</f>
        <v/>
      </c>
      <c r="O1216" s="35" t="str">
        <f aca="false">IF(OR(N1216="",K1216=""),"",IF(K1216=0,"",N1216/K1216))</f>
        <v/>
      </c>
      <c r="P1216" s="25"/>
      <c r="Q1216" s="25"/>
      <c r="R1216" s="25"/>
      <c r="S1216" s="36" t="str">
        <f aca="false">IF(A1216="","",YEAR(A1216)+IF(AND(FYStart&gt;1,MONTH(A1216)&gt;=FYStart),1,0))</f>
        <v/>
      </c>
      <c r="T1216" s="36" t="str">
        <f aca="false">IF(A1216="","",MOD(MONTH(A1216)-FYStart,12)+1)</f>
        <v/>
      </c>
      <c r="U1216" s="37" t="str">
        <f aca="false">IF(A1216="","",TEXT(A1216,"mmm"))</f>
        <v/>
      </c>
      <c r="V1216" s="37" t="str">
        <f aca="false">IF(Q1216="","",IFERROR(INDEX(Settings!$I$11:$I$15,MATCH(Q1216,Settings!$H$11:$H$15,0)),"No"))</f>
        <v/>
      </c>
      <c r="W1216" s="37" t="str">
        <f aca="false">IF(Q1216="","",IFERROR(INDEX(Settings!$J$11:$J$15,MATCH(Q1216,Settings!$H$11:$H$15,0)),"No"))</f>
        <v/>
      </c>
    </row>
    <row r="1217" customFormat="false" ht="15" hidden="false" customHeight="false" outlineLevel="0" collapsed="false">
      <c r="A1217" s="30"/>
      <c r="B1217" s="25"/>
      <c r="C1217" s="25"/>
      <c r="D1217" s="25"/>
      <c r="E1217" s="25"/>
      <c r="F1217" s="25"/>
      <c r="G1217" s="25"/>
      <c r="H1217" s="31"/>
      <c r="I1217" s="32"/>
      <c r="J1217" s="33"/>
      <c r="K1217" s="34" t="str">
        <f aca="false">IF(OR(H1217="",I1217=""),"",H1217*I1217*(1-N(J1217)))</f>
        <v/>
      </c>
      <c r="L1217" s="32"/>
      <c r="M1217" s="34" t="str">
        <f aca="false">IF(OR(H1217="",L1217=""),"",H1217*L1217)</f>
        <v/>
      </c>
      <c r="N1217" s="34" t="str">
        <f aca="false">IF(OR(K1217="",M1217=""),"",K1217-M1217)</f>
        <v/>
      </c>
      <c r="O1217" s="35" t="str">
        <f aca="false">IF(OR(N1217="",K1217=""),"",IF(K1217=0,"",N1217/K1217))</f>
        <v/>
      </c>
      <c r="P1217" s="25"/>
      <c r="Q1217" s="25"/>
      <c r="R1217" s="25"/>
      <c r="S1217" s="36" t="str">
        <f aca="false">IF(A1217="","",YEAR(A1217)+IF(AND(FYStart&gt;1,MONTH(A1217)&gt;=FYStart),1,0))</f>
        <v/>
      </c>
      <c r="T1217" s="36" t="str">
        <f aca="false">IF(A1217="","",MOD(MONTH(A1217)-FYStart,12)+1)</f>
        <v/>
      </c>
      <c r="U1217" s="37" t="str">
        <f aca="false">IF(A1217="","",TEXT(A1217,"mmm"))</f>
        <v/>
      </c>
      <c r="V1217" s="37" t="str">
        <f aca="false">IF(Q1217="","",IFERROR(INDEX(Settings!$I$11:$I$15,MATCH(Q1217,Settings!$H$11:$H$15,0)),"No"))</f>
        <v/>
      </c>
      <c r="W1217" s="37" t="str">
        <f aca="false">IF(Q1217="","",IFERROR(INDEX(Settings!$J$11:$J$15,MATCH(Q1217,Settings!$H$11:$H$15,0)),"No"))</f>
        <v/>
      </c>
    </row>
    <row r="1218" customFormat="false" ht="15" hidden="false" customHeight="false" outlineLevel="0" collapsed="false">
      <c r="A1218" s="30"/>
      <c r="B1218" s="25"/>
      <c r="C1218" s="25"/>
      <c r="D1218" s="25"/>
      <c r="E1218" s="25"/>
      <c r="F1218" s="25"/>
      <c r="G1218" s="25"/>
      <c r="H1218" s="31"/>
      <c r="I1218" s="32"/>
      <c r="J1218" s="33"/>
      <c r="K1218" s="34" t="str">
        <f aca="false">IF(OR(H1218="",I1218=""),"",H1218*I1218*(1-N(J1218)))</f>
        <v/>
      </c>
      <c r="L1218" s="32"/>
      <c r="M1218" s="34" t="str">
        <f aca="false">IF(OR(H1218="",L1218=""),"",H1218*L1218)</f>
        <v/>
      </c>
      <c r="N1218" s="34" t="str">
        <f aca="false">IF(OR(K1218="",M1218=""),"",K1218-M1218)</f>
        <v/>
      </c>
      <c r="O1218" s="35" t="str">
        <f aca="false">IF(OR(N1218="",K1218=""),"",IF(K1218=0,"",N1218/K1218))</f>
        <v/>
      </c>
      <c r="P1218" s="25"/>
      <c r="Q1218" s="25"/>
      <c r="R1218" s="25"/>
      <c r="S1218" s="36" t="str">
        <f aca="false">IF(A1218="","",YEAR(A1218)+IF(AND(FYStart&gt;1,MONTH(A1218)&gt;=FYStart),1,0))</f>
        <v/>
      </c>
      <c r="T1218" s="36" t="str">
        <f aca="false">IF(A1218="","",MOD(MONTH(A1218)-FYStart,12)+1)</f>
        <v/>
      </c>
      <c r="U1218" s="37" t="str">
        <f aca="false">IF(A1218="","",TEXT(A1218,"mmm"))</f>
        <v/>
      </c>
      <c r="V1218" s="37" t="str">
        <f aca="false">IF(Q1218="","",IFERROR(INDEX(Settings!$I$11:$I$15,MATCH(Q1218,Settings!$H$11:$H$15,0)),"No"))</f>
        <v/>
      </c>
      <c r="W1218" s="37" t="str">
        <f aca="false">IF(Q1218="","",IFERROR(INDEX(Settings!$J$11:$J$15,MATCH(Q1218,Settings!$H$11:$H$15,0)),"No"))</f>
        <v/>
      </c>
    </row>
    <row r="1219" customFormat="false" ht="15" hidden="false" customHeight="false" outlineLevel="0" collapsed="false">
      <c r="A1219" s="30"/>
      <c r="B1219" s="25"/>
      <c r="C1219" s="25"/>
      <c r="D1219" s="25"/>
      <c r="E1219" s="25"/>
      <c r="F1219" s="25"/>
      <c r="G1219" s="25"/>
      <c r="H1219" s="31"/>
      <c r="I1219" s="32"/>
      <c r="J1219" s="33"/>
      <c r="K1219" s="34" t="str">
        <f aca="false">IF(OR(H1219="",I1219=""),"",H1219*I1219*(1-N(J1219)))</f>
        <v/>
      </c>
      <c r="L1219" s="32"/>
      <c r="M1219" s="34" t="str">
        <f aca="false">IF(OR(H1219="",L1219=""),"",H1219*L1219)</f>
        <v/>
      </c>
      <c r="N1219" s="34" t="str">
        <f aca="false">IF(OR(K1219="",M1219=""),"",K1219-M1219)</f>
        <v/>
      </c>
      <c r="O1219" s="35" t="str">
        <f aca="false">IF(OR(N1219="",K1219=""),"",IF(K1219=0,"",N1219/K1219))</f>
        <v/>
      </c>
      <c r="P1219" s="25"/>
      <c r="Q1219" s="25"/>
      <c r="R1219" s="25"/>
      <c r="S1219" s="36" t="str">
        <f aca="false">IF(A1219="","",YEAR(A1219)+IF(AND(FYStart&gt;1,MONTH(A1219)&gt;=FYStart),1,0))</f>
        <v/>
      </c>
      <c r="T1219" s="36" t="str">
        <f aca="false">IF(A1219="","",MOD(MONTH(A1219)-FYStart,12)+1)</f>
        <v/>
      </c>
      <c r="U1219" s="37" t="str">
        <f aca="false">IF(A1219="","",TEXT(A1219,"mmm"))</f>
        <v/>
      </c>
      <c r="V1219" s="37" t="str">
        <f aca="false">IF(Q1219="","",IFERROR(INDEX(Settings!$I$11:$I$15,MATCH(Q1219,Settings!$H$11:$H$15,0)),"No"))</f>
        <v/>
      </c>
      <c r="W1219" s="37" t="str">
        <f aca="false">IF(Q1219="","",IFERROR(INDEX(Settings!$J$11:$J$15,MATCH(Q1219,Settings!$H$11:$H$15,0)),"No"))</f>
        <v/>
      </c>
    </row>
    <row r="1220" customFormat="false" ht="15" hidden="false" customHeight="false" outlineLevel="0" collapsed="false">
      <c r="A1220" s="30"/>
      <c r="B1220" s="25"/>
      <c r="C1220" s="25"/>
      <c r="D1220" s="25"/>
      <c r="E1220" s="25"/>
      <c r="F1220" s="25"/>
      <c r="G1220" s="25"/>
      <c r="H1220" s="31"/>
      <c r="I1220" s="32"/>
      <c r="J1220" s="33"/>
      <c r="K1220" s="34" t="str">
        <f aca="false">IF(OR(H1220="",I1220=""),"",H1220*I1220*(1-N(J1220)))</f>
        <v/>
      </c>
      <c r="L1220" s="32"/>
      <c r="M1220" s="34" t="str">
        <f aca="false">IF(OR(H1220="",L1220=""),"",H1220*L1220)</f>
        <v/>
      </c>
      <c r="N1220" s="34" t="str">
        <f aca="false">IF(OR(K1220="",M1220=""),"",K1220-M1220)</f>
        <v/>
      </c>
      <c r="O1220" s="35" t="str">
        <f aca="false">IF(OR(N1220="",K1220=""),"",IF(K1220=0,"",N1220/K1220))</f>
        <v/>
      </c>
      <c r="P1220" s="25"/>
      <c r="Q1220" s="25"/>
      <c r="R1220" s="25"/>
      <c r="S1220" s="36" t="str">
        <f aca="false">IF(A1220="","",YEAR(A1220)+IF(AND(FYStart&gt;1,MONTH(A1220)&gt;=FYStart),1,0))</f>
        <v/>
      </c>
      <c r="T1220" s="36" t="str">
        <f aca="false">IF(A1220="","",MOD(MONTH(A1220)-FYStart,12)+1)</f>
        <v/>
      </c>
      <c r="U1220" s="37" t="str">
        <f aca="false">IF(A1220="","",TEXT(A1220,"mmm"))</f>
        <v/>
      </c>
      <c r="V1220" s="37" t="str">
        <f aca="false">IF(Q1220="","",IFERROR(INDEX(Settings!$I$11:$I$15,MATCH(Q1220,Settings!$H$11:$H$15,0)),"No"))</f>
        <v/>
      </c>
      <c r="W1220" s="37" t="str">
        <f aca="false">IF(Q1220="","",IFERROR(INDEX(Settings!$J$11:$J$15,MATCH(Q1220,Settings!$H$11:$H$15,0)),"No"))</f>
        <v/>
      </c>
    </row>
    <row r="1221" customFormat="false" ht="15" hidden="false" customHeight="false" outlineLevel="0" collapsed="false">
      <c r="A1221" s="30"/>
      <c r="B1221" s="25"/>
      <c r="C1221" s="25"/>
      <c r="D1221" s="25"/>
      <c r="E1221" s="25"/>
      <c r="F1221" s="25"/>
      <c r="G1221" s="25"/>
      <c r="H1221" s="31"/>
      <c r="I1221" s="32"/>
      <c r="J1221" s="33"/>
      <c r="K1221" s="34" t="str">
        <f aca="false">IF(OR(H1221="",I1221=""),"",H1221*I1221*(1-N(J1221)))</f>
        <v/>
      </c>
      <c r="L1221" s="32"/>
      <c r="M1221" s="34" t="str">
        <f aca="false">IF(OR(H1221="",L1221=""),"",H1221*L1221)</f>
        <v/>
      </c>
      <c r="N1221" s="34" t="str">
        <f aca="false">IF(OR(K1221="",M1221=""),"",K1221-M1221)</f>
        <v/>
      </c>
      <c r="O1221" s="35" t="str">
        <f aca="false">IF(OR(N1221="",K1221=""),"",IF(K1221=0,"",N1221/K1221))</f>
        <v/>
      </c>
      <c r="P1221" s="25"/>
      <c r="Q1221" s="25"/>
      <c r="R1221" s="25"/>
      <c r="S1221" s="36" t="str">
        <f aca="false">IF(A1221="","",YEAR(A1221)+IF(AND(FYStart&gt;1,MONTH(A1221)&gt;=FYStart),1,0))</f>
        <v/>
      </c>
      <c r="T1221" s="36" t="str">
        <f aca="false">IF(A1221="","",MOD(MONTH(A1221)-FYStart,12)+1)</f>
        <v/>
      </c>
      <c r="U1221" s="37" t="str">
        <f aca="false">IF(A1221="","",TEXT(A1221,"mmm"))</f>
        <v/>
      </c>
      <c r="V1221" s="37" t="str">
        <f aca="false">IF(Q1221="","",IFERROR(INDEX(Settings!$I$11:$I$15,MATCH(Q1221,Settings!$H$11:$H$15,0)),"No"))</f>
        <v/>
      </c>
      <c r="W1221" s="37" t="str">
        <f aca="false">IF(Q1221="","",IFERROR(INDEX(Settings!$J$11:$J$15,MATCH(Q1221,Settings!$H$11:$H$15,0)),"No"))</f>
        <v/>
      </c>
    </row>
    <row r="1222" customFormat="false" ht="15" hidden="false" customHeight="false" outlineLevel="0" collapsed="false">
      <c r="A1222" s="30"/>
      <c r="B1222" s="25"/>
      <c r="C1222" s="25"/>
      <c r="D1222" s="25"/>
      <c r="E1222" s="25"/>
      <c r="F1222" s="25"/>
      <c r="G1222" s="25"/>
      <c r="H1222" s="31"/>
      <c r="I1222" s="32"/>
      <c r="J1222" s="33"/>
      <c r="K1222" s="34" t="str">
        <f aca="false">IF(OR(H1222="",I1222=""),"",H1222*I1222*(1-N(J1222)))</f>
        <v/>
      </c>
      <c r="L1222" s="32"/>
      <c r="M1222" s="34" t="str">
        <f aca="false">IF(OR(H1222="",L1222=""),"",H1222*L1222)</f>
        <v/>
      </c>
      <c r="N1222" s="34" t="str">
        <f aca="false">IF(OR(K1222="",M1222=""),"",K1222-M1222)</f>
        <v/>
      </c>
      <c r="O1222" s="35" t="str">
        <f aca="false">IF(OR(N1222="",K1222=""),"",IF(K1222=0,"",N1222/K1222))</f>
        <v/>
      </c>
      <c r="P1222" s="25"/>
      <c r="Q1222" s="25"/>
      <c r="R1222" s="25"/>
      <c r="S1222" s="36" t="str">
        <f aca="false">IF(A1222="","",YEAR(A1222)+IF(AND(FYStart&gt;1,MONTH(A1222)&gt;=FYStart),1,0))</f>
        <v/>
      </c>
      <c r="T1222" s="36" t="str">
        <f aca="false">IF(A1222="","",MOD(MONTH(A1222)-FYStart,12)+1)</f>
        <v/>
      </c>
      <c r="U1222" s="37" t="str">
        <f aca="false">IF(A1222="","",TEXT(A1222,"mmm"))</f>
        <v/>
      </c>
      <c r="V1222" s="37" t="str">
        <f aca="false">IF(Q1222="","",IFERROR(INDEX(Settings!$I$11:$I$15,MATCH(Q1222,Settings!$H$11:$H$15,0)),"No"))</f>
        <v/>
      </c>
      <c r="W1222" s="37" t="str">
        <f aca="false">IF(Q1222="","",IFERROR(INDEX(Settings!$J$11:$J$15,MATCH(Q1222,Settings!$H$11:$H$15,0)),"No"))</f>
        <v/>
      </c>
    </row>
    <row r="1223" customFormat="false" ht="15" hidden="false" customHeight="false" outlineLevel="0" collapsed="false">
      <c r="A1223" s="30"/>
      <c r="B1223" s="25"/>
      <c r="C1223" s="25"/>
      <c r="D1223" s="25"/>
      <c r="E1223" s="25"/>
      <c r="F1223" s="25"/>
      <c r="G1223" s="25"/>
      <c r="H1223" s="31"/>
      <c r="I1223" s="32"/>
      <c r="J1223" s="33"/>
      <c r="K1223" s="34" t="str">
        <f aca="false">IF(OR(H1223="",I1223=""),"",H1223*I1223*(1-N(J1223)))</f>
        <v/>
      </c>
      <c r="L1223" s="32"/>
      <c r="M1223" s="34" t="str">
        <f aca="false">IF(OR(H1223="",L1223=""),"",H1223*L1223)</f>
        <v/>
      </c>
      <c r="N1223" s="34" t="str">
        <f aca="false">IF(OR(K1223="",M1223=""),"",K1223-M1223)</f>
        <v/>
      </c>
      <c r="O1223" s="35" t="str">
        <f aca="false">IF(OR(N1223="",K1223=""),"",IF(K1223=0,"",N1223/K1223))</f>
        <v/>
      </c>
      <c r="P1223" s="25"/>
      <c r="Q1223" s="25"/>
      <c r="R1223" s="25"/>
      <c r="S1223" s="36" t="str">
        <f aca="false">IF(A1223="","",YEAR(A1223)+IF(AND(FYStart&gt;1,MONTH(A1223)&gt;=FYStart),1,0))</f>
        <v/>
      </c>
      <c r="T1223" s="36" t="str">
        <f aca="false">IF(A1223="","",MOD(MONTH(A1223)-FYStart,12)+1)</f>
        <v/>
      </c>
      <c r="U1223" s="37" t="str">
        <f aca="false">IF(A1223="","",TEXT(A1223,"mmm"))</f>
        <v/>
      </c>
      <c r="V1223" s="37" t="str">
        <f aca="false">IF(Q1223="","",IFERROR(INDEX(Settings!$I$11:$I$15,MATCH(Q1223,Settings!$H$11:$H$15,0)),"No"))</f>
        <v/>
      </c>
      <c r="W1223" s="37" t="str">
        <f aca="false">IF(Q1223="","",IFERROR(INDEX(Settings!$J$11:$J$15,MATCH(Q1223,Settings!$H$11:$H$15,0)),"No"))</f>
        <v/>
      </c>
    </row>
    <row r="1224" customFormat="false" ht="15" hidden="false" customHeight="false" outlineLevel="0" collapsed="false">
      <c r="A1224" s="30"/>
      <c r="B1224" s="25"/>
      <c r="C1224" s="25"/>
      <c r="D1224" s="25"/>
      <c r="E1224" s="25"/>
      <c r="F1224" s="25"/>
      <c r="G1224" s="25"/>
      <c r="H1224" s="31"/>
      <c r="I1224" s="32"/>
      <c r="J1224" s="33"/>
      <c r="K1224" s="34" t="str">
        <f aca="false">IF(OR(H1224="",I1224=""),"",H1224*I1224*(1-N(J1224)))</f>
        <v/>
      </c>
      <c r="L1224" s="32"/>
      <c r="M1224" s="34" t="str">
        <f aca="false">IF(OR(H1224="",L1224=""),"",H1224*L1224)</f>
        <v/>
      </c>
      <c r="N1224" s="34" t="str">
        <f aca="false">IF(OR(K1224="",M1224=""),"",K1224-M1224)</f>
        <v/>
      </c>
      <c r="O1224" s="35" t="str">
        <f aca="false">IF(OR(N1224="",K1224=""),"",IF(K1224=0,"",N1224/K1224))</f>
        <v/>
      </c>
      <c r="P1224" s="25"/>
      <c r="Q1224" s="25"/>
      <c r="R1224" s="25"/>
      <c r="S1224" s="36" t="str">
        <f aca="false">IF(A1224="","",YEAR(A1224)+IF(AND(FYStart&gt;1,MONTH(A1224)&gt;=FYStart),1,0))</f>
        <v/>
      </c>
      <c r="T1224" s="36" t="str">
        <f aca="false">IF(A1224="","",MOD(MONTH(A1224)-FYStart,12)+1)</f>
        <v/>
      </c>
      <c r="U1224" s="37" t="str">
        <f aca="false">IF(A1224="","",TEXT(A1224,"mmm"))</f>
        <v/>
      </c>
      <c r="V1224" s="37" t="str">
        <f aca="false">IF(Q1224="","",IFERROR(INDEX(Settings!$I$11:$I$15,MATCH(Q1224,Settings!$H$11:$H$15,0)),"No"))</f>
        <v/>
      </c>
      <c r="W1224" s="37" t="str">
        <f aca="false">IF(Q1224="","",IFERROR(INDEX(Settings!$J$11:$J$15,MATCH(Q1224,Settings!$H$11:$H$15,0)),"No"))</f>
        <v/>
      </c>
    </row>
    <row r="1225" customFormat="false" ht="15" hidden="false" customHeight="false" outlineLevel="0" collapsed="false">
      <c r="A1225" s="30"/>
      <c r="B1225" s="25"/>
      <c r="C1225" s="25"/>
      <c r="D1225" s="25"/>
      <c r="E1225" s="25"/>
      <c r="F1225" s="25"/>
      <c r="G1225" s="25"/>
      <c r="H1225" s="31"/>
      <c r="I1225" s="32"/>
      <c r="J1225" s="33"/>
      <c r="K1225" s="34" t="str">
        <f aca="false">IF(OR(H1225="",I1225=""),"",H1225*I1225*(1-N(J1225)))</f>
        <v/>
      </c>
      <c r="L1225" s="32"/>
      <c r="M1225" s="34" t="str">
        <f aca="false">IF(OR(H1225="",L1225=""),"",H1225*L1225)</f>
        <v/>
      </c>
      <c r="N1225" s="34" t="str">
        <f aca="false">IF(OR(K1225="",M1225=""),"",K1225-M1225)</f>
        <v/>
      </c>
      <c r="O1225" s="35" t="str">
        <f aca="false">IF(OR(N1225="",K1225=""),"",IF(K1225=0,"",N1225/K1225))</f>
        <v/>
      </c>
      <c r="P1225" s="25"/>
      <c r="Q1225" s="25"/>
      <c r="R1225" s="25"/>
      <c r="S1225" s="36" t="str">
        <f aca="false">IF(A1225="","",YEAR(A1225)+IF(AND(FYStart&gt;1,MONTH(A1225)&gt;=FYStart),1,0))</f>
        <v/>
      </c>
      <c r="T1225" s="36" t="str">
        <f aca="false">IF(A1225="","",MOD(MONTH(A1225)-FYStart,12)+1)</f>
        <v/>
      </c>
      <c r="U1225" s="37" t="str">
        <f aca="false">IF(A1225="","",TEXT(A1225,"mmm"))</f>
        <v/>
      </c>
      <c r="V1225" s="37" t="str">
        <f aca="false">IF(Q1225="","",IFERROR(INDEX(Settings!$I$11:$I$15,MATCH(Q1225,Settings!$H$11:$H$15,0)),"No"))</f>
        <v/>
      </c>
      <c r="W1225" s="37" t="str">
        <f aca="false">IF(Q1225="","",IFERROR(INDEX(Settings!$J$11:$J$15,MATCH(Q1225,Settings!$H$11:$H$15,0)),"No"))</f>
        <v/>
      </c>
    </row>
    <row r="1226" customFormat="false" ht="15" hidden="false" customHeight="false" outlineLevel="0" collapsed="false">
      <c r="A1226" s="30"/>
      <c r="B1226" s="25"/>
      <c r="C1226" s="25"/>
      <c r="D1226" s="25"/>
      <c r="E1226" s="25"/>
      <c r="F1226" s="25"/>
      <c r="G1226" s="25"/>
      <c r="H1226" s="31"/>
      <c r="I1226" s="32"/>
      <c r="J1226" s="33"/>
      <c r="K1226" s="34" t="str">
        <f aca="false">IF(OR(H1226="",I1226=""),"",H1226*I1226*(1-N(J1226)))</f>
        <v/>
      </c>
      <c r="L1226" s="32"/>
      <c r="M1226" s="34" t="str">
        <f aca="false">IF(OR(H1226="",L1226=""),"",H1226*L1226)</f>
        <v/>
      </c>
      <c r="N1226" s="34" t="str">
        <f aca="false">IF(OR(K1226="",M1226=""),"",K1226-M1226)</f>
        <v/>
      </c>
      <c r="O1226" s="35" t="str">
        <f aca="false">IF(OR(N1226="",K1226=""),"",IF(K1226=0,"",N1226/K1226))</f>
        <v/>
      </c>
      <c r="P1226" s="25"/>
      <c r="Q1226" s="25"/>
      <c r="R1226" s="25"/>
      <c r="S1226" s="36" t="str">
        <f aca="false">IF(A1226="","",YEAR(A1226)+IF(AND(FYStart&gt;1,MONTH(A1226)&gt;=FYStart),1,0))</f>
        <v/>
      </c>
      <c r="T1226" s="36" t="str">
        <f aca="false">IF(A1226="","",MOD(MONTH(A1226)-FYStart,12)+1)</f>
        <v/>
      </c>
      <c r="U1226" s="37" t="str">
        <f aca="false">IF(A1226="","",TEXT(A1226,"mmm"))</f>
        <v/>
      </c>
      <c r="V1226" s="37" t="str">
        <f aca="false">IF(Q1226="","",IFERROR(INDEX(Settings!$I$11:$I$15,MATCH(Q1226,Settings!$H$11:$H$15,0)),"No"))</f>
        <v/>
      </c>
      <c r="W1226" s="37" t="str">
        <f aca="false">IF(Q1226="","",IFERROR(INDEX(Settings!$J$11:$J$15,MATCH(Q1226,Settings!$H$11:$H$15,0)),"No"))</f>
        <v/>
      </c>
    </row>
    <row r="1227" customFormat="false" ht="15" hidden="false" customHeight="false" outlineLevel="0" collapsed="false">
      <c r="A1227" s="30"/>
      <c r="B1227" s="25"/>
      <c r="C1227" s="25"/>
      <c r="D1227" s="25"/>
      <c r="E1227" s="25"/>
      <c r="F1227" s="25"/>
      <c r="G1227" s="25"/>
      <c r="H1227" s="31"/>
      <c r="I1227" s="32"/>
      <c r="J1227" s="33"/>
      <c r="K1227" s="34" t="str">
        <f aca="false">IF(OR(H1227="",I1227=""),"",H1227*I1227*(1-N(J1227)))</f>
        <v/>
      </c>
      <c r="L1227" s="32"/>
      <c r="M1227" s="34" t="str">
        <f aca="false">IF(OR(H1227="",L1227=""),"",H1227*L1227)</f>
        <v/>
      </c>
      <c r="N1227" s="34" t="str">
        <f aca="false">IF(OR(K1227="",M1227=""),"",K1227-M1227)</f>
        <v/>
      </c>
      <c r="O1227" s="35" t="str">
        <f aca="false">IF(OR(N1227="",K1227=""),"",IF(K1227=0,"",N1227/K1227))</f>
        <v/>
      </c>
      <c r="P1227" s="25"/>
      <c r="Q1227" s="25"/>
      <c r="R1227" s="25"/>
      <c r="S1227" s="36" t="str">
        <f aca="false">IF(A1227="","",YEAR(A1227)+IF(AND(FYStart&gt;1,MONTH(A1227)&gt;=FYStart),1,0))</f>
        <v/>
      </c>
      <c r="T1227" s="36" t="str">
        <f aca="false">IF(A1227="","",MOD(MONTH(A1227)-FYStart,12)+1)</f>
        <v/>
      </c>
      <c r="U1227" s="37" t="str">
        <f aca="false">IF(A1227="","",TEXT(A1227,"mmm"))</f>
        <v/>
      </c>
      <c r="V1227" s="37" t="str">
        <f aca="false">IF(Q1227="","",IFERROR(INDEX(Settings!$I$11:$I$15,MATCH(Q1227,Settings!$H$11:$H$15,0)),"No"))</f>
        <v/>
      </c>
      <c r="W1227" s="37" t="str">
        <f aca="false">IF(Q1227="","",IFERROR(INDEX(Settings!$J$11:$J$15,MATCH(Q1227,Settings!$H$11:$H$15,0)),"No"))</f>
        <v/>
      </c>
    </row>
    <row r="1228" customFormat="false" ht="15" hidden="false" customHeight="false" outlineLevel="0" collapsed="false">
      <c r="A1228" s="30"/>
      <c r="B1228" s="25"/>
      <c r="C1228" s="25"/>
      <c r="D1228" s="25"/>
      <c r="E1228" s="25"/>
      <c r="F1228" s="25"/>
      <c r="G1228" s="25"/>
      <c r="H1228" s="31"/>
      <c r="I1228" s="32"/>
      <c r="J1228" s="33"/>
      <c r="K1228" s="34" t="str">
        <f aca="false">IF(OR(H1228="",I1228=""),"",H1228*I1228*(1-N(J1228)))</f>
        <v/>
      </c>
      <c r="L1228" s="32"/>
      <c r="M1228" s="34" t="str">
        <f aca="false">IF(OR(H1228="",L1228=""),"",H1228*L1228)</f>
        <v/>
      </c>
      <c r="N1228" s="34" t="str">
        <f aca="false">IF(OR(K1228="",M1228=""),"",K1228-M1228)</f>
        <v/>
      </c>
      <c r="O1228" s="35" t="str">
        <f aca="false">IF(OR(N1228="",K1228=""),"",IF(K1228=0,"",N1228/K1228))</f>
        <v/>
      </c>
      <c r="P1228" s="25"/>
      <c r="Q1228" s="25"/>
      <c r="R1228" s="25"/>
      <c r="S1228" s="36" t="str">
        <f aca="false">IF(A1228="","",YEAR(A1228)+IF(AND(FYStart&gt;1,MONTH(A1228)&gt;=FYStart),1,0))</f>
        <v/>
      </c>
      <c r="T1228" s="36" t="str">
        <f aca="false">IF(A1228="","",MOD(MONTH(A1228)-FYStart,12)+1)</f>
        <v/>
      </c>
      <c r="U1228" s="37" t="str">
        <f aca="false">IF(A1228="","",TEXT(A1228,"mmm"))</f>
        <v/>
      </c>
      <c r="V1228" s="37" t="str">
        <f aca="false">IF(Q1228="","",IFERROR(INDEX(Settings!$I$11:$I$15,MATCH(Q1228,Settings!$H$11:$H$15,0)),"No"))</f>
        <v/>
      </c>
      <c r="W1228" s="37" t="str">
        <f aca="false">IF(Q1228="","",IFERROR(INDEX(Settings!$J$11:$J$15,MATCH(Q1228,Settings!$H$11:$H$15,0)),"No"))</f>
        <v/>
      </c>
    </row>
    <row r="1229" customFormat="false" ht="15" hidden="false" customHeight="false" outlineLevel="0" collapsed="false">
      <c r="A1229" s="30"/>
      <c r="B1229" s="25"/>
      <c r="C1229" s="25"/>
      <c r="D1229" s="25"/>
      <c r="E1229" s="25"/>
      <c r="F1229" s="25"/>
      <c r="G1229" s="25"/>
      <c r="H1229" s="31"/>
      <c r="I1229" s="32"/>
      <c r="J1229" s="33"/>
      <c r="K1229" s="34" t="str">
        <f aca="false">IF(OR(H1229="",I1229=""),"",H1229*I1229*(1-N(J1229)))</f>
        <v/>
      </c>
      <c r="L1229" s="32"/>
      <c r="M1229" s="34" t="str">
        <f aca="false">IF(OR(H1229="",L1229=""),"",H1229*L1229)</f>
        <v/>
      </c>
      <c r="N1229" s="34" t="str">
        <f aca="false">IF(OR(K1229="",M1229=""),"",K1229-M1229)</f>
        <v/>
      </c>
      <c r="O1229" s="35" t="str">
        <f aca="false">IF(OR(N1229="",K1229=""),"",IF(K1229=0,"",N1229/K1229))</f>
        <v/>
      </c>
      <c r="P1229" s="25"/>
      <c r="Q1229" s="25"/>
      <c r="R1229" s="25"/>
      <c r="S1229" s="36" t="str">
        <f aca="false">IF(A1229="","",YEAR(A1229)+IF(AND(FYStart&gt;1,MONTH(A1229)&gt;=FYStart),1,0))</f>
        <v/>
      </c>
      <c r="T1229" s="36" t="str">
        <f aca="false">IF(A1229="","",MOD(MONTH(A1229)-FYStart,12)+1)</f>
        <v/>
      </c>
      <c r="U1229" s="37" t="str">
        <f aca="false">IF(A1229="","",TEXT(A1229,"mmm"))</f>
        <v/>
      </c>
      <c r="V1229" s="37" t="str">
        <f aca="false">IF(Q1229="","",IFERROR(INDEX(Settings!$I$11:$I$15,MATCH(Q1229,Settings!$H$11:$H$15,0)),"No"))</f>
        <v/>
      </c>
      <c r="W1229" s="37" t="str">
        <f aca="false">IF(Q1229="","",IFERROR(INDEX(Settings!$J$11:$J$15,MATCH(Q1229,Settings!$H$11:$H$15,0)),"No"))</f>
        <v/>
      </c>
    </row>
    <row r="1230" customFormat="false" ht="15" hidden="false" customHeight="false" outlineLevel="0" collapsed="false">
      <c r="A1230" s="30"/>
      <c r="B1230" s="25"/>
      <c r="C1230" s="25"/>
      <c r="D1230" s="25"/>
      <c r="E1230" s="25"/>
      <c r="F1230" s="25"/>
      <c r="G1230" s="25"/>
      <c r="H1230" s="31"/>
      <c r="I1230" s="32"/>
      <c r="J1230" s="33"/>
      <c r="K1230" s="34" t="str">
        <f aca="false">IF(OR(H1230="",I1230=""),"",H1230*I1230*(1-N(J1230)))</f>
        <v/>
      </c>
      <c r="L1230" s="32"/>
      <c r="M1230" s="34" t="str">
        <f aca="false">IF(OR(H1230="",L1230=""),"",H1230*L1230)</f>
        <v/>
      </c>
      <c r="N1230" s="34" t="str">
        <f aca="false">IF(OR(K1230="",M1230=""),"",K1230-M1230)</f>
        <v/>
      </c>
      <c r="O1230" s="35" t="str">
        <f aca="false">IF(OR(N1230="",K1230=""),"",IF(K1230=0,"",N1230/K1230))</f>
        <v/>
      </c>
      <c r="P1230" s="25"/>
      <c r="Q1230" s="25"/>
      <c r="R1230" s="25"/>
      <c r="S1230" s="36" t="str">
        <f aca="false">IF(A1230="","",YEAR(A1230)+IF(AND(FYStart&gt;1,MONTH(A1230)&gt;=FYStart),1,0))</f>
        <v/>
      </c>
      <c r="T1230" s="36" t="str">
        <f aca="false">IF(A1230="","",MOD(MONTH(A1230)-FYStart,12)+1)</f>
        <v/>
      </c>
      <c r="U1230" s="37" t="str">
        <f aca="false">IF(A1230="","",TEXT(A1230,"mmm"))</f>
        <v/>
      </c>
      <c r="V1230" s="37" t="str">
        <f aca="false">IF(Q1230="","",IFERROR(INDEX(Settings!$I$11:$I$15,MATCH(Q1230,Settings!$H$11:$H$15,0)),"No"))</f>
        <v/>
      </c>
      <c r="W1230" s="37" t="str">
        <f aca="false">IF(Q1230="","",IFERROR(INDEX(Settings!$J$11:$J$15,MATCH(Q1230,Settings!$H$11:$H$15,0)),"No"))</f>
        <v/>
      </c>
    </row>
    <row r="1231" customFormat="false" ht="15" hidden="false" customHeight="false" outlineLevel="0" collapsed="false">
      <c r="A1231" s="30"/>
      <c r="B1231" s="25"/>
      <c r="C1231" s="25"/>
      <c r="D1231" s="25"/>
      <c r="E1231" s="25"/>
      <c r="F1231" s="25"/>
      <c r="G1231" s="25"/>
      <c r="H1231" s="31"/>
      <c r="I1231" s="32"/>
      <c r="J1231" s="33"/>
      <c r="K1231" s="34" t="str">
        <f aca="false">IF(OR(H1231="",I1231=""),"",H1231*I1231*(1-N(J1231)))</f>
        <v/>
      </c>
      <c r="L1231" s="32"/>
      <c r="M1231" s="34" t="str">
        <f aca="false">IF(OR(H1231="",L1231=""),"",H1231*L1231)</f>
        <v/>
      </c>
      <c r="N1231" s="34" t="str">
        <f aca="false">IF(OR(K1231="",M1231=""),"",K1231-M1231)</f>
        <v/>
      </c>
      <c r="O1231" s="35" t="str">
        <f aca="false">IF(OR(N1231="",K1231=""),"",IF(K1231=0,"",N1231/K1231))</f>
        <v/>
      </c>
      <c r="P1231" s="25"/>
      <c r="Q1231" s="25"/>
      <c r="R1231" s="25"/>
      <c r="S1231" s="36" t="str">
        <f aca="false">IF(A1231="","",YEAR(A1231)+IF(AND(FYStart&gt;1,MONTH(A1231)&gt;=FYStart),1,0))</f>
        <v/>
      </c>
      <c r="T1231" s="36" t="str">
        <f aca="false">IF(A1231="","",MOD(MONTH(A1231)-FYStart,12)+1)</f>
        <v/>
      </c>
      <c r="U1231" s="37" t="str">
        <f aca="false">IF(A1231="","",TEXT(A1231,"mmm"))</f>
        <v/>
      </c>
      <c r="V1231" s="37" t="str">
        <f aca="false">IF(Q1231="","",IFERROR(INDEX(Settings!$I$11:$I$15,MATCH(Q1231,Settings!$H$11:$H$15,0)),"No"))</f>
        <v/>
      </c>
      <c r="W1231" s="37" t="str">
        <f aca="false">IF(Q1231="","",IFERROR(INDEX(Settings!$J$11:$J$15,MATCH(Q1231,Settings!$H$11:$H$15,0)),"No"))</f>
        <v/>
      </c>
    </row>
    <row r="1232" customFormat="false" ht="15" hidden="false" customHeight="false" outlineLevel="0" collapsed="false">
      <c r="A1232" s="30"/>
      <c r="B1232" s="25"/>
      <c r="C1232" s="25"/>
      <c r="D1232" s="25"/>
      <c r="E1232" s="25"/>
      <c r="F1232" s="25"/>
      <c r="G1232" s="25"/>
      <c r="H1232" s="31"/>
      <c r="I1232" s="32"/>
      <c r="J1232" s="33"/>
      <c r="K1232" s="34" t="str">
        <f aca="false">IF(OR(H1232="",I1232=""),"",H1232*I1232*(1-N(J1232)))</f>
        <v/>
      </c>
      <c r="L1232" s="32"/>
      <c r="M1232" s="34" t="str">
        <f aca="false">IF(OR(H1232="",L1232=""),"",H1232*L1232)</f>
        <v/>
      </c>
      <c r="N1232" s="34" t="str">
        <f aca="false">IF(OR(K1232="",M1232=""),"",K1232-M1232)</f>
        <v/>
      </c>
      <c r="O1232" s="35" t="str">
        <f aca="false">IF(OR(N1232="",K1232=""),"",IF(K1232=0,"",N1232/K1232))</f>
        <v/>
      </c>
      <c r="P1232" s="25"/>
      <c r="Q1232" s="25"/>
      <c r="R1232" s="25"/>
      <c r="S1232" s="36" t="str">
        <f aca="false">IF(A1232="","",YEAR(A1232)+IF(AND(FYStart&gt;1,MONTH(A1232)&gt;=FYStart),1,0))</f>
        <v/>
      </c>
      <c r="T1232" s="36" t="str">
        <f aca="false">IF(A1232="","",MOD(MONTH(A1232)-FYStart,12)+1)</f>
        <v/>
      </c>
      <c r="U1232" s="37" t="str">
        <f aca="false">IF(A1232="","",TEXT(A1232,"mmm"))</f>
        <v/>
      </c>
      <c r="V1232" s="37" t="str">
        <f aca="false">IF(Q1232="","",IFERROR(INDEX(Settings!$I$11:$I$15,MATCH(Q1232,Settings!$H$11:$H$15,0)),"No"))</f>
        <v/>
      </c>
      <c r="W1232" s="37" t="str">
        <f aca="false">IF(Q1232="","",IFERROR(INDEX(Settings!$J$11:$J$15,MATCH(Q1232,Settings!$H$11:$H$15,0)),"No"))</f>
        <v/>
      </c>
    </row>
    <row r="1233" customFormat="false" ht="15" hidden="false" customHeight="false" outlineLevel="0" collapsed="false">
      <c r="A1233" s="30"/>
      <c r="B1233" s="25"/>
      <c r="C1233" s="25"/>
      <c r="D1233" s="25"/>
      <c r="E1233" s="25"/>
      <c r="F1233" s="25"/>
      <c r="G1233" s="25"/>
      <c r="H1233" s="31"/>
      <c r="I1233" s="32"/>
      <c r="J1233" s="33"/>
      <c r="K1233" s="34" t="str">
        <f aca="false">IF(OR(H1233="",I1233=""),"",H1233*I1233*(1-N(J1233)))</f>
        <v/>
      </c>
      <c r="L1233" s="32"/>
      <c r="M1233" s="34" t="str">
        <f aca="false">IF(OR(H1233="",L1233=""),"",H1233*L1233)</f>
        <v/>
      </c>
      <c r="N1233" s="34" t="str">
        <f aca="false">IF(OR(K1233="",M1233=""),"",K1233-M1233)</f>
        <v/>
      </c>
      <c r="O1233" s="35" t="str">
        <f aca="false">IF(OR(N1233="",K1233=""),"",IF(K1233=0,"",N1233/K1233))</f>
        <v/>
      </c>
      <c r="P1233" s="25"/>
      <c r="Q1233" s="25"/>
      <c r="R1233" s="25"/>
      <c r="S1233" s="36" t="str">
        <f aca="false">IF(A1233="","",YEAR(A1233)+IF(AND(FYStart&gt;1,MONTH(A1233)&gt;=FYStart),1,0))</f>
        <v/>
      </c>
      <c r="T1233" s="36" t="str">
        <f aca="false">IF(A1233="","",MOD(MONTH(A1233)-FYStart,12)+1)</f>
        <v/>
      </c>
      <c r="U1233" s="37" t="str">
        <f aca="false">IF(A1233="","",TEXT(A1233,"mmm"))</f>
        <v/>
      </c>
      <c r="V1233" s="37" t="str">
        <f aca="false">IF(Q1233="","",IFERROR(INDEX(Settings!$I$11:$I$15,MATCH(Q1233,Settings!$H$11:$H$15,0)),"No"))</f>
        <v/>
      </c>
      <c r="W1233" s="37" t="str">
        <f aca="false">IF(Q1233="","",IFERROR(INDEX(Settings!$J$11:$J$15,MATCH(Q1233,Settings!$H$11:$H$15,0)),"No"))</f>
        <v/>
      </c>
    </row>
    <row r="1234" customFormat="false" ht="15" hidden="false" customHeight="false" outlineLevel="0" collapsed="false">
      <c r="A1234" s="30"/>
      <c r="B1234" s="25"/>
      <c r="C1234" s="25"/>
      <c r="D1234" s="25"/>
      <c r="E1234" s="25"/>
      <c r="F1234" s="25"/>
      <c r="G1234" s="25"/>
      <c r="H1234" s="31"/>
      <c r="I1234" s="32"/>
      <c r="J1234" s="33"/>
      <c r="K1234" s="34" t="str">
        <f aca="false">IF(OR(H1234="",I1234=""),"",H1234*I1234*(1-N(J1234)))</f>
        <v/>
      </c>
      <c r="L1234" s="32"/>
      <c r="M1234" s="34" t="str">
        <f aca="false">IF(OR(H1234="",L1234=""),"",H1234*L1234)</f>
        <v/>
      </c>
      <c r="N1234" s="34" t="str">
        <f aca="false">IF(OR(K1234="",M1234=""),"",K1234-M1234)</f>
        <v/>
      </c>
      <c r="O1234" s="35" t="str">
        <f aca="false">IF(OR(N1234="",K1234=""),"",IF(K1234=0,"",N1234/K1234))</f>
        <v/>
      </c>
      <c r="P1234" s="25"/>
      <c r="Q1234" s="25"/>
      <c r="R1234" s="25"/>
      <c r="S1234" s="36" t="str">
        <f aca="false">IF(A1234="","",YEAR(A1234)+IF(AND(FYStart&gt;1,MONTH(A1234)&gt;=FYStart),1,0))</f>
        <v/>
      </c>
      <c r="T1234" s="36" t="str">
        <f aca="false">IF(A1234="","",MOD(MONTH(A1234)-FYStart,12)+1)</f>
        <v/>
      </c>
      <c r="U1234" s="37" t="str">
        <f aca="false">IF(A1234="","",TEXT(A1234,"mmm"))</f>
        <v/>
      </c>
      <c r="V1234" s="37" t="str">
        <f aca="false">IF(Q1234="","",IFERROR(INDEX(Settings!$I$11:$I$15,MATCH(Q1234,Settings!$H$11:$H$15,0)),"No"))</f>
        <v/>
      </c>
      <c r="W1234" s="37" t="str">
        <f aca="false">IF(Q1234="","",IFERROR(INDEX(Settings!$J$11:$J$15,MATCH(Q1234,Settings!$H$11:$H$15,0)),"No"))</f>
        <v/>
      </c>
    </row>
    <row r="1235" customFormat="false" ht="15" hidden="false" customHeight="false" outlineLevel="0" collapsed="false">
      <c r="A1235" s="30"/>
      <c r="B1235" s="25"/>
      <c r="C1235" s="25"/>
      <c r="D1235" s="25"/>
      <c r="E1235" s="25"/>
      <c r="F1235" s="25"/>
      <c r="G1235" s="25"/>
      <c r="H1235" s="31"/>
      <c r="I1235" s="32"/>
      <c r="J1235" s="33"/>
      <c r="K1235" s="34" t="str">
        <f aca="false">IF(OR(H1235="",I1235=""),"",H1235*I1235*(1-N(J1235)))</f>
        <v/>
      </c>
      <c r="L1235" s="32"/>
      <c r="M1235" s="34" t="str">
        <f aca="false">IF(OR(H1235="",L1235=""),"",H1235*L1235)</f>
        <v/>
      </c>
      <c r="N1235" s="34" t="str">
        <f aca="false">IF(OR(K1235="",M1235=""),"",K1235-M1235)</f>
        <v/>
      </c>
      <c r="O1235" s="35" t="str">
        <f aca="false">IF(OR(N1235="",K1235=""),"",IF(K1235=0,"",N1235/K1235))</f>
        <v/>
      </c>
      <c r="P1235" s="25"/>
      <c r="Q1235" s="25"/>
      <c r="R1235" s="25"/>
      <c r="S1235" s="36" t="str">
        <f aca="false">IF(A1235="","",YEAR(A1235)+IF(AND(FYStart&gt;1,MONTH(A1235)&gt;=FYStart),1,0))</f>
        <v/>
      </c>
      <c r="T1235" s="36" t="str">
        <f aca="false">IF(A1235="","",MOD(MONTH(A1235)-FYStart,12)+1)</f>
        <v/>
      </c>
      <c r="U1235" s="37" t="str">
        <f aca="false">IF(A1235="","",TEXT(A1235,"mmm"))</f>
        <v/>
      </c>
      <c r="V1235" s="37" t="str">
        <f aca="false">IF(Q1235="","",IFERROR(INDEX(Settings!$I$11:$I$15,MATCH(Q1235,Settings!$H$11:$H$15,0)),"No"))</f>
        <v/>
      </c>
      <c r="W1235" s="37" t="str">
        <f aca="false">IF(Q1235="","",IFERROR(INDEX(Settings!$J$11:$J$15,MATCH(Q1235,Settings!$H$11:$H$15,0)),"No"))</f>
        <v/>
      </c>
    </row>
    <row r="1236" customFormat="false" ht="15" hidden="false" customHeight="false" outlineLevel="0" collapsed="false">
      <c r="A1236" s="30"/>
      <c r="B1236" s="25"/>
      <c r="C1236" s="25"/>
      <c r="D1236" s="25"/>
      <c r="E1236" s="25"/>
      <c r="F1236" s="25"/>
      <c r="G1236" s="25"/>
      <c r="H1236" s="31"/>
      <c r="I1236" s="32"/>
      <c r="J1236" s="33"/>
      <c r="K1236" s="34" t="str">
        <f aca="false">IF(OR(H1236="",I1236=""),"",H1236*I1236*(1-N(J1236)))</f>
        <v/>
      </c>
      <c r="L1236" s="32"/>
      <c r="M1236" s="34" t="str">
        <f aca="false">IF(OR(H1236="",L1236=""),"",H1236*L1236)</f>
        <v/>
      </c>
      <c r="N1236" s="34" t="str">
        <f aca="false">IF(OR(K1236="",M1236=""),"",K1236-M1236)</f>
        <v/>
      </c>
      <c r="O1236" s="35" t="str">
        <f aca="false">IF(OR(N1236="",K1236=""),"",IF(K1236=0,"",N1236/K1236))</f>
        <v/>
      </c>
      <c r="P1236" s="25"/>
      <c r="Q1236" s="25"/>
      <c r="R1236" s="25"/>
      <c r="S1236" s="36" t="str">
        <f aca="false">IF(A1236="","",YEAR(A1236)+IF(AND(FYStart&gt;1,MONTH(A1236)&gt;=FYStart),1,0))</f>
        <v/>
      </c>
      <c r="T1236" s="36" t="str">
        <f aca="false">IF(A1236="","",MOD(MONTH(A1236)-FYStart,12)+1)</f>
        <v/>
      </c>
      <c r="U1236" s="37" t="str">
        <f aca="false">IF(A1236="","",TEXT(A1236,"mmm"))</f>
        <v/>
      </c>
      <c r="V1236" s="37" t="str">
        <f aca="false">IF(Q1236="","",IFERROR(INDEX(Settings!$I$11:$I$15,MATCH(Q1236,Settings!$H$11:$H$15,0)),"No"))</f>
        <v/>
      </c>
      <c r="W1236" s="37" t="str">
        <f aca="false">IF(Q1236="","",IFERROR(INDEX(Settings!$J$11:$J$15,MATCH(Q1236,Settings!$H$11:$H$15,0)),"No"))</f>
        <v/>
      </c>
    </row>
    <row r="1237" customFormat="false" ht="15" hidden="false" customHeight="false" outlineLevel="0" collapsed="false">
      <c r="A1237" s="30"/>
      <c r="B1237" s="25"/>
      <c r="C1237" s="25"/>
      <c r="D1237" s="25"/>
      <c r="E1237" s="25"/>
      <c r="F1237" s="25"/>
      <c r="G1237" s="25"/>
      <c r="H1237" s="31"/>
      <c r="I1237" s="32"/>
      <c r="J1237" s="33"/>
      <c r="K1237" s="34" t="str">
        <f aca="false">IF(OR(H1237="",I1237=""),"",H1237*I1237*(1-N(J1237)))</f>
        <v/>
      </c>
      <c r="L1237" s="32"/>
      <c r="M1237" s="34" t="str">
        <f aca="false">IF(OR(H1237="",L1237=""),"",H1237*L1237)</f>
        <v/>
      </c>
      <c r="N1237" s="34" t="str">
        <f aca="false">IF(OR(K1237="",M1237=""),"",K1237-M1237)</f>
        <v/>
      </c>
      <c r="O1237" s="35" t="str">
        <f aca="false">IF(OR(N1237="",K1237=""),"",IF(K1237=0,"",N1237/K1237))</f>
        <v/>
      </c>
      <c r="P1237" s="25"/>
      <c r="Q1237" s="25"/>
      <c r="R1237" s="25"/>
      <c r="S1237" s="36" t="str">
        <f aca="false">IF(A1237="","",YEAR(A1237)+IF(AND(FYStart&gt;1,MONTH(A1237)&gt;=FYStart),1,0))</f>
        <v/>
      </c>
      <c r="T1237" s="36" t="str">
        <f aca="false">IF(A1237="","",MOD(MONTH(A1237)-FYStart,12)+1)</f>
        <v/>
      </c>
      <c r="U1237" s="37" t="str">
        <f aca="false">IF(A1237="","",TEXT(A1237,"mmm"))</f>
        <v/>
      </c>
      <c r="V1237" s="37" t="str">
        <f aca="false">IF(Q1237="","",IFERROR(INDEX(Settings!$I$11:$I$15,MATCH(Q1237,Settings!$H$11:$H$15,0)),"No"))</f>
        <v/>
      </c>
      <c r="W1237" s="37" t="str">
        <f aca="false">IF(Q1237="","",IFERROR(INDEX(Settings!$J$11:$J$15,MATCH(Q1237,Settings!$H$11:$H$15,0)),"No"))</f>
        <v/>
      </c>
    </row>
    <row r="1238" customFormat="false" ht="15" hidden="false" customHeight="false" outlineLevel="0" collapsed="false">
      <c r="A1238" s="30"/>
      <c r="B1238" s="25"/>
      <c r="C1238" s="25"/>
      <c r="D1238" s="25"/>
      <c r="E1238" s="25"/>
      <c r="F1238" s="25"/>
      <c r="G1238" s="25"/>
      <c r="H1238" s="31"/>
      <c r="I1238" s="32"/>
      <c r="J1238" s="33"/>
      <c r="K1238" s="34" t="str">
        <f aca="false">IF(OR(H1238="",I1238=""),"",H1238*I1238*(1-N(J1238)))</f>
        <v/>
      </c>
      <c r="L1238" s="32"/>
      <c r="M1238" s="34" t="str">
        <f aca="false">IF(OR(H1238="",L1238=""),"",H1238*L1238)</f>
        <v/>
      </c>
      <c r="N1238" s="34" t="str">
        <f aca="false">IF(OR(K1238="",M1238=""),"",K1238-M1238)</f>
        <v/>
      </c>
      <c r="O1238" s="35" t="str">
        <f aca="false">IF(OR(N1238="",K1238=""),"",IF(K1238=0,"",N1238/K1238))</f>
        <v/>
      </c>
      <c r="P1238" s="25"/>
      <c r="Q1238" s="25"/>
      <c r="R1238" s="25"/>
      <c r="S1238" s="36" t="str">
        <f aca="false">IF(A1238="","",YEAR(A1238)+IF(AND(FYStart&gt;1,MONTH(A1238)&gt;=FYStart),1,0))</f>
        <v/>
      </c>
      <c r="T1238" s="36" t="str">
        <f aca="false">IF(A1238="","",MOD(MONTH(A1238)-FYStart,12)+1)</f>
        <v/>
      </c>
      <c r="U1238" s="37" t="str">
        <f aca="false">IF(A1238="","",TEXT(A1238,"mmm"))</f>
        <v/>
      </c>
      <c r="V1238" s="37" t="str">
        <f aca="false">IF(Q1238="","",IFERROR(INDEX(Settings!$I$11:$I$15,MATCH(Q1238,Settings!$H$11:$H$15,0)),"No"))</f>
        <v/>
      </c>
      <c r="W1238" s="37" t="str">
        <f aca="false">IF(Q1238="","",IFERROR(INDEX(Settings!$J$11:$J$15,MATCH(Q1238,Settings!$H$11:$H$15,0)),"No"))</f>
        <v/>
      </c>
    </row>
    <row r="1239" customFormat="false" ht="15" hidden="false" customHeight="false" outlineLevel="0" collapsed="false">
      <c r="A1239" s="30"/>
      <c r="B1239" s="25"/>
      <c r="C1239" s="25"/>
      <c r="D1239" s="25"/>
      <c r="E1239" s="25"/>
      <c r="F1239" s="25"/>
      <c r="G1239" s="25"/>
      <c r="H1239" s="31"/>
      <c r="I1239" s="32"/>
      <c r="J1239" s="33"/>
      <c r="K1239" s="34" t="str">
        <f aca="false">IF(OR(H1239="",I1239=""),"",H1239*I1239*(1-N(J1239)))</f>
        <v/>
      </c>
      <c r="L1239" s="32"/>
      <c r="M1239" s="34" t="str">
        <f aca="false">IF(OR(H1239="",L1239=""),"",H1239*L1239)</f>
        <v/>
      </c>
      <c r="N1239" s="34" t="str">
        <f aca="false">IF(OR(K1239="",M1239=""),"",K1239-M1239)</f>
        <v/>
      </c>
      <c r="O1239" s="35" t="str">
        <f aca="false">IF(OR(N1239="",K1239=""),"",IF(K1239=0,"",N1239/K1239))</f>
        <v/>
      </c>
      <c r="P1239" s="25"/>
      <c r="Q1239" s="25"/>
      <c r="R1239" s="25"/>
      <c r="S1239" s="36" t="str">
        <f aca="false">IF(A1239="","",YEAR(A1239)+IF(AND(FYStart&gt;1,MONTH(A1239)&gt;=FYStart),1,0))</f>
        <v/>
      </c>
      <c r="T1239" s="36" t="str">
        <f aca="false">IF(A1239="","",MOD(MONTH(A1239)-FYStart,12)+1)</f>
        <v/>
      </c>
      <c r="U1239" s="37" t="str">
        <f aca="false">IF(A1239="","",TEXT(A1239,"mmm"))</f>
        <v/>
      </c>
      <c r="V1239" s="37" t="str">
        <f aca="false">IF(Q1239="","",IFERROR(INDEX(Settings!$I$11:$I$15,MATCH(Q1239,Settings!$H$11:$H$15,0)),"No"))</f>
        <v/>
      </c>
      <c r="W1239" s="37" t="str">
        <f aca="false">IF(Q1239="","",IFERROR(INDEX(Settings!$J$11:$J$15,MATCH(Q1239,Settings!$H$11:$H$15,0)),"No"))</f>
        <v/>
      </c>
    </row>
    <row r="1240" customFormat="false" ht="15" hidden="false" customHeight="false" outlineLevel="0" collapsed="false">
      <c r="A1240" s="30"/>
      <c r="B1240" s="25"/>
      <c r="C1240" s="25"/>
      <c r="D1240" s="25"/>
      <c r="E1240" s="25"/>
      <c r="F1240" s="25"/>
      <c r="G1240" s="25"/>
      <c r="H1240" s="31"/>
      <c r="I1240" s="32"/>
      <c r="J1240" s="33"/>
      <c r="K1240" s="34" t="str">
        <f aca="false">IF(OR(H1240="",I1240=""),"",H1240*I1240*(1-N(J1240)))</f>
        <v/>
      </c>
      <c r="L1240" s="32"/>
      <c r="M1240" s="34" t="str">
        <f aca="false">IF(OR(H1240="",L1240=""),"",H1240*L1240)</f>
        <v/>
      </c>
      <c r="N1240" s="34" t="str">
        <f aca="false">IF(OR(K1240="",M1240=""),"",K1240-M1240)</f>
        <v/>
      </c>
      <c r="O1240" s="35" t="str">
        <f aca="false">IF(OR(N1240="",K1240=""),"",IF(K1240=0,"",N1240/K1240))</f>
        <v/>
      </c>
      <c r="P1240" s="25"/>
      <c r="Q1240" s="25"/>
      <c r="R1240" s="25"/>
      <c r="S1240" s="36" t="str">
        <f aca="false">IF(A1240="","",YEAR(A1240)+IF(AND(FYStart&gt;1,MONTH(A1240)&gt;=FYStart),1,0))</f>
        <v/>
      </c>
      <c r="T1240" s="36" t="str">
        <f aca="false">IF(A1240="","",MOD(MONTH(A1240)-FYStart,12)+1)</f>
        <v/>
      </c>
      <c r="U1240" s="37" t="str">
        <f aca="false">IF(A1240="","",TEXT(A1240,"mmm"))</f>
        <v/>
      </c>
      <c r="V1240" s="37" t="str">
        <f aca="false">IF(Q1240="","",IFERROR(INDEX(Settings!$I$11:$I$15,MATCH(Q1240,Settings!$H$11:$H$15,0)),"No"))</f>
        <v/>
      </c>
      <c r="W1240" s="37" t="str">
        <f aca="false">IF(Q1240="","",IFERROR(INDEX(Settings!$J$11:$J$15,MATCH(Q1240,Settings!$H$11:$H$15,0)),"No"))</f>
        <v/>
      </c>
    </row>
    <row r="1241" customFormat="false" ht="15" hidden="false" customHeight="false" outlineLevel="0" collapsed="false">
      <c r="A1241" s="30"/>
      <c r="B1241" s="25"/>
      <c r="C1241" s="25"/>
      <c r="D1241" s="25"/>
      <c r="E1241" s="25"/>
      <c r="F1241" s="25"/>
      <c r="G1241" s="25"/>
      <c r="H1241" s="31"/>
      <c r="I1241" s="32"/>
      <c r="J1241" s="33"/>
      <c r="K1241" s="34" t="str">
        <f aca="false">IF(OR(H1241="",I1241=""),"",H1241*I1241*(1-N(J1241)))</f>
        <v/>
      </c>
      <c r="L1241" s="32"/>
      <c r="M1241" s="34" t="str">
        <f aca="false">IF(OR(H1241="",L1241=""),"",H1241*L1241)</f>
        <v/>
      </c>
      <c r="N1241" s="34" t="str">
        <f aca="false">IF(OR(K1241="",M1241=""),"",K1241-M1241)</f>
        <v/>
      </c>
      <c r="O1241" s="35" t="str">
        <f aca="false">IF(OR(N1241="",K1241=""),"",IF(K1241=0,"",N1241/K1241))</f>
        <v/>
      </c>
      <c r="P1241" s="25"/>
      <c r="Q1241" s="25"/>
      <c r="R1241" s="25"/>
      <c r="S1241" s="36" t="str">
        <f aca="false">IF(A1241="","",YEAR(A1241)+IF(AND(FYStart&gt;1,MONTH(A1241)&gt;=FYStart),1,0))</f>
        <v/>
      </c>
      <c r="T1241" s="36" t="str">
        <f aca="false">IF(A1241="","",MOD(MONTH(A1241)-FYStart,12)+1)</f>
        <v/>
      </c>
      <c r="U1241" s="37" t="str">
        <f aca="false">IF(A1241="","",TEXT(A1241,"mmm"))</f>
        <v/>
      </c>
      <c r="V1241" s="37" t="str">
        <f aca="false">IF(Q1241="","",IFERROR(INDEX(Settings!$I$11:$I$15,MATCH(Q1241,Settings!$H$11:$H$15,0)),"No"))</f>
        <v/>
      </c>
      <c r="W1241" s="37" t="str">
        <f aca="false">IF(Q1241="","",IFERROR(INDEX(Settings!$J$11:$J$15,MATCH(Q1241,Settings!$H$11:$H$15,0)),"No"))</f>
        <v/>
      </c>
    </row>
    <row r="1242" customFormat="false" ht="15" hidden="false" customHeight="false" outlineLevel="0" collapsed="false">
      <c r="A1242" s="30"/>
      <c r="B1242" s="25"/>
      <c r="C1242" s="25"/>
      <c r="D1242" s="25"/>
      <c r="E1242" s="25"/>
      <c r="F1242" s="25"/>
      <c r="G1242" s="25"/>
      <c r="H1242" s="31"/>
      <c r="I1242" s="32"/>
      <c r="J1242" s="33"/>
      <c r="K1242" s="34" t="str">
        <f aca="false">IF(OR(H1242="",I1242=""),"",H1242*I1242*(1-N(J1242)))</f>
        <v/>
      </c>
      <c r="L1242" s="32"/>
      <c r="M1242" s="34" t="str">
        <f aca="false">IF(OR(H1242="",L1242=""),"",H1242*L1242)</f>
        <v/>
      </c>
      <c r="N1242" s="34" t="str">
        <f aca="false">IF(OR(K1242="",M1242=""),"",K1242-M1242)</f>
        <v/>
      </c>
      <c r="O1242" s="35" t="str">
        <f aca="false">IF(OR(N1242="",K1242=""),"",IF(K1242=0,"",N1242/K1242))</f>
        <v/>
      </c>
      <c r="P1242" s="25"/>
      <c r="Q1242" s="25"/>
      <c r="R1242" s="25"/>
      <c r="S1242" s="36" t="str">
        <f aca="false">IF(A1242="","",YEAR(A1242)+IF(AND(FYStart&gt;1,MONTH(A1242)&gt;=FYStart),1,0))</f>
        <v/>
      </c>
      <c r="T1242" s="36" t="str">
        <f aca="false">IF(A1242="","",MOD(MONTH(A1242)-FYStart,12)+1)</f>
        <v/>
      </c>
      <c r="U1242" s="37" t="str">
        <f aca="false">IF(A1242="","",TEXT(A1242,"mmm"))</f>
        <v/>
      </c>
      <c r="V1242" s="37" t="str">
        <f aca="false">IF(Q1242="","",IFERROR(INDEX(Settings!$I$11:$I$15,MATCH(Q1242,Settings!$H$11:$H$15,0)),"No"))</f>
        <v/>
      </c>
      <c r="W1242" s="37" t="str">
        <f aca="false">IF(Q1242="","",IFERROR(INDEX(Settings!$J$11:$J$15,MATCH(Q1242,Settings!$H$11:$H$15,0)),"No"))</f>
        <v/>
      </c>
    </row>
    <row r="1243" customFormat="false" ht="15" hidden="false" customHeight="false" outlineLevel="0" collapsed="false">
      <c r="A1243" s="30"/>
      <c r="B1243" s="25"/>
      <c r="C1243" s="25"/>
      <c r="D1243" s="25"/>
      <c r="E1243" s="25"/>
      <c r="F1243" s="25"/>
      <c r="G1243" s="25"/>
      <c r="H1243" s="31"/>
      <c r="I1243" s="32"/>
      <c r="J1243" s="33"/>
      <c r="K1243" s="34" t="str">
        <f aca="false">IF(OR(H1243="",I1243=""),"",H1243*I1243*(1-N(J1243)))</f>
        <v/>
      </c>
      <c r="L1243" s="32"/>
      <c r="M1243" s="34" t="str">
        <f aca="false">IF(OR(H1243="",L1243=""),"",H1243*L1243)</f>
        <v/>
      </c>
      <c r="N1243" s="34" t="str">
        <f aca="false">IF(OR(K1243="",M1243=""),"",K1243-M1243)</f>
        <v/>
      </c>
      <c r="O1243" s="35" t="str">
        <f aca="false">IF(OR(N1243="",K1243=""),"",IF(K1243=0,"",N1243/K1243))</f>
        <v/>
      </c>
      <c r="P1243" s="25"/>
      <c r="Q1243" s="25"/>
      <c r="R1243" s="25"/>
      <c r="S1243" s="36" t="str">
        <f aca="false">IF(A1243="","",YEAR(A1243)+IF(AND(FYStart&gt;1,MONTH(A1243)&gt;=FYStart),1,0))</f>
        <v/>
      </c>
      <c r="T1243" s="36" t="str">
        <f aca="false">IF(A1243="","",MOD(MONTH(A1243)-FYStart,12)+1)</f>
        <v/>
      </c>
      <c r="U1243" s="37" t="str">
        <f aca="false">IF(A1243="","",TEXT(A1243,"mmm"))</f>
        <v/>
      </c>
      <c r="V1243" s="37" t="str">
        <f aca="false">IF(Q1243="","",IFERROR(INDEX(Settings!$I$11:$I$15,MATCH(Q1243,Settings!$H$11:$H$15,0)),"No"))</f>
        <v/>
      </c>
      <c r="W1243" s="37" t="str">
        <f aca="false">IF(Q1243="","",IFERROR(INDEX(Settings!$J$11:$J$15,MATCH(Q1243,Settings!$H$11:$H$15,0)),"No"))</f>
        <v/>
      </c>
    </row>
    <row r="1244" customFormat="false" ht="15" hidden="false" customHeight="false" outlineLevel="0" collapsed="false">
      <c r="A1244" s="30"/>
      <c r="B1244" s="25"/>
      <c r="C1244" s="25"/>
      <c r="D1244" s="25"/>
      <c r="E1244" s="25"/>
      <c r="F1244" s="25"/>
      <c r="G1244" s="25"/>
      <c r="H1244" s="31"/>
      <c r="I1244" s="32"/>
      <c r="J1244" s="33"/>
      <c r="K1244" s="34" t="str">
        <f aca="false">IF(OR(H1244="",I1244=""),"",H1244*I1244*(1-N(J1244)))</f>
        <v/>
      </c>
      <c r="L1244" s="32"/>
      <c r="M1244" s="34" t="str">
        <f aca="false">IF(OR(H1244="",L1244=""),"",H1244*L1244)</f>
        <v/>
      </c>
      <c r="N1244" s="34" t="str">
        <f aca="false">IF(OR(K1244="",M1244=""),"",K1244-M1244)</f>
        <v/>
      </c>
      <c r="O1244" s="35" t="str">
        <f aca="false">IF(OR(N1244="",K1244=""),"",IF(K1244=0,"",N1244/K1244))</f>
        <v/>
      </c>
      <c r="P1244" s="25"/>
      <c r="Q1244" s="25"/>
      <c r="R1244" s="25"/>
      <c r="S1244" s="36" t="str">
        <f aca="false">IF(A1244="","",YEAR(A1244)+IF(AND(FYStart&gt;1,MONTH(A1244)&gt;=FYStart),1,0))</f>
        <v/>
      </c>
      <c r="T1244" s="36" t="str">
        <f aca="false">IF(A1244="","",MOD(MONTH(A1244)-FYStart,12)+1)</f>
        <v/>
      </c>
      <c r="U1244" s="37" t="str">
        <f aca="false">IF(A1244="","",TEXT(A1244,"mmm"))</f>
        <v/>
      </c>
      <c r="V1244" s="37" t="str">
        <f aca="false">IF(Q1244="","",IFERROR(INDEX(Settings!$I$11:$I$15,MATCH(Q1244,Settings!$H$11:$H$15,0)),"No"))</f>
        <v/>
      </c>
      <c r="W1244" s="37" t="str">
        <f aca="false">IF(Q1244="","",IFERROR(INDEX(Settings!$J$11:$J$15,MATCH(Q1244,Settings!$H$11:$H$15,0)),"No"))</f>
        <v/>
      </c>
    </row>
    <row r="1245" customFormat="false" ht="15" hidden="false" customHeight="false" outlineLevel="0" collapsed="false">
      <c r="A1245" s="30"/>
      <c r="B1245" s="25"/>
      <c r="C1245" s="25"/>
      <c r="D1245" s="25"/>
      <c r="E1245" s="25"/>
      <c r="F1245" s="25"/>
      <c r="G1245" s="25"/>
      <c r="H1245" s="31"/>
      <c r="I1245" s="32"/>
      <c r="J1245" s="33"/>
      <c r="K1245" s="34" t="str">
        <f aca="false">IF(OR(H1245="",I1245=""),"",H1245*I1245*(1-N(J1245)))</f>
        <v/>
      </c>
      <c r="L1245" s="32"/>
      <c r="M1245" s="34" t="str">
        <f aca="false">IF(OR(H1245="",L1245=""),"",H1245*L1245)</f>
        <v/>
      </c>
      <c r="N1245" s="34" t="str">
        <f aca="false">IF(OR(K1245="",M1245=""),"",K1245-M1245)</f>
        <v/>
      </c>
      <c r="O1245" s="35" t="str">
        <f aca="false">IF(OR(N1245="",K1245=""),"",IF(K1245=0,"",N1245/K1245))</f>
        <v/>
      </c>
      <c r="P1245" s="25"/>
      <c r="Q1245" s="25"/>
      <c r="R1245" s="25"/>
      <c r="S1245" s="36" t="str">
        <f aca="false">IF(A1245="","",YEAR(A1245)+IF(AND(FYStart&gt;1,MONTH(A1245)&gt;=FYStart),1,0))</f>
        <v/>
      </c>
      <c r="T1245" s="36" t="str">
        <f aca="false">IF(A1245="","",MOD(MONTH(A1245)-FYStart,12)+1)</f>
        <v/>
      </c>
      <c r="U1245" s="37" t="str">
        <f aca="false">IF(A1245="","",TEXT(A1245,"mmm"))</f>
        <v/>
      </c>
      <c r="V1245" s="37" t="str">
        <f aca="false">IF(Q1245="","",IFERROR(INDEX(Settings!$I$11:$I$15,MATCH(Q1245,Settings!$H$11:$H$15,0)),"No"))</f>
        <v/>
      </c>
      <c r="W1245" s="37" t="str">
        <f aca="false">IF(Q1245="","",IFERROR(INDEX(Settings!$J$11:$J$15,MATCH(Q1245,Settings!$H$11:$H$15,0)),"No"))</f>
        <v/>
      </c>
    </row>
    <row r="1246" customFormat="false" ht="15" hidden="false" customHeight="false" outlineLevel="0" collapsed="false">
      <c r="A1246" s="30"/>
      <c r="B1246" s="25"/>
      <c r="C1246" s="25"/>
      <c r="D1246" s="25"/>
      <c r="E1246" s="25"/>
      <c r="F1246" s="25"/>
      <c r="G1246" s="25"/>
      <c r="H1246" s="31"/>
      <c r="I1246" s="32"/>
      <c r="J1246" s="33"/>
      <c r="K1246" s="34" t="str">
        <f aca="false">IF(OR(H1246="",I1246=""),"",H1246*I1246*(1-N(J1246)))</f>
        <v/>
      </c>
      <c r="L1246" s="32"/>
      <c r="M1246" s="34" t="str">
        <f aca="false">IF(OR(H1246="",L1246=""),"",H1246*L1246)</f>
        <v/>
      </c>
      <c r="N1246" s="34" t="str">
        <f aca="false">IF(OR(K1246="",M1246=""),"",K1246-M1246)</f>
        <v/>
      </c>
      <c r="O1246" s="35" t="str">
        <f aca="false">IF(OR(N1246="",K1246=""),"",IF(K1246=0,"",N1246/K1246))</f>
        <v/>
      </c>
      <c r="P1246" s="25"/>
      <c r="Q1246" s="25"/>
      <c r="R1246" s="25"/>
      <c r="S1246" s="36" t="str">
        <f aca="false">IF(A1246="","",YEAR(A1246)+IF(AND(FYStart&gt;1,MONTH(A1246)&gt;=FYStart),1,0))</f>
        <v/>
      </c>
      <c r="T1246" s="36" t="str">
        <f aca="false">IF(A1246="","",MOD(MONTH(A1246)-FYStart,12)+1)</f>
        <v/>
      </c>
      <c r="U1246" s="37" t="str">
        <f aca="false">IF(A1246="","",TEXT(A1246,"mmm"))</f>
        <v/>
      </c>
      <c r="V1246" s="37" t="str">
        <f aca="false">IF(Q1246="","",IFERROR(INDEX(Settings!$I$11:$I$15,MATCH(Q1246,Settings!$H$11:$H$15,0)),"No"))</f>
        <v/>
      </c>
      <c r="W1246" s="37" t="str">
        <f aca="false">IF(Q1246="","",IFERROR(INDEX(Settings!$J$11:$J$15,MATCH(Q1246,Settings!$H$11:$H$15,0)),"No"))</f>
        <v/>
      </c>
    </row>
    <row r="1247" customFormat="false" ht="15" hidden="false" customHeight="false" outlineLevel="0" collapsed="false">
      <c r="A1247" s="30"/>
      <c r="B1247" s="25"/>
      <c r="C1247" s="25"/>
      <c r="D1247" s="25"/>
      <c r="E1247" s="25"/>
      <c r="F1247" s="25"/>
      <c r="G1247" s="25"/>
      <c r="H1247" s="31"/>
      <c r="I1247" s="32"/>
      <c r="J1247" s="33"/>
      <c r="K1247" s="34" t="str">
        <f aca="false">IF(OR(H1247="",I1247=""),"",H1247*I1247*(1-N(J1247)))</f>
        <v/>
      </c>
      <c r="L1247" s="32"/>
      <c r="M1247" s="34" t="str">
        <f aca="false">IF(OR(H1247="",L1247=""),"",H1247*L1247)</f>
        <v/>
      </c>
      <c r="N1247" s="34" t="str">
        <f aca="false">IF(OR(K1247="",M1247=""),"",K1247-M1247)</f>
        <v/>
      </c>
      <c r="O1247" s="35" t="str">
        <f aca="false">IF(OR(N1247="",K1247=""),"",IF(K1247=0,"",N1247/K1247))</f>
        <v/>
      </c>
      <c r="P1247" s="25"/>
      <c r="Q1247" s="25"/>
      <c r="R1247" s="25"/>
      <c r="S1247" s="36" t="str">
        <f aca="false">IF(A1247="","",YEAR(A1247)+IF(AND(FYStart&gt;1,MONTH(A1247)&gt;=FYStart),1,0))</f>
        <v/>
      </c>
      <c r="T1247" s="36" t="str">
        <f aca="false">IF(A1247="","",MOD(MONTH(A1247)-FYStart,12)+1)</f>
        <v/>
      </c>
      <c r="U1247" s="37" t="str">
        <f aca="false">IF(A1247="","",TEXT(A1247,"mmm"))</f>
        <v/>
      </c>
      <c r="V1247" s="37" t="str">
        <f aca="false">IF(Q1247="","",IFERROR(INDEX(Settings!$I$11:$I$15,MATCH(Q1247,Settings!$H$11:$H$15,0)),"No"))</f>
        <v/>
      </c>
      <c r="W1247" s="37" t="str">
        <f aca="false">IF(Q1247="","",IFERROR(INDEX(Settings!$J$11:$J$15,MATCH(Q1247,Settings!$H$11:$H$15,0)),"No"))</f>
        <v/>
      </c>
    </row>
    <row r="1248" customFormat="false" ht="15" hidden="false" customHeight="false" outlineLevel="0" collapsed="false">
      <c r="A1248" s="30"/>
      <c r="B1248" s="25"/>
      <c r="C1248" s="25"/>
      <c r="D1248" s="25"/>
      <c r="E1248" s="25"/>
      <c r="F1248" s="25"/>
      <c r="G1248" s="25"/>
      <c r="H1248" s="31"/>
      <c r="I1248" s="32"/>
      <c r="J1248" s="33"/>
      <c r="K1248" s="34" t="str">
        <f aca="false">IF(OR(H1248="",I1248=""),"",H1248*I1248*(1-N(J1248)))</f>
        <v/>
      </c>
      <c r="L1248" s="32"/>
      <c r="M1248" s="34" t="str">
        <f aca="false">IF(OR(H1248="",L1248=""),"",H1248*L1248)</f>
        <v/>
      </c>
      <c r="N1248" s="34" t="str">
        <f aca="false">IF(OR(K1248="",M1248=""),"",K1248-M1248)</f>
        <v/>
      </c>
      <c r="O1248" s="35" t="str">
        <f aca="false">IF(OR(N1248="",K1248=""),"",IF(K1248=0,"",N1248/K1248))</f>
        <v/>
      </c>
      <c r="P1248" s="25"/>
      <c r="Q1248" s="25"/>
      <c r="R1248" s="25"/>
      <c r="S1248" s="36" t="str">
        <f aca="false">IF(A1248="","",YEAR(A1248)+IF(AND(FYStart&gt;1,MONTH(A1248)&gt;=FYStart),1,0))</f>
        <v/>
      </c>
      <c r="T1248" s="36" t="str">
        <f aca="false">IF(A1248="","",MOD(MONTH(A1248)-FYStart,12)+1)</f>
        <v/>
      </c>
      <c r="U1248" s="37" t="str">
        <f aca="false">IF(A1248="","",TEXT(A1248,"mmm"))</f>
        <v/>
      </c>
      <c r="V1248" s="37" t="str">
        <f aca="false">IF(Q1248="","",IFERROR(INDEX(Settings!$I$11:$I$15,MATCH(Q1248,Settings!$H$11:$H$15,0)),"No"))</f>
        <v/>
      </c>
      <c r="W1248" s="37" t="str">
        <f aca="false">IF(Q1248="","",IFERROR(INDEX(Settings!$J$11:$J$15,MATCH(Q1248,Settings!$H$11:$H$15,0)),"No"))</f>
        <v/>
      </c>
    </row>
    <row r="1249" customFormat="false" ht="15" hidden="false" customHeight="false" outlineLevel="0" collapsed="false">
      <c r="A1249" s="30"/>
      <c r="B1249" s="25"/>
      <c r="C1249" s="25"/>
      <c r="D1249" s="25"/>
      <c r="E1249" s="25"/>
      <c r="F1249" s="25"/>
      <c r="G1249" s="25"/>
      <c r="H1249" s="31"/>
      <c r="I1249" s="32"/>
      <c r="J1249" s="33"/>
      <c r="K1249" s="34" t="str">
        <f aca="false">IF(OR(H1249="",I1249=""),"",H1249*I1249*(1-N(J1249)))</f>
        <v/>
      </c>
      <c r="L1249" s="32"/>
      <c r="M1249" s="34" t="str">
        <f aca="false">IF(OR(H1249="",L1249=""),"",H1249*L1249)</f>
        <v/>
      </c>
      <c r="N1249" s="34" t="str">
        <f aca="false">IF(OR(K1249="",M1249=""),"",K1249-M1249)</f>
        <v/>
      </c>
      <c r="O1249" s="35" t="str">
        <f aca="false">IF(OR(N1249="",K1249=""),"",IF(K1249=0,"",N1249/K1249))</f>
        <v/>
      </c>
      <c r="P1249" s="25"/>
      <c r="Q1249" s="25"/>
      <c r="R1249" s="25"/>
      <c r="S1249" s="36" t="str">
        <f aca="false">IF(A1249="","",YEAR(A1249)+IF(AND(FYStart&gt;1,MONTH(A1249)&gt;=FYStart),1,0))</f>
        <v/>
      </c>
      <c r="T1249" s="36" t="str">
        <f aca="false">IF(A1249="","",MOD(MONTH(A1249)-FYStart,12)+1)</f>
        <v/>
      </c>
      <c r="U1249" s="37" t="str">
        <f aca="false">IF(A1249="","",TEXT(A1249,"mmm"))</f>
        <v/>
      </c>
      <c r="V1249" s="37" t="str">
        <f aca="false">IF(Q1249="","",IFERROR(INDEX(Settings!$I$11:$I$15,MATCH(Q1249,Settings!$H$11:$H$15,0)),"No"))</f>
        <v/>
      </c>
      <c r="W1249" s="37" t="str">
        <f aca="false">IF(Q1249="","",IFERROR(INDEX(Settings!$J$11:$J$15,MATCH(Q1249,Settings!$H$11:$H$15,0)),"No"))</f>
        <v/>
      </c>
    </row>
    <row r="1250" customFormat="false" ht="15" hidden="false" customHeight="false" outlineLevel="0" collapsed="false">
      <c r="A1250" s="30"/>
      <c r="B1250" s="25"/>
      <c r="C1250" s="25"/>
      <c r="D1250" s="25"/>
      <c r="E1250" s="25"/>
      <c r="F1250" s="25"/>
      <c r="G1250" s="25"/>
      <c r="H1250" s="31"/>
      <c r="I1250" s="32"/>
      <c r="J1250" s="33"/>
      <c r="K1250" s="34" t="str">
        <f aca="false">IF(OR(H1250="",I1250=""),"",H1250*I1250*(1-N(J1250)))</f>
        <v/>
      </c>
      <c r="L1250" s="32"/>
      <c r="M1250" s="34" t="str">
        <f aca="false">IF(OR(H1250="",L1250=""),"",H1250*L1250)</f>
        <v/>
      </c>
      <c r="N1250" s="34" t="str">
        <f aca="false">IF(OR(K1250="",M1250=""),"",K1250-M1250)</f>
        <v/>
      </c>
      <c r="O1250" s="35" t="str">
        <f aca="false">IF(OR(N1250="",K1250=""),"",IF(K1250=0,"",N1250/K1250))</f>
        <v/>
      </c>
      <c r="P1250" s="25"/>
      <c r="Q1250" s="25"/>
      <c r="R1250" s="25"/>
      <c r="S1250" s="36" t="str">
        <f aca="false">IF(A1250="","",YEAR(A1250)+IF(AND(FYStart&gt;1,MONTH(A1250)&gt;=FYStart),1,0))</f>
        <v/>
      </c>
      <c r="T1250" s="36" t="str">
        <f aca="false">IF(A1250="","",MOD(MONTH(A1250)-FYStart,12)+1)</f>
        <v/>
      </c>
      <c r="U1250" s="37" t="str">
        <f aca="false">IF(A1250="","",TEXT(A1250,"mmm"))</f>
        <v/>
      </c>
      <c r="V1250" s="37" t="str">
        <f aca="false">IF(Q1250="","",IFERROR(INDEX(Settings!$I$11:$I$15,MATCH(Q1250,Settings!$H$11:$H$15,0)),"No"))</f>
        <v/>
      </c>
      <c r="W1250" s="37" t="str">
        <f aca="false">IF(Q1250="","",IFERROR(INDEX(Settings!$J$11:$J$15,MATCH(Q1250,Settings!$H$11:$H$15,0)),"No"))</f>
        <v/>
      </c>
    </row>
    <row r="1251" customFormat="false" ht="15" hidden="false" customHeight="false" outlineLevel="0" collapsed="false">
      <c r="A1251" s="30"/>
      <c r="B1251" s="25"/>
      <c r="C1251" s="25"/>
      <c r="D1251" s="25"/>
      <c r="E1251" s="25"/>
      <c r="F1251" s="25"/>
      <c r="G1251" s="25"/>
      <c r="H1251" s="31"/>
      <c r="I1251" s="32"/>
      <c r="J1251" s="33"/>
      <c r="K1251" s="34" t="str">
        <f aca="false">IF(OR(H1251="",I1251=""),"",H1251*I1251*(1-N(J1251)))</f>
        <v/>
      </c>
      <c r="L1251" s="32"/>
      <c r="M1251" s="34" t="str">
        <f aca="false">IF(OR(H1251="",L1251=""),"",H1251*L1251)</f>
        <v/>
      </c>
      <c r="N1251" s="34" t="str">
        <f aca="false">IF(OR(K1251="",M1251=""),"",K1251-M1251)</f>
        <v/>
      </c>
      <c r="O1251" s="35" t="str">
        <f aca="false">IF(OR(N1251="",K1251=""),"",IF(K1251=0,"",N1251/K1251))</f>
        <v/>
      </c>
      <c r="P1251" s="25"/>
      <c r="Q1251" s="25"/>
      <c r="R1251" s="25"/>
      <c r="S1251" s="36" t="str">
        <f aca="false">IF(A1251="","",YEAR(A1251)+IF(AND(FYStart&gt;1,MONTH(A1251)&gt;=FYStart),1,0))</f>
        <v/>
      </c>
      <c r="T1251" s="36" t="str">
        <f aca="false">IF(A1251="","",MOD(MONTH(A1251)-FYStart,12)+1)</f>
        <v/>
      </c>
      <c r="U1251" s="37" t="str">
        <f aca="false">IF(A1251="","",TEXT(A1251,"mmm"))</f>
        <v/>
      </c>
      <c r="V1251" s="37" t="str">
        <f aca="false">IF(Q1251="","",IFERROR(INDEX(Settings!$I$11:$I$15,MATCH(Q1251,Settings!$H$11:$H$15,0)),"No"))</f>
        <v/>
      </c>
      <c r="W1251" s="37" t="str">
        <f aca="false">IF(Q1251="","",IFERROR(INDEX(Settings!$J$11:$J$15,MATCH(Q1251,Settings!$H$11:$H$15,0)),"No"))</f>
        <v/>
      </c>
    </row>
    <row r="1252" customFormat="false" ht="15" hidden="false" customHeight="false" outlineLevel="0" collapsed="false">
      <c r="A1252" s="30"/>
      <c r="B1252" s="25"/>
      <c r="C1252" s="25"/>
      <c r="D1252" s="25"/>
      <c r="E1252" s="25"/>
      <c r="F1252" s="25"/>
      <c r="G1252" s="25"/>
      <c r="H1252" s="31"/>
      <c r="I1252" s="32"/>
      <c r="J1252" s="33"/>
      <c r="K1252" s="34" t="str">
        <f aca="false">IF(OR(H1252="",I1252=""),"",H1252*I1252*(1-N(J1252)))</f>
        <v/>
      </c>
      <c r="L1252" s="32"/>
      <c r="M1252" s="34" t="str">
        <f aca="false">IF(OR(H1252="",L1252=""),"",H1252*L1252)</f>
        <v/>
      </c>
      <c r="N1252" s="34" t="str">
        <f aca="false">IF(OR(K1252="",M1252=""),"",K1252-M1252)</f>
        <v/>
      </c>
      <c r="O1252" s="35" t="str">
        <f aca="false">IF(OR(N1252="",K1252=""),"",IF(K1252=0,"",N1252/K1252))</f>
        <v/>
      </c>
      <c r="P1252" s="25"/>
      <c r="Q1252" s="25"/>
      <c r="R1252" s="25"/>
      <c r="S1252" s="36" t="str">
        <f aca="false">IF(A1252="","",YEAR(A1252)+IF(AND(FYStart&gt;1,MONTH(A1252)&gt;=FYStart),1,0))</f>
        <v/>
      </c>
      <c r="T1252" s="36" t="str">
        <f aca="false">IF(A1252="","",MOD(MONTH(A1252)-FYStart,12)+1)</f>
        <v/>
      </c>
      <c r="U1252" s="37" t="str">
        <f aca="false">IF(A1252="","",TEXT(A1252,"mmm"))</f>
        <v/>
      </c>
      <c r="V1252" s="37" t="str">
        <f aca="false">IF(Q1252="","",IFERROR(INDEX(Settings!$I$11:$I$15,MATCH(Q1252,Settings!$H$11:$H$15,0)),"No"))</f>
        <v/>
      </c>
      <c r="W1252" s="37" t="str">
        <f aca="false">IF(Q1252="","",IFERROR(INDEX(Settings!$J$11:$J$15,MATCH(Q1252,Settings!$H$11:$H$15,0)),"No"))</f>
        <v/>
      </c>
    </row>
    <row r="1253" customFormat="false" ht="15" hidden="false" customHeight="false" outlineLevel="0" collapsed="false">
      <c r="A1253" s="30"/>
      <c r="B1253" s="25"/>
      <c r="C1253" s="25"/>
      <c r="D1253" s="25"/>
      <c r="E1253" s="25"/>
      <c r="F1253" s="25"/>
      <c r="G1253" s="25"/>
      <c r="H1253" s="31"/>
      <c r="I1253" s="32"/>
      <c r="J1253" s="33"/>
      <c r="K1253" s="34" t="str">
        <f aca="false">IF(OR(H1253="",I1253=""),"",H1253*I1253*(1-N(J1253)))</f>
        <v/>
      </c>
      <c r="L1253" s="32"/>
      <c r="M1253" s="34" t="str">
        <f aca="false">IF(OR(H1253="",L1253=""),"",H1253*L1253)</f>
        <v/>
      </c>
      <c r="N1253" s="34" t="str">
        <f aca="false">IF(OR(K1253="",M1253=""),"",K1253-M1253)</f>
        <v/>
      </c>
      <c r="O1253" s="35" t="str">
        <f aca="false">IF(OR(N1253="",K1253=""),"",IF(K1253=0,"",N1253/K1253))</f>
        <v/>
      </c>
      <c r="P1253" s="25"/>
      <c r="Q1253" s="25"/>
      <c r="R1253" s="25"/>
      <c r="S1253" s="36" t="str">
        <f aca="false">IF(A1253="","",YEAR(A1253)+IF(AND(FYStart&gt;1,MONTH(A1253)&gt;=FYStart),1,0))</f>
        <v/>
      </c>
      <c r="T1253" s="36" t="str">
        <f aca="false">IF(A1253="","",MOD(MONTH(A1253)-FYStart,12)+1)</f>
        <v/>
      </c>
      <c r="U1253" s="37" t="str">
        <f aca="false">IF(A1253="","",TEXT(A1253,"mmm"))</f>
        <v/>
      </c>
      <c r="V1253" s="37" t="str">
        <f aca="false">IF(Q1253="","",IFERROR(INDEX(Settings!$I$11:$I$15,MATCH(Q1253,Settings!$H$11:$H$15,0)),"No"))</f>
        <v/>
      </c>
      <c r="W1253" s="37" t="str">
        <f aca="false">IF(Q1253="","",IFERROR(INDEX(Settings!$J$11:$J$15,MATCH(Q1253,Settings!$H$11:$H$15,0)),"No"))</f>
        <v/>
      </c>
    </row>
    <row r="1254" customFormat="false" ht="15" hidden="false" customHeight="false" outlineLevel="0" collapsed="false">
      <c r="A1254" s="30"/>
      <c r="B1254" s="25"/>
      <c r="C1254" s="25"/>
      <c r="D1254" s="25"/>
      <c r="E1254" s="25"/>
      <c r="F1254" s="25"/>
      <c r="G1254" s="25"/>
      <c r="H1254" s="31"/>
      <c r="I1254" s="32"/>
      <c r="J1254" s="33"/>
      <c r="K1254" s="34" t="str">
        <f aca="false">IF(OR(H1254="",I1254=""),"",H1254*I1254*(1-N(J1254)))</f>
        <v/>
      </c>
      <c r="L1254" s="32"/>
      <c r="M1254" s="34" t="str">
        <f aca="false">IF(OR(H1254="",L1254=""),"",H1254*L1254)</f>
        <v/>
      </c>
      <c r="N1254" s="34" t="str">
        <f aca="false">IF(OR(K1254="",M1254=""),"",K1254-M1254)</f>
        <v/>
      </c>
      <c r="O1254" s="35" t="str">
        <f aca="false">IF(OR(N1254="",K1254=""),"",IF(K1254=0,"",N1254/K1254))</f>
        <v/>
      </c>
      <c r="P1254" s="25"/>
      <c r="Q1254" s="25"/>
      <c r="R1254" s="25"/>
      <c r="S1254" s="36" t="str">
        <f aca="false">IF(A1254="","",YEAR(A1254)+IF(AND(FYStart&gt;1,MONTH(A1254)&gt;=FYStart),1,0))</f>
        <v/>
      </c>
      <c r="T1254" s="36" t="str">
        <f aca="false">IF(A1254="","",MOD(MONTH(A1254)-FYStart,12)+1)</f>
        <v/>
      </c>
      <c r="U1254" s="37" t="str">
        <f aca="false">IF(A1254="","",TEXT(A1254,"mmm"))</f>
        <v/>
      </c>
      <c r="V1254" s="37" t="str">
        <f aca="false">IF(Q1254="","",IFERROR(INDEX(Settings!$I$11:$I$15,MATCH(Q1254,Settings!$H$11:$H$15,0)),"No"))</f>
        <v/>
      </c>
      <c r="W1254" s="37" t="str">
        <f aca="false">IF(Q1254="","",IFERROR(INDEX(Settings!$J$11:$J$15,MATCH(Q1254,Settings!$H$11:$H$15,0)),"No"))</f>
        <v/>
      </c>
    </row>
    <row r="1255" customFormat="false" ht="15" hidden="false" customHeight="false" outlineLevel="0" collapsed="false">
      <c r="A1255" s="30"/>
      <c r="B1255" s="25"/>
      <c r="C1255" s="25"/>
      <c r="D1255" s="25"/>
      <c r="E1255" s="25"/>
      <c r="F1255" s="25"/>
      <c r="G1255" s="25"/>
      <c r="H1255" s="31"/>
      <c r="I1255" s="32"/>
      <c r="J1255" s="33"/>
      <c r="K1255" s="34" t="str">
        <f aca="false">IF(OR(H1255="",I1255=""),"",H1255*I1255*(1-N(J1255)))</f>
        <v/>
      </c>
      <c r="L1255" s="32"/>
      <c r="M1255" s="34" t="str">
        <f aca="false">IF(OR(H1255="",L1255=""),"",H1255*L1255)</f>
        <v/>
      </c>
      <c r="N1255" s="34" t="str">
        <f aca="false">IF(OR(K1255="",M1255=""),"",K1255-M1255)</f>
        <v/>
      </c>
      <c r="O1255" s="35" t="str">
        <f aca="false">IF(OR(N1255="",K1255=""),"",IF(K1255=0,"",N1255/K1255))</f>
        <v/>
      </c>
      <c r="P1255" s="25"/>
      <c r="Q1255" s="25"/>
      <c r="R1255" s="25"/>
      <c r="S1255" s="36" t="str">
        <f aca="false">IF(A1255="","",YEAR(A1255)+IF(AND(FYStart&gt;1,MONTH(A1255)&gt;=FYStart),1,0))</f>
        <v/>
      </c>
      <c r="T1255" s="36" t="str">
        <f aca="false">IF(A1255="","",MOD(MONTH(A1255)-FYStart,12)+1)</f>
        <v/>
      </c>
      <c r="U1255" s="37" t="str">
        <f aca="false">IF(A1255="","",TEXT(A1255,"mmm"))</f>
        <v/>
      </c>
      <c r="V1255" s="37" t="str">
        <f aca="false">IF(Q1255="","",IFERROR(INDEX(Settings!$I$11:$I$15,MATCH(Q1255,Settings!$H$11:$H$15,0)),"No"))</f>
        <v/>
      </c>
      <c r="W1255" s="37" t="str">
        <f aca="false">IF(Q1255="","",IFERROR(INDEX(Settings!$J$11:$J$15,MATCH(Q1255,Settings!$H$11:$H$15,0)),"No"))</f>
        <v/>
      </c>
    </row>
    <row r="1256" customFormat="false" ht="15" hidden="false" customHeight="false" outlineLevel="0" collapsed="false">
      <c r="A1256" s="30"/>
      <c r="B1256" s="25"/>
      <c r="C1256" s="25"/>
      <c r="D1256" s="25"/>
      <c r="E1256" s="25"/>
      <c r="F1256" s="25"/>
      <c r="G1256" s="25"/>
      <c r="H1256" s="31"/>
      <c r="I1256" s="32"/>
      <c r="J1256" s="33"/>
      <c r="K1256" s="34" t="str">
        <f aca="false">IF(OR(H1256="",I1256=""),"",H1256*I1256*(1-N(J1256)))</f>
        <v/>
      </c>
      <c r="L1256" s="32"/>
      <c r="M1256" s="34" t="str">
        <f aca="false">IF(OR(H1256="",L1256=""),"",H1256*L1256)</f>
        <v/>
      </c>
      <c r="N1256" s="34" t="str">
        <f aca="false">IF(OR(K1256="",M1256=""),"",K1256-M1256)</f>
        <v/>
      </c>
      <c r="O1256" s="35" t="str">
        <f aca="false">IF(OR(N1256="",K1256=""),"",IF(K1256=0,"",N1256/K1256))</f>
        <v/>
      </c>
      <c r="P1256" s="25"/>
      <c r="Q1256" s="25"/>
      <c r="R1256" s="25"/>
      <c r="S1256" s="36" t="str">
        <f aca="false">IF(A1256="","",YEAR(A1256)+IF(AND(FYStart&gt;1,MONTH(A1256)&gt;=FYStart),1,0))</f>
        <v/>
      </c>
      <c r="T1256" s="36" t="str">
        <f aca="false">IF(A1256="","",MOD(MONTH(A1256)-FYStart,12)+1)</f>
        <v/>
      </c>
      <c r="U1256" s="37" t="str">
        <f aca="false">IF(A1256="","",TEXT(A1256,"mmm"))</f>
        <v/>
      </c>
      <c r="V1256" s="37" t="str">
        <f aca="false">IF(Q1256="","",IFERROR(INDEX(Settings!$I$11:$I$15,MATCH(Q1256,Settings!$H$11:$H$15,0)),"No"))</f>
        <v/>
      </c>
      <c r="W1256" s="37" t="str">
        <f aca="false">IF(Q1256="","",IFERROR(INDEX(Settings!$J$11:$J$15,MATCH(Q1256,Settings!$H$11:$H$15,0)),"No"))</f>
        <v/>
      </c>
    </row>
    <row r="1257" customFormat="false" ht="15" hidden="false" customHeight="false" outlineLevel="0" collapsed="false">
      <c r="A1257" s="30"/>
      <c r="B1257" s="25"/>
      <c r="C1257" s="25"/>
      <c r="D1257" s="25"/>
      <c r="E1257" s="25"/>
      <c r="F1257" s="25"/>
      <c r="G1257" s="25"/>
      <c r="H1257" s="31"/>
      <c r="I1257" s="32"/>
      <c r="J1257" s="33"/>
      <c r="K1257" s="34" t="str">
        <f aca="false">IF(OR(H1257="",I1257=""),"",H1257*I1257*(1-N(J1257)))</f>
        <v/>
      </c>
      <c r="L1257" s="32"/>
      <c r="M1257" s="34" t="str">
        <f aca="false">IF(OR(H1257="",L1257=""),"",H1257*L1257)</f>
        <v/>
      </c>
      <c r="N1257" s="34" t="str">
        <f aca="false">IF(OR(K1257="",M1257=""),"",K1257-M1257)</f>
        <v/>
      </c>
      <c r="O1257" s="35" t="str">
        <f aca="false">IF(OR(N1257="",K1257=""),"",IF(K1257=0,"",N1257/K1257))</f>
        <v/>
      </c>
      <c r="P1257" s="25"/>
      <c r="Q1257" s="25"/>
      <c r="R1257" s="25"/>
      <c r="S1257" s="36" t="str">
        <f aca="false">IF(A1257="","",YEAR(A1257)+IF(AND(FYStart&gt;1,MONTH(A1257)&gt;=FYStart),1,0))</f>
        <v/>
      </c>
      <c r="T1257" s="36" t="str">
        <f aca="false">IF(A1257="","",MOD(MONTH(A1257)-FYStart,12)+1)</f>
        <v/>
      </c>
      <c r="U1257" s="37" t="str">
        <f aca="false">IF(A1257="","",TEXT(A1257,"mmm"))</f>
        <v/>
      </c>
      <c r="V1257" s="37" t="str">
        <f aca="false">IF(Q1257="","",IFERROR(INDEX(Settings!$I$11:$I$15,MATCH(Q1257,Settings!$H$11:$H$15,0)),"No"))</f>
        <v/>
      </c>
      <c r="W1257" s="37" t="str">
        <f aca="false">IF(Q1257="","",IFERROR(INDEX(Settings!$J$11:$J$15,MATCH(Q1257,Settings!$H$11:$H$15,0)),"No"))</f>
        <v/>
      </c>
    </row>
    <row r="1258" customFormat="false" ht="15" hidden="false" customHeight="false" outlineLevel="0" collapsed="false">
      <c r="A1258" s="30"/>
      <c r="B1258" s="25"/>
      <c r="C1258" s="25"/>
      <c r="D1258" s="25"/>
      <c r="E1258" s="25"/>
      <c r="F1258" s="25"/>
      <c r="G1258" s="25"/>
      <c r="H1258" s="31"/>
      <c r="I1258" s="32"/>
      <c r="J1258" s="33"/>
      <c r="K1258" s="34" t="str">
        <f aca="false">IF(OR(H1258="",I1258=""),"",H1258*I1258*(1-N(J1258)))</f>
        <v/>
      </c>
      <c r="L1258" s="32"/>
      <c r="M1258" s="34" t="str">
        <f aca="false">IF(OR(H1258="",L1258=""),"",H1258*L1258)</f>
        <v/>
      </c>
      <c r="N1258" s="34" t="str">
        <f aca="false">IF(OR(K1258="",M1258=""),"",K1258-M1258)</f>
        <v/>
      </c>
      <c r="O1258" s="35" t="str">
        <f aca="false">IF(OR(N1258="",K1258=""),"",IF(K1258=0,"",N1258/K1258))</f>
        <v/>
      </c>
      <c r="P1258" s="25"/>
      <c r="Q1258" s="25"/>
      <c r="R1258" s="25"/>
      <c r="S1258" s="36" t="str">
        <f aca="false">IF(A1258="","",YEAR(A1258)+IF(AND(FYStart&gt;1,MONTH(A1258)&gt;=FYStart),1,0))</f>
        <v/>
      </c>
      <c r="T1258" s="36" t="str">
        <f aca="false">IF(A1258="","",MOD(MONTH(A1258)-FYStart,12)+1)</f>
        <v/>
      </c>
      <c r="U1258" s="37" t="str">
        <f aca="false">IF(A1258="","",TEXT(A1258,"mmm"))</f>
        <v/>
      </c>
      <c r="V1258" s="37" t="str">
        <f aca="false">IF(Q1258="","",IFERROR(INDEX(Settings!$I$11:$I$15,MATCH(Q1258,Settings!$H$11:$H$15,0)),"No"))</f>
        <v/>
      </c>
      <c r="W1258" s="37" t="str">
        <f aca="false">IF(Q1258="","",IFERROR(INDEX(Settings!$J$11:$J$15,MATCH(Q1258,Settings!$H$11:$H$15,0)),"No"))</f>
        <v/>
      </c>
    </row>
    <row r="1259" customFormat="false" ht="15" hidden="false" customHeight="false" outlineLevel="0" collapsed="false">
      <c r="A1259" s="30"/>
      <c r="B1259" s="25"/>
      <c r="C1259" s="25"/>
      <c r="D1259" s="25"/>
      <c r="E1259" s="25"/>
      <c r="F1259" s="25"/>
      <c r="G1259" s="25"/>
      <c r="H1259" s="31"/>
      <c r="I1259" s="32"/>
      <c r="J1259" s="33"/>
      <c r="K1259" s="34" t="str">
        <f aca="false">IF(OR(H1259="",I1259=""),"",H1259*I1259*(1-N(J1259)))</f>
        <v/>
      </c>
      <c r="L1259" s="32"/>
      <c r="M1259" s="34" t="str">
        <f aca="false">IF(OR(H1259="",L1259=""),"",H1259*L1259)</f>
        <v/>
      </c>
      <c r="N1259" s="34" t="str">
        <f aca="false">IF(OR(K1259="",M1259=""),"",K1259-M1259)</f>
        <v/>
      </c>
      <c r="O1259" s="35" t="str">
        <f aca="false">IF(OR(N1259="",K1259=""),"",IF(K1259=0,"",N1259/K1259))</f>
        <v/>
      </c>
      <c r="P1259" s="25"/>
      <c r="Q1259" s="25"/>
      <c r="R1259" s="25"/>
      <c r="S1259" s="36" t="str">
        <f aca="false">IF(A1259="","",YEAR(A1259)+IF(AND(FYStart&gt;1,MONTH(A1259)&gt;=FYStart),1,0))</f>
        <v/>
      </c>
      <c r="T1259" s="36" t="str">
        <f aca="false">IF(A1259="","",MOD(MONTH(A1259)-FYStart,12)+1)</f>
        <v/>
      </c>
      <c r="U1259" s="37" t="str">
        <f aca="false">IF(A1259="","",TEXT(A1259,"mmm"))</f>
        <v/>
      </c>
      <c r="V1259" s="37" t="str">
        <f aca="false">IF(Q1259="","",IFERROR(INDEX(Settings!$I$11:$I$15,MATCH(Q1259,Settings!$H$11:$H$15,0)),"No"))</f>
        <v/>
      </c>
      <c r="W1259" s="37" t="str">
        <f aca="false">IF(Q1259="","",IFERROR(INDEX(Settings!$J$11:$J$15,MATCH(Q1259,Settings!$H$11:$H$15,0)),"No"))</f>
        <v/>
      </c>
    </row>
    <row r="1260" customFormat="false" ht="15" hidden="false" customHeight="false" outlineLevel="0" collapsed="false">
      <c r="A1260" s="30"/>
      <c r="B1260" s="25"/>
      <c r="C1260" s="25"/>
      <c r="D1260" s="25"/>
      <c r="E1260" s="25"/>
      <c r="F1260" s="25"/>
      <c r="G1260" s="25"/>
      <c r="H1260" s="31"/>
      <c r="I1260" s="32"/>
      <c r="J1260" s="33"/>
      <c r="K1260" s="34" t="str">
        <f aca="false">IF(OR(H1260="",I1260=""),"",H1260*I1260*(1-N(J1260)))</f>
        <v/>
      </c>
      <c r="L1260" s="32"/>
      <c r="M1260" s="34" t="str">
        <f aca="false">IF(OR(H1260="",L1260=""),"",H1260*L1260)</f>
        <v/>
      </c>
      <c r="N1260" s="34" t="str">
        <f aca="false">IF(OR(K1260="",M1260=""),"",K1260-M1260)</f>
        <v/>
      </c>
      <c r="O1260" s="35" t="str">
        <f aca="false">IF(OR(N1260="",K1260=""),"",IF(K1260=0,"",N1260/K1260))</f>
        <v/>
      </c>
      <c r="P1260" s="25"/>
      <c r="Q1260" s="25"/>
      <c r="R1260" s="25"/>
      <c r="S1260" s="36" t="str">
        <f aca="false">IF(A1260="","",YEAR(A1260)+IF(AND(FYStart&gt;1,MONTH(A1260)&gt;=FYStart),1,0))</f>
        <v/>
      </c>
      <c r="T1260" s="36" t="str">
        <f aca="false">IF(A1260="","",MOD(MONTH(A1260)-FYStart,12)+1)</f>
        <v/>
      </c>
      <c r="U1260" s="37" t="str">
        <f aca="false">IF(A1260="","",TEXT(A1260,"mmm"))</f>
        <v/>
      </c>
      <c r="V1260" s="37" t="str">
        <f aca="false">IF(Q1260="","",IFERROR(INDEX(Settings!$I$11:$I$15,MATCH(Q1260,Settings!$H$11:$H$15,0)),"No"))</f>
        <v/>
      </c>
      <c r="W1260" s="37" t="str">
        <f aca="false">IF(Q1260="","",IFERROR(INDEX(Settings!$J$11:$J$15,MATCH(Q1260,Settings!$H$11:$H$15,0)),"No"))</f>
        <v/>
      </c>
    </row>
    <row r="1261" customFormat="false" ht="15" hidden="false" customHeight="false" outlineLevel="0" collapsed="false">
      <c r="A1261" s="30"/>
      <c r="B1261" s="25"/>
      <c r="C1261" s="25"/>
      <c r="D1261" s="25"/>
      <c r="E1261" s="25"/>
      <c r="F1261" s="25"/>
      <c r="G1261" s="25"/>
      <c r="H1261" s="31"/>
      <c r="I1261" s="32"/>
      <c r="J1261" s="33"/>
      <c r="K1261" s="34" t="str">
        <f aca="false">IF(OR(H1261="",I1261=""),"",H1261*I1261*(1-N(J1261)))</f>
        <v/>
      </c>
      <c r="L1261" s="32"/>
      <c r="M1261" s="34" t="str">
        <f aca="false">IF(OR(H1261="",L1261=""),"",H1261*L1261)</f>
        <v/>
      </c>
      <c r="N1261" s="34" t="str">
        <f aca="false">IF(OR(K1261="",M1261=""),"",K1261-M1261)</f>
        <v/>
      </c>
      <c r="O1261" s="35" t="str">
        <f aca="false">IF(OR(N1261="",K1261=""),"",IF(K1261=0,"",N1261/K1261))</f>
        <v/>
      </c>
      <c r="P1261" s="25"/>
      <c r="Q1261" s="25"/>
      <c r="R1261" s="25"/>
      <c r="S1261" s="36" t="str">
        <f aca="false">IF(A1261="","",YEAR(A1261)+IF(AND(FYStart&gt;1,MONTH(A1261)&gt;=FYStart),1,0))</f>
        <v/>
      </c>
      <c r="T1261" s="36" t="str">
        <f aca="false">IF(A1261="","",MOD(MONTH(A1261)-FYStart,12)+1)</f>
        <v/>
      </c>
      <c r="U1261" s="37" t="str">
        <f aca="false">IF(A1261="","",TEXT(A1261,"mmm"))</f>
        <v/>
      </c>
      <c r="V1261" s="37" t="str">
        <f aca="false">IF(Q1261="","",IFERROR(INDEX(Settings!$I$11:$I$15,MATCH(Q1261,Settings!$H$11:$H$15,0)),"No"))</f>
        <v/>
      </c>
      <c r="W1261" s="37" t="str">
        <f aca="false">IF(Q1261="","",IFERROR(INDEX(Settings!$J$11:$J$15,MATCH(Q1261,Settings!$H$11:$H$15,0)),"No"))</f>
        <v/>
      </c>
    </row>
    <row r="1262" customFormat="false" ht="15" hidden="false" customHeight="false" outlineLevel="0" collapsed="false">
      <c r="A1262" s="30"/>
      <c r="B1262" s="25"/>
      <c r="C1262" s="25"/>
      <c r="D1262" s="25"/>
      <c r="E1262" s="25"/>
      <c r="F1262" s="25"/>
      <c r="G1262" s="25"/>
      <c r="H1262" s="31"/>
      <c r="I1262" s="32"/>
      <c r="J1262" s="33"/>
      <c r="K1262" s="34" t="str">
        <f aca="false">IF(OR(H1262="",I1262=""),"",H1262*I1262*(1-N(J1262)))</f>
        <v/>
      </c>
      <c r="L1262" s="32"/>
      <c r="M1262" s="34" t="str">
        <f aca="false">IF(OR(H1262="",L1262=""),"",H1262*L1262)</f>
        <v/>
      </c>
      <c r="N1262" s="34" t="str">
        <f aca="false">IF(OR(K1262="",M1262=""),"",K1262-M1262)</f>
        <v/>
      </c>
      <c r="O1262" s="35" t="str">
        <f aca="false">IF(OR(N1262="",K1262=""),"",IF(K1262=0,"",N1262/K1262))</f>
        <v/>
      </c>
      <c r="P1262" s="25"/>
      <c r="Q1262" s="25"/>
      <c r="R1262" s="25"/>
      <c r="S1262" s="36" t="str">
        <f aca="false">IF(A1262="","",YEAR(A1262)+IF(AND(FYStart&gt;1,MONTH(A1262)&gt;=FYStart),1,0))</f>
        <v/>
      </c>
      <c r="T1262" s="36" t="str">
        <f aca="false">IF(A1262="","",MOD(MONTH(A1262)-FYStart,12)+1)</f>
        <v/>
      </c>
      <c r="U1262" s="37" t="str">
        <f aca="false">IF(A1262="","",TEXT(A1262,"mmm"))</f>
        <v/>
      </c>
      <c r="V1262" s="37" t="str">
        <f aca="false">IF(Q1262="","",IFERROR(INDEX(Settings!$I$11:$I$15,MATCH(Q1262,Settings!$H$11:$H$15,0)),"No"))</f>
        <v/>
      </c>
      <c r="W1262" s="37" t="str">
        <f aca="false">IF(Q1262="","",IFERROR(INDEX(Settings!$J$11:$J$15,MATCH(Q1262,Settings!$H$11:$H$15,0)),"No"))</f>
        <v/>
      </c>
    </row>
    <row r="1263" customFormat="false" ht="15" hidden="false" customHeight="false" outlineLevel="0" collapsed="false">
      <c r="A1263" s="30"/>
      <c r="B1263" s="25"/>
      <c r="C1263" s="25"/>
      <c r="D1263" s="25"/>
      <c r="E1263" s="25"/>
      <c r="F1263" s="25"/>
      <c r="G1263" s="25"/>
      <c r="H1263" s="31"/>
      <c r="I1263" s="32"/>
      <c r="J1263" s="33"/>
      <c r="K1263" s="34" t="str">
        <f aca="false">IF(OR(H1263="",I1263=""),"",H1263*I1263*(1-N(J1263)))</f>
        <v/>
      </c>
      <c r="L1263" s="32"/>
      <c r="M1263" s="34" t="str">
        <f aca="false">IF(OR(H1263="",L1263=""),"",H1263*L1263)</f>
        <v/>
      </c>
      <c r="N1263" s="34" t="str">
        <f aca="false">IF(OR(K1263="",M1263=""),"",K1263-M1263)</f>
        <v/>
      </c>
      <c r="O1263" s="35" t="str">
        <f aca="false">IF(OR(N1263="",K1263=""),"",IF(K1263=0,"",N1263/K1263))</f>
        <v/>
      </c>
      <c r="P1263" s="25"/>
      <c r="Q1263" s="25"/>
      <c r="R1263" s="25"/>
      <c r="S1263" s="36" t="str">
        <f aca="false">IF(A1263="","",YEAR(A1263)+IF(AND(FYStart&gt;1,MONTH(A1263)&gt;=FYStart),1,0))</f>
        <v/>
      </c>
      <c r="T1263" s="36" t="str">
        <f aca="false">IF(A1263="","",MOD(MONTH(A1263)-FYStart,12)+1)</f>
        <v/>
      </c>
      <c r="U1263" s="37" t="str">
        <f aca="false">IF(A1263="","",TEXT(A1263,"mmm"))</f>
        <v/>
      </c>
      <c r="V1263" s="37" t="str">
        <f aca="false">IF(Q1263="","",IFERROR(INDEX(Settings!$I$11:$I$15,MATCH(Q1263,Settings!$H$11:$H$15,0)),"No"))</f>
        <v/>
      </c>
      <c r="W1263" s="37" t="str">
        <f aca="false">IF(Q1263="","",IFERROR(INDEX(Settings!$J$11:$J$15,MATCH(Q1263,Settings!$H$11:$H$15,0)),"No"))</f>
        <v/>
      </c>
    </row>
    <row r="1264" customFormat="false" ht="15" hidden="false" customHeight="false" outlineLevel="0" collapsed="false">
      <c r="A1264" s="30"/>
      <c r="B1264" s="25"/>
      <c r="C1264" s="25"/>
      <c r="D1264" s="25"/>
      <c r="E1264" s="25"/>
      <c r="F1264" s="25"/>
      <c r="G1264" s="25"/>
      <c r="H1264" s="31"/>
      <c r="I1264" s="32"/>
      <c r="J1264" s="33"/>
      <c r="K1264" s="34" t="str">
        <f aca="false">IF(OR(H1264="",I1264=""),"",H1264*I1264*(1-N(J1264)))</f>
        <v/>
      </c>
      <c r="L1264" s="32"/>
      <c r="M1264" s="34" t="str">
        <f aca="false">IF(OR(H1264="",L1264=""),"",H1264*L1264)</f>
        <v/>
      </c>
      <c r="N1264" s="34" t="str">
        <f aca="false">IF(OR(K1264="",M1264=""),"",K1264-M1264)</f>
        <v/>
      </c>
      <c r="O1264" s="35" t="str">
        <f aca="false">IF(OR(N1264="",K1264=""),"",IF(K1264=0,"",N1264/K1264))</f>
        <v/>
      </c>
      <c r="P1264" s="25"/>
      <c r="Q1264" s="25"/>
      <c r="R1264" s="25"/>
      <c r="S1264" s="36" t="str">
        <f aca="false">IF(A1264="","",YEAR(A1264)+IF(AND(FYStart&gt;1,MONTH(A1264)&gt;=FYStart),1,0))</f>
        <v/>
      </c>
      <c r="T1264" s="36" t="str">
        <f aca="false">IF(A1264="","",MOD(MONTH(A1264)-FYStart,12)+1)</f>
        <v/>
      </c>
      <c r="U1264" s="37" t="str">
        <f aca="false">IF(A1264="","",TEXT(A1264,"mmm"))</f>
        <v/>
      </c>
      <c r="V1264" s="37" t="str">
        <f aca="false">IF(Q1264="","",IFERROR(INDEX(Settings!$I$11:$I$15,MATCH(Q1264,Settings!$H$11:$H$15,0)),"No"))</f>
        <v/>
      </c>
      <c r="W1264" s="37" t="str">
        <f aca="false">IF(Q1264="","",IFERROR(INDEX(Settings!$J$11:$J$15,MATCH(Q1264,Settings!$H$11:$H$15,0)),"No"))</f>
        <v/>
      </c>
    </row>
    <row r="1265" customFormat="false" ht="15" hidden="false" customHeight="false" outlineLevel="0" collapsed="false">
      <c r="A1265" s="30"/>
      <c r="B1265" s="25"/>
      <c r="C1265" s="25"/>
      <c r="D1265" s="25"/>
      <c r="E1265" s="25"/>
      <c r="F1265" s="25"/>
      <c r="G1265" s="25"/>
      <c r="H1265" s="31"/>
      <c r="I1265" s="32"/>
      <c r="J1265" s="33"/>
      <c r="K1265" s="34" t="str">
        <f aca="false">IF(OR(H1265="",I1265=""),"",H1265*I1265*(1-N(J1265)))</f>
        <v/>
      </c>
      <c r="L1265" s="32"/>
      <c r="M1265" s="34" t="str">
        <f aca="false">IF(OR(H1265="",L1265=""),"",H1265*L1265)</f>
        <v/>
      </c>
      <c r="N1265" s="34" t="str">
        <f aca="false">IF(OR(K1265="",M1265=""),"",K1265-M1265)</f>
        <v/>
      </c>
      <c r="O1265" s="35" t="str">
        <f aca="false">IF(OR(N1265="",K1265=""),"",IF(K1265=0,"",N1265/K1265))</f>
        <v/>
      </c>
      <c r="P1265" s="25"/>
      <c r="Q1265" s="25"/>
      <c r="R1265" s="25"/>
      <c r="S1265" s="36" t="str">
        <f aca="false">IF(A1265="","",YEAR(A1265)+IF(AND(FYStart&gt;1,MONTH(A1265)&gt;=FYStart),1,0))</f>
        <v/>
      </c>
      <c r="T1265" s="36" t="str">
        <f aca="false">IF(A1265="","",MOD(MONTH(A1265)-FYStart,12)+1)</f>
        <v/>
      </c>
      <c r="U1265" s="37" t="str">
        <f aca="false">IF(A1265="","",TEXT(A1265,"mmm"))</f>
        <v/>
      </c>
      <c r="V1265" s="37" t="str">
        <f aca="false">IF(Q1265="","",IFERROR(INDEX(Settings!$I$11:$I$15,MATCH(Q1265,Settings!$H$11:$H$15,0)),"No"))</f>
        <v/>
      </c>
      <c r="W1265" s="37" t="str">
        <f aca="false">IF(Q1265="","",IFERROR(INDEX(Settings!$J$11:$J$15,MATCH(Q1265,Settings!$H$11:$H$15,0)),"No"))</f>
        <v/>
      </c>
    </row>
    <row r="1266" customFormat="false" ht="15" hidden="false" customHeight="false" outlineLevel="0" collapsed="false">
      <c r="A1266" s="30"/>
      <c r="B1266" s="25"/>
      <c r="C1266" s="25"/>
      <c r="D1266" s="25"/>
      <c r="E1266" s="25"/>
      <c r="F1266" s="25"/>
      <c r="G1266" s="25"/>
      <c r="H1266" s="31"/>
      <c r="I1266" s="32"/>
      <c r="J1266" s="33"/>
      <c r="K1266" s="34" t="str">
        <f aca="false">IF(OR(H1266="",I1266=""),"",H1266*I1266*(1-N(J1266)))</f>
        <v/>
      </c>
      <c r="L1266" s="32"/>
      <c r="M1266" s="34" t="str">
        <f aca="false">IF(OR(H1266="",L1266=""),"",H1266*L1266)</f>
        <v/>
      </c>
      <c r="N1266" s="34" t="str">
        <f aca="false">IF(OR(K1266="",M1266=""),"",K1266-M1266)</f>
        <v/>
      </c>
      <c r="O1266" s="35" t="str">
        <f aca="false">IF(OR(N1266="",K1266=""),"",IF(K1266=0,"",N1266/K1266))</f>
        <v/>
      </c>
      <c r="P1266" s="25"/>
      <c r="Q1266" s="25"/>
      <c r="R1266" s="25"/>
      <c r="S1266" s="36" t="str">
        <f aca="false">IF(A1266="","",YEAR(A1266)+IF(AND(FYStart&gt;1,MONTH(A1266)&gt;=FYStart),1,0))</f>
        <v/>
      </c>
      <c r="T1266" s="36" t="str">
        <f aca="false">IF(A1266="","",MOD(MONTH(A1266)-FYStart,12)+1)</f>
        <v/>
      </c>
      <c r="U1266" s="37" t="str">
        <f aca="false">IF(A1266="","",TEXT(A1266,"mmm"))</f>
        <v/>
      </c>
      <c r="V1266" s="37" t="str">
        <f aca="false">IF(Q1266="","",IFERROR(INDEX(Settings!$I$11:$I$15,MATCH(Q1266,Settings!$H$11:$H$15,0)),"No"))</f>
        <v/>
      </c>
      <c r="W1266" s="37" t="str">
        <f aca="false">IF(Q1266="","",IFERROR(INDEX(Settings!$J$11:$J$15,MATCH(Q1266,Settings!$H$11:$H$15,0)),"No"))</f>
        <v/>
      </c>
    </row>
    <row r="1267" customFormat="false" ht="15" hidden="false" customHeight="false" outlineLevel="0" collapsed="false">
      <c r="A1267" s="30"/>
      <c r="B1267" s="25"/>
      <c r="C1267" s="25"/>
      <c r="D1267" s="25"/>
      <c r="E1267" s="25"/>
      <c r="F1267" s="25"/>
      <c r="G1267" s="25"/>
      <c r="H1267" s="31"/>
      <c r="I1267" s="32"/>
      <c r="J1267" s="33"/>
      <c r="K1267" s="34" t="str">
        <f aca="false">IF(OR(H1267="",I1267=""),"",H1267*I1267*(1-N(J1267)))</f>
        <v/>
      </c>
      <c r="L1267" s="32"/>
      <c r="M1267" s="34" t="str">
        <f aca="false">IF(OR(H1267="",L1267=""),"",H1267*L1267)</f>
        <v/>
      </c>
      <c r="N1267" s="34" t="str">
        <f aca="false">IF(OR(K1267="",M1267=""),"",K1267-M1267)</f>
        <v/>
      </c>
      <c r="O1267" s="35" t="str">
        <f aca="false">IF(OR(N1267="",K1267=""),"",IF(K1267=0,"",N1267/K1267))</f>
        <v/>
      </c>
      <c r="P1267" s="25"/>
      <c r="Q1267" s="25"/>
      <c r="R1267" s="25"/>
      <c r="S1267" s="36" t="str">
        <f aca="false">IF(A1267="","",YEAR(A1267)+IF(AND(FYStart&gt;1,MONTH(A1267)&gt;=FYStart),1,0))</f>
        <v/>
      </c>
      <c r="T1267" s="36" t="str">
        <f aca="false">IF(A1267="","",MOD(MONTH(A1267)-FYStart,12)+1)</f>
        <v/>
      </c>
      <c r="U1267" s="37" t="str">
        <f aca="false">IF(A1267="","",TEXT(A1267,"mmm"))</f>
        <v/>
      </c>
      <c r="V1267" s="37" t="str">
        <f aca="false">IF(Q1267="","",IFERROR(INDEX(Settings!$I$11:$I$15,MATCH(Q1267,Settings!$H$11:$H$15,0)),"No"))</f>
        <v/>
      </c>
      <c r="W1267" s="37" t="str">
        <f aca="false">IF(Q1267="","",IFERROR(INDEX(Settings!$J$11:$J$15,MATCH(Q1267,Settings!$H$11:$H$15,0)),"No"))</f>
        <v/>
      </c>
    </row>
    <row r="1268" customFormat="false" ht="15" hidden="false" customHeight="false" outlineLevel="0" collapsed="false">
      <c r="A1268" s="30"/>
      <c r="B1268" s="25"/>
      <c r="C1268" s="25"/>
      <c r="D1268" s="25"/>
      <c r="E1268" s="25"/>
      <c r="F1268" s="25"/>
      <c r="G1268" s="25"/>
      <c r="H1268" s="31"/>
      <c r="I1268" s="32"/>
      <c r="J1268" s="33"/>
      <c r="K1268" s="34" t="str">
        <f aca="false">IF(OR(H1268="",I1268=""),"",H1268*I1268*(1-N(J1268)))</f>
        <v/>
      </c>
      <c r="L1268" s="32"/>
      <c r="M1268" s="34" t="str">
        <f aca="false">IF(OR(H1268="",L1268=""),"",H1268*L1268)</f>
        <v/>
      </c>
      <c r="N1268" s="34" t="str">
        <f aca="false">IF(OR(K1268="",M1268=""),"",K1268-M1268)</f>
        <v/>
      </c>
      <c r="O1268" s="35" t="str">
        <f aca="false">IF(OR(N1268="",K1268=""),"",IF(K1268=0,"",N1268/K1268))</f>
        <v/>
      </c>
      <c r="P1268" s="25"/>
      <c r="Q1268" s="25"/>
      <c r="R1268" s="25"/>
      <c r="S1268" s="36" t="str">
        <f aca="false">IF(A1268="","",YEAR(A1268)+IF(AND(FYStart&gt;1,MONTH(A1268)&gt;=FYStart),1,0))</f>
        <v/>
      </c>
      <c r="T1268" s="36" t="str">
        <f aca="false">IF(A1268="","",MOD(MONTH(A1268)-FYStart,12)+1)</f>
        <v/>
      </c>
      <c r="U1268" s="37" t="str">
        <f aca="false">IF(A1268="","",TEXT(A1268,"mmm"))</f>
        <v/>
      </c>
      <c r="V1268" s="37" t="str">
        <f aca="false">IF(Q1268="","",IFERROR(INDEX(Settings!$I$11:$I$15,MATCH(Q1268,Settings!$H$11:$H$15,0)),"No"))</f>
        <v/>
      </c>
      <c r="W1268" s="37" t="str">
        <f aca="false">IF(Q1268="","",IFERROR(INDEX(Settings!$J$11:$J$15,MATCH(Q1268,Settings!$H$11:$H$15,0)),"No"))</f>
        <v/>
      </c>
    </row>
    <row r="1269" customFormat="false" ht="15" hidden="false" customHeight="false" outlineLevel="0" collapsed="false">
      <c r="A1269" s="30"/>
      <c r="B1269" s="25"/>
      <c r="C1269" s="25"/>
      <c r="D1269" s="25"/>
      <c r="E1269" s="25"/>
      <c r="F1269" s="25"/>
      <c r="G1269" s="25"/>
      <c r="H1269" s="31"/>
      <c r="I1269" s="32"/>
      <c r="J1269" s="33"/>
      <c r="K1269" s="34" t="str">
        <f aca="false">IF(OR(H1269="",I1269=""),"",H1269*I1269*(1-N(J1269)))</f>
        <v/>
      </c>
      <c r="L1269" s="32"/>
      <c r="M1269" s="34" t="str">
        <f aca="false">IF(OR(H1269="",L1269=""),"",H1269*L1269)</f>
        <v/>
      </c>
      <c r="N1269" s="34" t="str">
        <f aca="false">IF(OR(K1269="",M1269=""),"",K1269-M1269)</f>
        <v/>
      </c>
      <c r="O1269" s="35" t="str">
        <f aca="false">IF(OR(N1269="",K1269=""),"",IF(K1269=0,"",N1269/K1269))</f>
        <v/>
      </c>
      <c r="P1269" s="25"/>
      <c r="Q1269" s="25"/>
      <c r="R1269" s="25"/>
      <c r="S1269" s="36" t="str">
        <f aca="false">IF(A1269="","",YEAR(A1269)+IF(AND(FYStart&gt;1,MONTH(A1269)&gt;=FYStart),1,0))</f>
        <v/>
      </c>
      <c r="T1269" s="36" t="str">
        <f aca="false">IF(A1269="","",MOD(MONTH(A1269)-FYStart,12)+1)</f>
        <v/>
      </c>
      <c r="U1269" s="37" t="str">
        <f aca="false">IF(A1269="","",TEXT(A1269,"mmm"))</f>
        <v/>
      </c>
      <c r="V1269" s="37" t="str">
        <f aca="false">IF(Q1269="","",IFERROR(INDEX(Settings!$I$11:$I$15,MATCH(Q1269,Settings!$H$11:$H$15,0)),"No"))</f>
        <v/>
      </c>
      <c r="W1269" s="37" t="str">
        <f aca="false">IF(Q1269="","",IFERROR(INDEX(Settings!$J$11:$J$15,MATCH(Q1269,Settings!$H$11:$H$15,0)),"No"))</f>
        <v/>
      </c>
    </row>
    <row r="1270" customFormat="false" ht="15" hidden="false" customHeight="false" outlineLevel="0" collapsed="false">
      <c r="A1270" s="30"/>
      <c r="B1270" s="25"/>
      <c r="C1270" s="25"/>
      <c r="D1270" s="25"/>
      <c r="E1270" s="25"/>
      <c r="F1270" s="25"/>
      <c r="G1270" s="25"/>
      <c r="H1270" s="31"/>
      <c r="I1270" s="32"/>
      <c r="J1270" s="33"/>
      <c r="K1270" s="34" t="str">
        <f aca="false">IF(OR(H1270="",I1270=""),"",H1270*I1270*(1-N(J1270)))</f>
        <v/>
      </c>
      <c r="L1270" s="32"/>
      <c r="M1270" s="34" t="str">
        <f aca="false">IF(OR(H1270="",L1270=""),"",H1270*L1270)</f>
        <v/>
      </c>
      <c r="N1270" s="34" t="str">
        <f aca="false">IF(OR(K1270="",M1270=""),"",K1270-M1270)</f>
        <v/>
      </c>
      <c r="O1270" s="35" t="str">
        <f aca="false">IF(OR(N1270="",K1270=""),"",IF(K1270=0,"",N1270/K1270))</f>
        <v/>
      </c>
      <c r="P1270" s="25"/>
      <c r="Q1270" s="25"/>
      <c r="R1270" s="25"/>
      <c r="S1270" s="36" t="str">
        <f aca="false">IF(A1270="","",YEAR(A1270)+IF(AND(FYStart&gt;1,MONTH(A1270)&gt;=FYStart),1,0))</f>
        <v/>
      </c>
      <c r="T1270" s="36" t="str">
        <f aca="false">IF(A1270="","",MOD(MONTH(A1270)-FYStart,12)+1)</f>
        <v/>
      </c>
      <c r="U1270" s="37" t="str">
        <f aca="false">IF(A1270="","",TEXT(A1270,"mmm"))</f>
        <v/>
      </c>
      <c r="V1270" s="37" t="str">
        <f aca="false">IF(Q1270="","",IFERROR(INDEX(Settings!$I$11:$I$15,MATCH(Q1270,Settings!$H$11:$H$15,0)),"No"))</f>
        <v/>
      </c>
      <c r="W1270" s="37" t="str">
        <f aca="false">IF(Q1270="","",IFERROR(INDEX(Settings!$J$11:$J$15,MATCH(Q1270,Settings!$H$11:$H$15,0)),"No"))</f>
        <v/>
      </c>
    </row>
    <row r="1271" customFormat="false" ht="15" hidden="false" customHeight="false" outlineLevel="0" collapsed="false">
      <c r="A1271" s="30"/>
      <c r="B1271" s="25"/>
      <c r="C1271" s="25"/>
      <c r="D1271" s="25"/>
      <c r="E1271" s="25"/>
      <c r="F1271" s="25"/>
      <c r="G1271" s="25"/>
      <c r="H1271" s="31"/>
      <c r="I1271" s="32"/>
      <c r="J1271" s="33"/>
      <c r="K1271" s="34" t="str">
        <f aca="false">IF(OR(H1271="",I1271=""),"",H1271*I1271*(1-N(J1271)))</f>
        <v/>
      </c>
      <c r="L1271" s="32"/>
      <c r="M1271" s="34" t="str">
        <f aca="false">IF(OR(H1271="",L1271=""),"",H1271*L1271)</f>
        <v/>
      </c>
      <c r="N1271" s="34" t="str">
        <f aca="false">IF(OR(K1271="",M1271=""),"",K1271-M1271)</f>
        <v/>
      </c>
      <c r="O1271" s="35" t="str">
        <f aca="false">IF(OR(N1271="",K1271=""),"",IF(K1271=0,"",N1271/K1271))</f>
        <v/>
      </c>
      <c r="P1271" s="25"/>
      <c r="Q1271" s="25"/>
      <c r="R1271" s="25"/>
      <c r="S1271" s="36" t="str">
        <f aca="false">IF(A1271="","",YEAR(A1271)+IF(AND(FYStart&gt;1,MONTH(A1271)&gt;=FYStart),1,0))</f>
        <v/>
      </c>
      <c r="T1271" s="36" t="str">
        <f aca="false">IF(A1271="","",MOD(MONTH(A1271)-FYStart,12)+1)</f>
        <v/>
      </c>
      <c r="U1271" s="37" t="str">
        <f aca="false">IF(A1271="","",TEXT(A1271,"mmm"))</f>
        <v/>
      </c>
      <c r="V1271" s="37" t="str">
        <f aca="false">IF(Q1271="","",IFERROR(INDEX(Settings!$I$11:$I$15,MATCH(Q1271,Settings!$H$11:$H$15,0)),"No"))</f>
        <v/>
      </c>
      <c r="W1271" s="37" t="str">
        <f aca="false">IF(Q1271="","",IFERROR(INDEX(Settings!$J$11:$J$15,MATCH(Q1271,Settings!$H$11:$H$15,0)),"No"))</f>
        <v/>
      </c>
    </row>
    <row r="1272" customFormat="false" ht="15" hidden="false" customHeight="false" outlineLevel="0" collapsed="false">
      <c r="A1272" s="30"/>
      <c r="B1272" s="25"/>
      <c r="C1272" s="25"/>
      <c r="D1272" s="25"/>
      <c r="E1272" s="25"/>
      <c r="F1272" s="25"/>
      <c r="G1272" s="25"/>
      <c r="H1272" s="31"/>
      <c r="I1272" s="32"/>
      <c r="J1272" s="33"/>
      <c r="K1272" s="34" t="str">
        <f aca="false">IF(OR(H1272="",I1272=""),"",H1272*I1272*(1-N(J1272)))</f>
        <v/>
      </c>
      <c r="L1272" s="32"/>
      <c r="M1272" s="34" t="str">
        <f aca="false">IF(OR(H1272="",L1272=""),"",H1272*L1272)</f>
        <v/>
      </c>
      <c r="N1272" s="34" t="str">
        <f aca="false">IF(OR(K1272="",M1272=""),"",K1272-M1272)</f>
        <v/>
      </c>
      <c r="O1272" s="35" t="str">
        <f aca="false">IF(OR(N1272="",K1272=""),"",IF(K1272=0,"",N1272/K1272))</f>
        <v/>
      </c>
      <c r="P1272" s="25"/>
      <c r="Q1272" s="25"/>
      <c r="R1272" s="25"/>
      <c r="S1272" s="36" t="str">
        <f aca="false">IF(A1272="","",YEAR(A1272)+IF(AND(FYStart&gt;1,MONTH(A1272)&gt;=FYStart),1,0))</f>
        <v/>
      </c>
      <c r="T1272" s="36" t="str">
        <f aca="false">IF(A1272="","",MOD(MONTH(A1272)-FYStart,12)+1)</f>
        <v/>
      </c>
      <c r="U1272" s="37" t="str">
        <f aca="false">IF(A1272="","",TEXT(A1272,"mmm"))</f>
        <v/>
      </c>
      <c r="V1272" s="37" t="str">
        <f aca="false">IF(Q1272="","",IFERROR(INDEX(Settings!$I$11:$I$15,MATCH(Q1272,Settings!$H$11:$H$15,0)),"No"))</f>
        <v/>
      </c>
      <c r="W1272" s="37" t="str">
        <f aca="false">IF(Q1272="","",IFERROR(INDEX(Settings!$J$11:$J$15,MATCH(Q1272,Settings!$H$11:$H$15,0)),"No"))</f>
        <v/>
      </c>
    </row>
    <row r="1273" customFormat="false" ht="15" hidden="false" customHeight="false" outlineLevel="0" collapsed="false">
      <c r="A1273" s="30"/>
      <c r="B1273" s="25"/>
      <c r="C1273" s="25"/>
      <c r="D1273" s="25"/>
      <c r="E1273" s="25"/>
      <c r="F1273" s="25"/>
      <c r="G1273" s="25"/>
      <c r="H1273" s="31"/>
      <c r="I1273" s="32"/>
      <c r="J1273" s="33"/>
      <c r="K1273" s="34" t="str">
        <f aca="false">IF(OR(H1273="",I1273=""),"",H1273*I1273*(1-N(J1273)))</f>
        <v/>
      </c>
      <c r="L1273" s="32"/>
      <c r="M1273" s="34" t="str">
        <f aca="false">IF(OR(H1273="",L1273=""),"",H1273*L1273)</f>
        <v/>
      </c>
      <c r="N1273" s="34" t="str">
        <f aca="false">IF(OR(K1273="",M1273=""),"",K1273-M1273)</f>
        <v/>
      </c>
      <c r="O1273" s="35" t="str">
        <f aca="false">IF(OR(N1273="",K1273=""),"",IF(K1273=0,"",N1273/K1273))</f>
        <v/>
      </c>
      <c r="P1273" s="25"/>
      <c r="Q1273" s="25"/>
      <c r="R1273" s="25"/>
      <c r="S1273" s="36" t="str">
        <f aca="false">IF(A1273="","",YEAR(A1273)+IF(AND(FYStart&gt;1,MONTH(A1273)&gt;=FYStart),1,0))</f>
        <v/>
      </c>
      <c r="T1273" s="36" t="str">
        <f aca="false">IF(A1273="","",MOD(MONTH(A1273)-FYStart,12)+1)</f>
        <v/>
      </c>
      <c r="U1273" s="37" t="str">
        <f aca="false">IF(A1273="","",TEXT(A1273,"mmm"))</f>
        <v/>
      </c>
      <c r="V1273" s="37" t="str">
        <f aca="false">IF(Q1273="","",IFERROR(INDEX(Settings!$I$11:$I$15,MATCH(Q1273,Settings!$H$11:$H$15,0)),"No"))</f>
        <v/>
      </c>
      <c r="W1273" s="37" t="str">
        <f aca="false">IF(Q1273="","",IFERROR(INDEX(Settings!$J$11:$J$15,MATCH(Q1273,Settings!$H$11:$H$15,0)),"No"))</f>
        <v/>
      </c>
    </row>
    <row r="1274" customFormat="false" ht="15" hidden="false" customHeight="false" outlineLevel="0" collapsed="false">
      <c r="A1274" s="30"/>
      <c r="B1274" s="25"/>
      <c r="C1274" s="25"/>
      <c r="D1274" s="25"/>
      <c r="E1274" s="25"/>
      <c r="F1274" s="25"/>
      <c r="G1274" s="25"/>
      <c r="H1274" s="31"/>
      <c r="I1274" s="32"/>
      <c r="J1274" s="33"/>
      <c r="K1274" s="34" t="str">
        <f aca="false">IF(OR(H1274="",I1274=""),"",H1274*I1274*(1-N(J1274)))</f>
        <v/>
      </c>
      <c r="L1274" s="32"/>
      <c r="M1274" s="34" t="str">
        <f aca="false">IF(OR(H1274="",L1274=""),"",H1274*L1274)</f>
        <v/>
      </c>
      <c r="N1274" s="34" t="str">
        <f aca="false">IF(OR(K1274="",M1274=""),"",K1274-M1274)</f>
        <v/>
      </c>
      <c r="O1274" s="35" t="str">
        <f aca="false">IF(OR(N1274="",K1274=""),"",IF(K1274=0,"",N1274/K1274))</f>
        <v/>
      </c>
      <c r="P1274" s="25"/>
      <c r="Q1274" s="25"/>
      <c r="R1274" s="25"/>
      <c r="S1274" s="36" t="str">
        <f aca="false">IF(A1274="","",YEAR(A1274)+IF(AND(FYStart&gt;1,MONTH(A1274)&gt;=FYStart),1,0))</f>
        <v/>
      </c>
      <c r="T1274" s="36" t="str">
        <f aca="false">IF(A1274="","",MOD(MONTH(A1274)-FYStart,12)+1)</f>
        <v/>
      </c>
      <c r="U1274" s="37" t="str">
        <f aca="false">IF(A1274="","",TEXT(A1274,"mmm"))</f>
        <v/>
      </c>
      <c r="V1274" s="37" t="str">
        <f aca="false">IF(Q1274="","",IFERROR(INDEX(Settings!$I$11:$I$15,MATCH(Q1274,Settings!$H$11:$H$15,0)),"No"))</f>
        <v/>
      </c>
      <c r="W1274" s="37" t="str">
        <f aca="false">IF(Q1274="","",IFERROR(INDEX(Settings!$J$11:$J$15,MATCH(Q1274,Settings!$H$11:$H$15,0)),"No"))</f>
        <v/>
      </c>
    </row>
    <row r="1275" customFormat="false" ht="15" hidden="false" customHeight="false" outlineLevel="0" collapsed="false">
      <c r="A1275" s="30"/>
      <c r="B1275" s="25"/>
      <c r="C1275" s="25"/>
      <c r="D1275" s="25"/>
      <c r="E1275" s="25"/>
      <c r="F1275" s="25"/>
      <c r="G1275" s="25"/>
      <c r="H1275" s="31"/>
      <c r="I1275" s="32"/>
      <c r="J1275" s="33"/>
      <c r="K1275" s="34" t="str">
        <f aca="false">IF(OR(H1275="",I1275=""),"",H1275*I1275*(1-N(J1275)))</f>
        <v/>
      </c>
      <c r="L1275" s="32"/>
      <c r="M1275" s="34" t="str">
        <f aca="false">IF(OR(H1275="",L1275=""),"",H1275*L1275)</f>
        <v/>
      </c>
      <c r="N1275" s="34" t="str">
        <f aca="false">IF(OR(K1275="",M1275=""),"",K1275-M1275)</f>
        <v/>
      </c>
      <c r="O1275" s="35" t="str">
        <f aca="false">IF(OR(N1275="",K1275=""),"",IF(K1275=0,"",N1275/K1275))</f>
        <v/>
      </c>
      <c r="P1275" s="25"/>
      <c r="Q1275" s="25"/>
      <c r="R1275" s="25"/>
      <c r="S1275" s="36" t="str">
        <f aca="false">IF(A1275="","",YEAR(A1275)+IF(AND(FYStart&gt;1,MONTH(A1275)&gt;=FYStart),1,0))</f>
        <v/>
      </c>
      <c r="T1275" s="36" t="str">
        <f aca="false">IF(A1275="","",MOD(MONTH(A1275)-FYStart,12)+1)</f>
        <v/>
      </c>
      <c r="U1275" s="37" t="str">
        <f aca="false">IF(A1275="","",TEXT(A1275,"mmm"))</f>
        <v/>
      </c>
      <c r="V1275" s="37" t="str">
        <f aca="false">IF(Q1275="","",IFERROR(INDEX(Settings!$I$11:$I$15,MATCH(Q1275,Settings!$H$11:$H$15,0)),"No"))</f>
        <v/>
      </c>
      <c r="W1275" s="37" t="str">
        <f aca="false">IF(Q1275="","",IFERROR(INDEX(Settings!$J$11:$J$15,MATCH(Q1275,Settings!$H$11:$H$15,0)),"No"))</f>
        <v/>
      </c>
    </row>
    <row r="1276" customFormat="false" ht="15" hidden="false" customHeight="false" outlineLevel="0" collapsed="false">
      <c r="A1276" s="30"/>
      <c r="B1276" s="25"/>
      <c r="C1276" s="25"/>
      <c r="D1276" s="25"/>
      <c r="E1276" s="25"/>
      <c r="F1276" s="25"/>
      <c r="G1276" s="25"/>
      <c r="H1276" s="31"/>
      <c r="I1276" s="32"/>
      <c r="J1276" s="33"/>
      <c r="K1276" s="34" t="str">
        <f aca="false">IF(OR(H1276="",I1276=""),"",H1276*I1276*(1-N(J1276)))</f>
        <v/>
      </c>
      <c r="L1276" s="32"/>
      <c r="M1276" s="34" t="str">
        <f aca="false">IF(OR(H1276="",L1276=""),"",H1276*L1276)</f>
        <v/>
      </c>
      <c r="N1276" s="34" t="str">
        <f aca="false">IF(OR(K1276="",M1276=""),"",K1276-M1276)</f>
        <v/>
      </c>
      <c r="O1276" s="35" t="str">
        <f aca="false">IF(OR(N1276="",K1276=""),"",IF(K1276=0,"",N1276/K1276))</f>
        <v/>
      </c>
      <c r="P1276" s="25"/>
      <c r="Q1276" s="25"/>
      <c r="R1276" s="25"/>
      <c r="S1276" s="36" t="str">
        <f aca="false">IF(A1276="","",YEAR(A1276)+IF(AND(FYStart&gt;1,MONTH(A1276)&gt;=FYStart),1,0))</f>
        <v/>
      </c>
      <c r="T1276" s="36" t="str">
        <f aca="false">IF(A1276="","",MOD(MONTH(A1276)-FYStart,12)+1)</f>
        <v/>
      </c>
      <c r="U1276" s="37" t="str">
        <f aca="false">IF(A1276="","",TEXT(A1276,"mmm"))</f>
        <v/>
      </c>
      <c r="V1276" s="37" t="str">
        <f aca="false">IF(Q1276="","",IFERROR(INDEX(Settings!$I$11:$I$15,MATCH(Q1276,Settings!$H$11:$H$15,0)),"No"))</f>
        <v/>
      </c>
      <c r="W1276" s="37" t="str">
        <f aca="false">IF(Q1276="","",IFERROR(INDEX(Settings!$J$11:$J$15,MATCH(Q1276,Settings!$H$11:$H$15,0)),"No"))</f>
        <v/>
      </c>
    </row>
    <row r="1277" customFormat="false" ht="15" hidden="false" customHeight="false" outlineLevel="0" collapsed="false">
      <c r="A1277" s="30"/>
      <c r="B1277" s="25"/>
      <c r="C1277" s="25"/>
      <c r="D1277" s="25"/>
      <c r="E1277" s="25"/>
      <c r="F1277" s="25"/>
      <c r="G1277" s="25"/>
      <c r="H1277" s="31"/>
      <c r="I1277" s="32"/>
      <c r="J1277" s="33"/>
      <c r="K1277" s="34" t="str">
        <f aca="false">IF(OR(H1277="",I1277=""),"",H1277*I1277*(1-N(J1277)))</f>
        <v/>
      </c>
      <c r="L1277" s="32"/>
      <c r="M1277" s="34" t="str">
        <f aca="false">IF(OR(H1277="",L1277=""),"",H1277*L1277)</f>
        <v/>
      </c>
      <c r="N1277" s="34" t="str">
        <f aca="false">IF(OR(K1277="",M1277=""),"",K1277-M1277)</f>
        <v/>
      </c>
      <c r="O1277" s="35" t="str">
        <f aca="false">IF(OR(N1277="",K1277=""),"",IF(K1277=0,"",N1277/K1277))</f>
        <v/>
      </c>
      <c r="P1277" s="25"/>
      <c r="Q1277" s="25"/>
      <c r="R1277" s="25"/>
      <c r="S1277" s="36" t="str">
        <f aca="false">IF(A1277="","",YEAR(A1277)+IF(AND(FYStart&gt;1,MONTH(A1277)&gt;=FYStart),1,0))</f>
        <v/>
      </c>
      <c r="T1277" s="36" t="str">
        <f aca="false">IF(A1277="","",MOD(MONTH(A1277)-FYStart,12)+1)</f>
        <v/>
      </c>
      <c r="U1277" s="37" t="str">
        <f aca="false">IF(A1277="","",TEXT(A1277,"mmm"))</f>
        <v/>
      </c>
      <c r="V1277" s="37" t="str">
        <f aca="false">IF(Q1277="","",IFERROR(INDEX(Settings!$I$11:$I$15,MATCH(Q1277,Settings!$H$11:$H$15,0)),"No"))</f>
        <v/>
      </c>
      <c r="W1277" s="37" t="str">
        <f aca="false">IF(Q1277="","",IFERROR(INDEX(Settings!$J$11:$J$15,MATCH(Q1277,Settings!$H$11:$H$15,0)),"No"))</f>
        <v/>
      </c>
    </row>
    <row r="1278" customFormat="false" ht="15" hidden="false" customHeight="false" outlineLevel="0" collapsed="false">
      <c r="A1278" s="30"/>
      <c r="B1278" s="25"/>
      <c r="C1278" s="25"/>
      <c r="D1278" s="25"/>
      <c r="E1278" s="25"/>
      <c r="F1278" s="25"/>
      <c r="G1278" s="25"/>
      <c r="H1278" s="31"/>
      <c r="I1278" s="32"/>
      <c r="J1278" s="33"/>
      <c r="K1278" s="34" t="str">
        <f aca="false">IF(OR(H1278="",I1278=""),"",H1278*I1278*(1-N(J1278)))</f>
        <v/>
      </c>
      <c r="L1278" s="32"/>
      <c r="M1278" s="34" t="str">
        <f aca="false">IF(OR(H1278="",L1278=""),"",H1278*L1278)</f>
        <v/>
      </c>
      <c r="N1278" s="34" t="str">
        <f aca="false">IF(OR(K1278="",M1278=""),"",K1278-M1278)</f>
        <v/>
      </c>
      <c r="O1278" s="35" t="str">
        <f aca="false">IF(OR(N1278="",K1278=""),"",IF(K1278=0,"",N1278/K1278))</f>
        <v/>
      </c>
      <c r="P1278" s="25"/>
      <c r="Q1278" s="25"/>
      <c r="R1278" s="25"/>
      <c r="S1278" s="36" t="str">
        <f aca="false">IF(A1278="","",YEAR(A1278)+IF(AND(FYStart&gt;1,MONTH(A1278)&gt;=FYStart),1,0))</f>
        <v/>
      </c>
      <c r="T1278" s="36" t="str">
        <f aca="false">IF(A1278="","",MOD(MONTH(A1278)-FYStart,12)+1)</f>
        <v/>
      </c>
      <c r="U1278" s="37" t="str">
        <f aca="false">IF(A1278="","",TEXT(A1278,"mmm"))</f>
        <v/>
      </c>
      <c r="V1278" s="37" t="str">
        <f aca="false">IF(Q1278="","",IFERROR(INDEX(Settings!$I$11:$I$15,MATCH(Q1278,Settings!$H$11:$H$15,0)),"No"))</f>
        <v/>
      </c>
      <c r="W1278" s="37" t="str">
        <f aca="false">IF(Q1278="","",IFERROR(INDEX(Settings!$J$11:$J$15,MATCH(Q1278,Settings!$H$11:$H$15,0)),"No"))</f>
        <v/>
      </c>
    </row>
    <row r="1279" customFormat="false" ht="15" hidden="false" customHeight="false" outlineLevel="0" collapsed="false">
      <c r="A1279" s="30"/>
      <c r="B1279" s="25"/>
      <c r="C1279" s="25"/>
      <c r="D1279" s="25"/>
      <c r="E1279" s="25"/>
      <c r="F1279" s="25"/>
      <c r="G1279" s="25"/>
      <c r="H1279" s="31"/>
      <c r="I1279" s="32"/>
      <c r="J1279" s="33"/>
      <c r="K1279" s="34" t="str">
        <f aca="false">IF(OR(H1279="",I1279=""),"",H1279*I1279*(1-N(J1279)))</f>
        <v/>
      </c>
      <c r="L1279" s="32"/>
      <c r="M1279" s="34" t="str">
        <f aca="false">IF(OR(H1279="",L1279=""),"",H1279*L1279)</f>
        <v/>
      </c>
      <c r="N1279" s="34" t="str">
        <f aca="false">IF(OR(K1279="",M1279=""),"",K1279-M1279)</f>
        <v/>
      </c>
      <c r="O1279" s="35" t="str">
        <f aca="false">IF(OR(N1279="",K1279=""),"",IF(K1279=0,"",N1279/K1279))</f>
        <v/>
      </c>
      <c r="P1279" s="25"/>
      <c r="Q1279" s="25"/>
      <c r="R1279" s="25"/>
      <c r="S1279" s="36" t="str">
        <f aca="false">IF(A1279="","",YEAR(A1279)+IF(AND(FYStart&gt;1,MONTH(A1279)&gt;=FYStart),1,0))</f>
        <v/>
      </c>
      <c r="T1279" s="36" t="str">
        <f aca="false">IF(A1279="","",MOD(MONTH(A1279)-FYStart,12)+1)</f>
        <v/>
      </c>
      <c r="U1279" s="37" t="str">
        <f aca="false">IF(A1279="","",TEXT(A1279,"mmm"))</f>
        <v/>
      </c>
      <c r="V1279" s="37" t="str">
        <f aca="false">IF(Q1279="","",IFERROR(INDEX(Settings!$I$11:$I$15,MATCH(Q1279,Settings!$H$11:$H$15,0)),"No"))</f>
        <v/>
      </c>
      <c r="W1279" s="37" t="str">
        <f aca="false">IF(Q1279="","",IFERROR(INDEX(Settings!$J$11:$J$15,MATCH(Q1279,Settings!$H$11:$H$15,0)),"No"))</f>
        <v/>
      </c>
    </row>
    <row r="1280" customFormat="false" ht="15" hidden="false" customHeight="false" outlineLevel="0" collapsed="false">
      <c r="A1280" s="30"/>
      <c r="B1280" s="25"/>
      <c r="C1280" s="25"/>
      <c r="D1280" s="25"/>
      <c r="E1280" s="25"/>
      <c r="F1280" s="25"/>
      <c r="G1280" s="25"/>
      <c r="H1280" s="31"/>
      <c r="I1280" s="32"/>
      <c r="J1280" s="33"/>
      <c r="K1280" s="34" t="str">
        <f aca="false">IF(OR(H1280="",I1280=""),"",H1280*I1280*(1-N(J1280)))</f>
        <v/>
      </c>
      <c r="L1280" s="32"/>
      <c r="M1280" s="34" t="str">
        <f aca="false">IF(OR(H1280="",L1280=""),"",H1280*L1280)</f>
        <v/>
      </c>
      <c r="N1280" s="34" t="str">
        <f aca="false">IF(OR(K1280="",M1280=""),"",K1280-M1280)</f>
        <v/>
      </c>
      <c r="O1280" s="35" t="str">
        <f aca="false">IF(OR(N1280="",K1280=""),"",IF(K1280=0,"",N1280/K1280))</f>
        <v/>
      </c>
      <c r="P1280" s="25"/>
      <c r="Q1280" s="25"/>
      <c r="R1280" s="25"/>
      <c r="S1280" s="36" t="str">
        <f aca="false">IF(A1280="","",YEAR(A1280)+IF(AND(FYStart&gt;1,MONTH(A1280)&gt;=FYStart),1,0))</f>
        <v/>
      </c>
      <c r="T1280" s="36" t="str">
        <f aca="false">IF(A1280="","",MOD(MONTH(A1280)-FYStart,12)+1)</f>
        <v/>
      </c>
      <c r="U1280" s="37" t="str">
        <f aca="false">IF(A1280="","",TEXT(A1280,"mmm"))</f>
        <v/>
      </c>
      <c r="V1280" s="37" t="str">
        <f aca="false">IF(Q1280="","",IFERROR(INDEX(Settings!$I$11:$I$15,MATCH(Q1280,Settings!$H$11:$H$15,0)),"No"))</f>
        <v/>
      </c>
      <c r="W1280" s="37" t="str">
        <f aca="false">IF(Q1280="","",IFERROR(INDEX(Settings!$J$11:$J$15,MATCH(Q1280,Settings!$H$11:$H$15,0)),"No"))</f>
        <v/>
      </c>
    </row>
    <row r="1281" customFormat="false" ht="15" hidden="false" customHeight="false" outlineLevel="0" collapsed="false">
      <c r="A1281" s="30"/>
      <c r="B1281" s="25"/>
      <c r="C1281" s="25"/>
      <c r="D1281" s="25"/>
      <c r="E1281" s="25"/>
      <c r="F1281" s="25"/>
      <c r="G1281" s="25"/>
      <c r="H1281" s="31"/>
      <c r="I1281" s="32"/>
      <c r="J1281" s="33"/>
      <c r="K1281" s="34" t="str">
        <f aca="false">IF(OR(H1281="",I1281=""),"",H1281*I1281*(1-N(J1281)))</f>
        <v/>
      </c>
      <c r="L1281" s="32"/>
      <c r="M1281" s="34" t="str">
        <f aca="false">IF(OR(H1281="",L1281=""),"",H1281*L1281)</f>
        <v/>
      </c>
      <c r="N1281" s="34" t="str">
        <f aca="false">IF(OR(K1281="",M1281=""),"",K1281-M1281)</f>
        <v/>
      </c>
      <c r="O1281" s="35" t="str">
        <f aca="false">IF(OR(N1281="",K1281=""),"",IF(K1281=0,"",N1281/K1281))</f>
        <v/>
      </c>
      <c r="P1281" s="25"/>
      <c r="Q1281" s="25"/>
      <c r="R1281" s="25"/>
      <c r="S1281" s="36" t="str">
        <f aca="false">IF(A1281="","",YEAR(A1281)+IF(AND(FYStart&gt;1,MONTH(A1281)&gt;=FYStart),1,0))</f>
        <v/>
      </c>
      <c r="T1281" s="36" t="str">
        <f aca="false">IF(A1281="","",MOD(MONTH(A1281)-FYStart,12)+1)</f>
        <v/>
      </c>
      <c r="U1281" s="37" t="str">
        <f aca="false">IF(A1281="","",TEXT(A1281,"mmm"))</f>
        <v/>
      </c>
      <c r="V1281" s="37" t="str">
        <f aca="false">IF(Q1281="","",IFERROR(INDEX(Settings!$I$11:$I$15,MATCH(Q1281,Settings!$H$11:$H$15,0)),"No"))</f>
        <v/>
      </c>
      <c r="W1281" s="37" t="str">
        <f aca="false">IF(Q1281="","",IFERROR(INDEX(Settings!$J$11:$J$15,MATCH(Q1281,Settings!$H$11:$H$15,0)),"No"))</f>
        <v/>
      </c>
    </row>
    <row r="1282" customFormat="false" ht="15" hidden="false" customHeight="false" outlineLevel="0" collapsed="false">
      <c r="A1282" s="30"/>
      <c r="B1282" s="25"/>
      <c r="C1282" s="25"/>
      <c r="D1282" s="25"/>
      <c r="E1282" s="25"/>
      <c r="F1282" s="25"/>
      <c r="G1282" s="25"/>
      <c r="H1282" s="31"/>
      <c r="I1282" s="32"/>
      <c r="J1282" s="33"/>
      <c r="K1282" s="34" t="str">
        <f aca="false">IF(OR(H1282="",I1282=""),"",H1282*I1282*(1-N(J1282)))</f>
        <v/>
      </c>
      <c r="L1282" s="32"/>
      <c r="M1282" s="34" t="str">
        <f aca="false">IF(OR(H1282="",L1282=""),"",H1282*L1282)</f>
        <v/>
      </c>
      <c r="N1282" s="34" t="str">
        <f aca="false">IF(OR(K1282="",M1282=""),"",K1282-M1282)</f>
        <v/>
      </c>
      <c r="O1282" s="35" t="str">
        <f aca="false">IF(OR(N1282="",K1282=""),"",IF(K1282=0,"",N1282/K1282))</f>
        <v/>
      </c>
      <c r="P1282" s="25"/>
      <c r="Q1282" s="25"/>
      <c r="R1282" s="25"/>
      <c r="S1282" s="36" t="str">
        <f aca="false">IF(A1282="","",YEAR(A1282)+IF(AND(FYStart&gt;1,MONTH(A1282)&gt;=FYStart),1,0))</f>
        <v/>
      </c>
      <c r="T1282" s="36" t="str">
        <f aca="false">IF(A1282="","",MOD(MONTH(A1282)-FYStart,12)+1)</f>
        <v/>
      </c>
      <c r="U1282" s="37" t="str">
        <f aca="false">IF(A1282="","",TEXT(A1282,"mmm"))</f>
        <v/>
      </c>
      <c r="V1282" s="37" t="str">
        <f aca="false">IF(Q1282="","",IFERROR(INDEX(Settings!$I$11:$I$15,MATCH(Q1282,Settings!$H$11:$H$15,0)),"No"))</f>
        <v/>
      </c>
      <c r="W1282" s="37" t="str">
        <f aca="false">IF(Q1282="","",IFERROR(INDEX(Settings!$J$11:$J$15,MATCH(Q1282,Settings!$H$11:$H$15,0)),"No"))</f>
        <v/>
      </c>
    </row>
    <row r="1283" customFormat="false" ht="15" hidden="false" customHeight="false" outlineLevel="0" collapsed="false">
      <c r="A1283" s="30"/>
      <c r="B1283" s="25"/>
      <c r="C1283" s="25"/>
      <c r="D1283" s="25"/>
      <c r="E1283" s="25"/>
      <c r="F1283" s="25"/>
      <c r="G1283" s="25"/>
      <c r="H1283" s="31"/>
      <c r="I1283" s="32"/>
      <c r="J1283" s="33"/>
      <c r="K1283" s="34" t="str">
        <f aca="false">IF(OR(H1283="",I1283=""),"",H1283*I1283*(1-N(J1283)))</f>
        <v/>
      </c>
      <c r="L1283" s="32"/>
      <c r="M1283" s="34" t="str">
        <f aca="false">IF(OR(H1283="",L1283=""),"",H1283*L1283)</f>
        <v/>
      </c>
      <c r="N1283" s="34" t="str">
        <f aca="false">IF(OR(K1283="",M1283=""),"",K1283-M1283)</f>
        <v/>
      </c>
      <c r="O1283" s="35" t="str">
        <f aca="false">IF(OR(N1283="",K1283=""),"",IF(K1283=0,"",N1283/K1283))</f>
        <v/>
      </c>
      <c r="P1283" s="25"/>
      <c r="Q1283" s="25"/>
      <c r="R1283" s="25"/>
      <c r="S1283" s="36" t="str">
        <f aca="false">IF(A1283="","",YEAR(A1283)+IF(AND(FYStart&gt;1,MONTH(A1283)&gt;=FYStart),1,0))</f>
        <v/>
      </c>
      <c r="T1283" s="36" t="str">
        <f aca="false">IF(A1283="","",MOD(MONTH(A1283)-FYStart,12)+1)</f>
        <v/>
      </c>
      <c r="U1283" s="37" t="str">
        <f aca="false">IF(A1283="","",TEXT(A1283,"mmm"))</f>
        <v/>
      </c>
      <c r="V1283" s="37" t="str">
        <f aca="false">IF(Q1283="","",IFERROR(INDEX(Settings!$I$11:$I$15,MATCH(Q1283,Settings!$H$11:$H$15,0)),"No"))</f>
        <v/>
      </c>
      <c r="W1283" s="37" t="str">
        <f aca="false">IF(Q1283="","",IFERROR(INDEX(Settings!$J$11:$J$15,MATCH(Q1283,Settings!$H$11:$H$15,0)),"No"))</f>
        <v/>
      </c>
    </row>
    <row r="1284" customFormat="false" ht="15" hidden="false" customHeight="false" outlineLevel="0" collapsed="false">
      <c r="A1284" s="30"/>
      <c r="B1284" s="25"/>
      <c r="C1284" s="25"/>
      <c r="D1284" s="25"/>
      <c r="E1284" s="25"/>
      <c r="F1284" s="25"/>
      <c r="G1284" s="25"/>
      <c r="H1284" s="31"/>
      <c r="I1284" s="32"/>
      <c r="J1284" s="33"/>
      <c r="K1284" s="34" t="str">
        <f aca="false">IF(OR(H1284="",I1284=""),"",H1284*I1284*(1-N(J1284)))</f>
        <v/>
      </c>
      <c r="L1284" s="32"/>
      <c r="M1284" s="34" t="str">
        <f aca="false">IF(OR(H1284="",L1284=""),"",H1284*L1284)</f>
        <v/>
      </c>
      <c r="N1284" s="34" t="str">
        <f aca="false">IF(OR(K1284="",M1284=""),"",K1284-M1284)</f>
        <v/>
      </c>
      <c r="O1284" s="35" t="str">
        <f aca="false">IF(OR(N1284="",K1284=""),"",IF(K1284=0,"",N1284/K1284))</f>
        <v/>
      </c>
      <c r="P1284" s="25"/>
      <c r="Q1284" s="25"/>
      <c r="R1284" s="25"/>
      <c r="S1284" s="36" t="str">
        <f aca="false">IF(A1284="","",YEAR(A1284)+IF(AND(FYStart&gt;1,MONTH(A1284)&gt;=FYStart),1,0))</f>
        <v/>
      </c>
      <c r="T1284" s="36" t="str">
        <f aca="false">IF(A1284="","",MOD(MONTH(A1284)-FYStart,12)+1)</f>
        <v/>
      </c>
      <c r="U1284" s="37" t="str">
        <f aca="false">IF(A1284="","",TEXT(A1284,"mmm"))</f>
        <v/>
      </c>
      <c r="V1284" s="37" t="str">
        <f aca="false">IF(Q1284="","",IFERROR(INDEX(Settings!$I$11:$I$15,MATCH(Q1284,Settings!$H$11:$H$15,0)),"No"))</f>
        <v/>
      </c>
      <c r="W1284" s="37" t="str">
        <f aca="false">IF(Q1284="","",IFERROR(INDEX(Settings!$J$11:$J$15,MATCH(Q1284,Settings!$H$11:$H$15,0)),"No"))</f>
        <v/>
      </c>
    </row>
    <row r="1285" customFormat="false" ht="15" hidden="false" customHeight="false" outlineLevel="0" collapsed="false">
      <c r="A1285" s="30"/>
      <c r="B1285" s="25"/>
      <c r="C1285" s="25"/>
      <c r="D1285" s="25"/>
      <c r="E1285" s="25"/>
      <c r="F1285" s="25"/>
      <c r="G1285" s="25"/>
      <c r="H1285" s="31"/>
      <c r="I1285" s="32"/>
      <c r="J1285" s="33"/>
      <c r="K1285" s="34" t="str">
        <f aca="false">IF(OR(H1285="",I1285=""),"",H1285*I1285*(1-N(J1285)))</f>
        <v/>
      </c>
      <c r="L1285" s="32"/>
      <c r="M1285" s="34" t="str">
        <f aca="false">IF(OR(H1285="",L1285=""),"",H1285*L1285)</f>
        <v/>
      </c>
      <c r="N1285" s="34" t="str">
        <f aca="false">IF(OR(K1285="",M1285=""),"",K1285-M1285)</f>
        <v/>
      </c>
      <c r="O1285" s="35" t="str">
        <f aca="false">IF(OR(N1285="",K1285=""),"",IF(K1285=0,"",N1285/K1285))</f>
        <v/>
      </c>
      <c r="P1285" s="25"/>
      <c r="Q1285" s="25"/>
      <c r="R1285" s="25"/>
      <c r="S1285" s="36" t="str">
        <f aca="false">IF(A1285="","",YEAR(A1285)+IF(AND(FYStart&gt;1,MONTH(A1285)&gt;=FYStart),1,0))</f>
        <v/>
      </c>
      <c r="T1285" s="36" t="str">
        <f aca="false">IF(A1285="","",MOD(MONTH(A1285)-FYStart,12)+1)</f>
        <v/>
      </c>
      <c r="U1285" s="37" t="str">
        <f aca="false">IF(A1285="","",TEXT(A1285,"mmm"))</f>
        <v/>
      </c>
      <c r="V1285" s="37" t="str">
        <f aca="false">IF(Q1285="","",IFERROR(INDEX(Settings!$I$11:$I$15,MATCH(Q1285,Settings!$H$11:$H$15,0)),"No"))</f>
        <v/>
      </c>
      <c r="W1285" s="37" t="str">
        <f aca="false">IF(Q1285="","",IFERROR(INDEX(Settings!$J$11:$J$15,MATCH(Q1285,Settings!$H$11:$H$15,0)),"No"))</f>
        <v/>
      </c>
    </row>
    <row r="1286" customFormat="false" ht="15" hidden="false" customHeight="false" outlineLevel="0" collapsed="false">
      <c r="A1286" s="30"/>
      <c r="B1286" s="25"/>
      <c r="C1286" s="25"/>
      <c r="D1286" s="25"/>
      <c r="E1286" s="25"/>
      <c r="F1286" s="25"/>
      <c r="G1286" s="25"/>
      <c r="H1286" s="31"/>
      <c r="I1286" s="32"/>
      <c r="J1286" s="33"/>
      <c r="K1286" s="34" t="str">
        <f aca="false">IF(OR(H1286="",I1286=""),"",H1286*I1286*(1-N(J1286)))</f>
        <v/>
      </c>
      <c r="L1286" s="32"/>
      <c r="M1286" s="34" t="str">
        <f aca="false">IF(OR(H1286="",L1286=""),"",H1286*L1286)</f>
        <v/>
      </c>
      <c r="N1286" s="34" t="str">
        <f aca="false">IF(OR(K1286="",M1286=""),"",K1286-M1286)</f>
        <v/>
      </c>
      <c r="O1286" s="35" t="str">
        <f aca="false">IF(OR(N1286="",K1286=""),"",IF(K1286=0,"",N1286/K1286))</f>
        <v/>
      </c>
      <c r="P1286" s="25"/>
      <c r="Q1286" s="25"/>
      <c r="R1286" s="25"/>
      <c r="S1286" s="36" t="str">
        <f aca="false">IF(A1286="","",YEAR(A1286)+IF(AND(FYStart&gt;1,MONTH(A1286)&gt;=FYStart),1,0))</f>
        <v/>
      </c>
      <c r="T1286" s="36" t="str">
        <f aca="false">IF(A1286="","",MOD(MONTH(A1286)-FYStart,12)+1)</f>
        <v/>
      </c>
      <c r="U1286" s="37" t="str">
        <f aca="false">IF(A1286="","",TEXT(A1286,"mmm"))</f>
        <v/>
      </c>
      <c r="V1286" s="37" t="str">
        <f aca="false">IF(Q1286="","",IFERROR(INDEX(Settings!$I$11:$I$15,MATCH(Q1286,Settings!$H$11:$H$15,0)),"No"))</f>
        <v/>
      </c>
      <c r="W1286" s="37" t="str">
        <f aca="false">IF(Q1286="","",IFERROR(INDEX(Settings!$J$11:$J$15,MATCH(Q1286,Settings!$H$11:$H$15,0)),"No"))</f>
        <v/>
      </c>
    </row>
    <row r="1287" customFormat="false" ht="15" hidden="false" customHeight="false" outlineLevel="0" collapsed="false">
      <c r="A1287" s="30"/>
      <c r="B1287" s="25"/>
      <c r="C1287" s="25"/>
      <c r="D1287" s="25"/>
      <c r="E1287" s="25"/>
      <c r="F1287" s="25"/>
      <c r="G1287" s="25"/>
      <c r="H1287" s="31"/>
      <c r="I1287" s="32"/>
      <c r="J1287" s="33"/>
      <c r="K1287" s="34" t="str">
        <f aca="false">IF(OR(H1287="",I1287=""),"",H1287*I1287*(1-N(J1287)))</f>
        <v/>
      </c>
      <c r="L1287" s="32"/>
      <c r="M1287" s="34" t="str">
        <f aca="false">IF(OR(H1287="",L1287=""),"",H1287*L1287)</f>
        <v/>
      </c>
      <c r="N1287" s="34" t="str">
        <f aca="false">IF(OR(K1287="",M1287=""),"",K1287-M1287)</f>
        <v/>
      </c>
      <c r="O1287" s="35" t="str">
        <f aca="false">IF(OR(N1287="",K1287=""),"",IF(K1287=0,"",N1287/K1287))</f>
        <v/>
      </c>
      <c r="P1287" s="25"/>
      <c r="Q1287" s="25"/>
      <c r="R1287" s="25"/>
      <c r="S1287" s="36" t="str">
        <f aca="false">IF(A1287="","",YEAR(A1287)+IF(AND(FYStart&gt;1,MONTH(A1287)&gt;=FYStart),1,0))</f>
        <v/>
      </c>
      <c r="T1287" s="36" t="str">
        <f aca="false">IF(A1287="","",MOD(MONTH(A1287)-FYStart,12)+1)</f>
        <v/>
      </c>
      <c r="U1287" s="37" t="str">
        <f aca="false">IF(A1287="","",TEXT(A1287,"mmm"))</f>
        <v/>
      </c>
      <c r="V1287" s="37" t="str">
        <f aca="false">IF(Q1287="","",IFERROR(INDEX(Settings!$I$11:$I$15,MATCH(Q1287,Settings!$H$11:$H$15,0)),"No"))</f>
        <v/>
      </c>
      <c r="W1287" s="37" t="str">
        <f aca="false">IF(Q1287="","",IFERROR(INDEX(Settings!$J$11:$J$15,MATCH(Q1287,Settings!$H$11:$H$15,0)),"No"))</f>
        <v/>
      </c>
    </row>
    <row r="1288" customFormat="false" ht="15" hidden="false" customHeight="false" outlineLevel="0" collapsed="false">
      <c r="A1288" s="30"/>
      <c r="B1288" s="25"/>
      <c r="C1288" s="25"/>
      <c r="D1288" s="25"/>
      <c r="E1288" s="25"/>
      <c r="F1288" s="25"/>
      <c r="G1288" s="25"/>
      <c r="H1288" s="31"/>
      <c r="I1288" s="32"/>
      <c r="J1288" s="33"/>
      <c r="K1288" s="34" t="str">
        <f aca="false">IF(OR(H1288="",I1288=""),"",H1288*I1288*(1-N(J1288)))</f>
        <v/>
      </c>
      <c r="L1288" s="32"/>
      <c r="M1288" s="34" t="str">
        <f aca="false">IF(OR(H1288="",L1288=""),"",H1288*L1288)</f>
        <v/>
      </c>
      <c r="N1288" s="34" t="str">
        <f aca="false">IF(OR(K1288="",M1288=""),"",K1288-M1288)</f>
        <v/>
      </c>
      <c r="O1288" s="35" t="str">
        <f aca="false">IF(OR(N1288="",K1288=""),"",IF(K1288=0,"",N1288/K1288))</f>
        <v/>
      </c>
      <c r="P1288" s="25"/>
      <c r="Q1288" s="25"/>
      <c r="R1288" s="25"/>
      <c r="S1288" s="36" t="str">
        <f aca="false">IF(A1288="","",YEAR(A1288)+IF(AND(FYStart&gt;1,MONTH(A1288)&gt;=FYStart),1,0))</f>
        <v/>
      </c>
      <c r="T1288" s="36" t="str">
        <f aca="false">IF(A1288="","",MOD(MONTH(A1288)-FYStart,12)+1)</f>
        <v/>
      </c>
      <c r="U1288" s="37" t="str">
        <f aca="false">IF(A1288="","",TEXT(A1288,"mmm"))</f>
        <v/>
      </c>
      <c r="V1288" s="37" t="str">
        <f aca="false">IF(Q1288="","",IFERROR(INDEX(Settings!$I$11:$I$15,MATCH(Q1288,Settings!$H$11:$H$15,0)),"No"))</f>
        <v/>
      </c>
      <c r="W1288" s="37" t="str">
        <f aca="false">IF(Q1288="","",IFERROR(INDEX(Settings!$J$11:$J$15,MATCH(Q1288,Settings!$H$11:$H$15,0)),"No"))</f>
        <v/>
      </c>
    </row>
    <row r="1289" customFormat="false" ht="15" hidden="false" customHeight="false" outlineLevel="0" collapsed="false">
      <c r="A1289" s="30"/>
      <c r="B1289" s="25"/>
      <c r="C1289" s="25"/>
      <c r="D1289" s="25"/>
      <c r="E1289" s="25"/>
      <c r="F1289" s="25"/>
      <c r="G1289" s="25"/>
      <c r="H1289" s="31"/>
      <c r="I1289" s="32"/>
      <c r="J1289" s="33"/>
      <c r="K1289" s="34" t="str">
        <f aca="false">IF(OR(H1289="",I1289=""),"",H1289*I1289*(1-N(J1289)))</f>
        <v/>
      </c>
      <c r="L1289" s="32"/>
      <c r="M1289" s="34" t="str">
        <f aca="false">IF(OR(H1289="",L1289=""),"",H1289*L1289)</f>
        <v/>
      </c>
      <c r="N1289" s="34" t="str">
        <f aca="false">IF(OR(K1289="",M1289=""),"",K1289-M1289)</f>
        <v/>
      </c>
      <c r="O1289" s="35" t="str">
        <f aca="false">IF(OR(N1289="",K1289=""),"",IF(K1289=0,"",N1289/K1289))</f>
        <v/>
      </c>
      <c r="P1289" s="25"/>
      <c r="Q1289" s="25"/>
      <c r="R1289" s="25"/>
      <c r="S1289" s="36" t="str">
        <f aca="false">IF(A1289="","",YEAR(A1289)+IF(AND(FYStart&gt;1,MONTH(A1289)&gt;=FYStart),1,0))</f>
        <v/>
      </c>
      <c r="T1289" s="36" t="str">
        <f aca="false">IF(A1289="","",MOD(MONTH(A1289)-FYStart,12)+1)</f>
        <v/>
      </c>
      <c r="U1289" s="37" t="str">
        <f aca="false">IF(A1289="","",TEXT(A1289,"mmm"))</f>
        <v/>
      </c>
      <c r="V1289" s="37" t="str">
        <f aca="false">IF(Q1289="","",IFERROR(INDEX(Settings!$I$11:$I$15,MATCH(Q1289,Settings!$H$11:$H$15,0)),"No"))</f>
        <v/>
      </c>
      <c r="W1289" s="37" t="str">
        <f aca="false">IF(Q1289="","",IFERROR(INDEX(Settings!$J$11:$J$15,MATCH(Q1289,Settings!$H$11:$H$15,0)),"No"))</f>
        <v/>
      </c>
    </row>
    <row r="1290" customFormat="false" ht="15" hidden="false" customHeight="false" outlineLevel="0" collapsed="false">
      <c r="A1290" s="30"/>
      <c r="B1290" s="25"/>
      <c r="C1290" s="25"/>
      <c r="D1290" s="25"/>
      <c r="E1290" s="25"/>
      <c r="F1290" s="25"/>
      <c r="G1290" s="25"/>
      <c r="H1290" s="31"/>
      <c r="I1290" s="32"/>
      <c r="J1290" s="33"/>
      <c r="K1290" s="34" t="str">
        <f aca="false">IF(OR(H1290="",I1290=""),"",H1290*I1290*(1-N(J1290)))</f>
        <v/>
      </c>
      <c r="L1290" s="32"/>
      <c r="M1290" s="34" t="str">
        <f aca="false">IF(OR(H1290="",L1290=""),"",H1290*L1290)</f>
        <v/>
      </c>
      <c r="N1290" s="34" t="str">
        <f aca="false">IF(OR(K1290="",M1290=""),"",K1290-M1290)</f>
        <v/>
      </c>
      <c r="O1290" s="35" t="str">
        <f aca="false">IF(OR(N1290="",K1290=""),"",IF(K1290=0,"",N1290/K1290))</f>
        <v/>
      </c>
      <c r="P1290" s="25"/>
      <c r="Q1290" s="25"/>
      <c r="R1290" s="25"/>
      <c r="S1290" s="36" t="str">
        <f aca="false">IF(A1290="","",YEAR(A1290)+IF(AND(FYStart&gt;1,MONTH(A1290)&gt;=FYStart),1,0))</f>
        <v/>
      </c>
      <c r="T1290" s="36" t="str">
        <f aca="false">IF(A1290="","",MOD(MONTH(A1290)-FYStart,12)+1)</f>
        <v/>
      </c>
      <c r="U1290" s="37" t="str">
        <f aca="false">IF(A1290="","",TEXT(A1290,"mmm"))</f>
        <v/>
      </c>
      <c r="V1290" s="37" t="str">
        <f aca="false">IF(Q1290="","",IFERROR(INDEX(Settings!$I$11:$I$15,MATCH(Q1290,Settings!$H$11:$H$15,0)),"No"))</f>
        <v/>
      </c>
      <c r="W1290" s="37" t="str">
        <f aca="false">IF(Q1290="","",IFERROR(INDEX(Settings!$J$11:$J$15,MATCH(Q1290,Settings!$H$11:$H$15,0)),"No"))</f>
        <v/>
      </c>
    </row>
    <row r="1291" customFormat="false" ht="15" hidden="false" customHeight="false" outlineLevel="0" collapsed="false">
      <c r="A1291" s="30"/>
      <c r="B1291" s="25"/>
      <c r="C1291" s="25"/>
      <c r="D1291" s="25"/>
      <c r="E1291" s="25"/>
      <c r="F1291" s="25"/>
      <c r="G1291" s="25"/>
      <c r="H1291" s="31"/>
      <c r="I1291" s="32"/>
      <c r="J1291" s="33"/>
      <c r="K1291" s="34" t="str">
        <f aca="false">IF(OR(H1291="",I1291=""),"",H1291*I1291*(1-N(J1291)))</f>
        <v/>
      </c>
      <c r="L1291" s="32"/>
      <c r="M1291" s="34" t="str">
        <f aca="false">IF(OR(H1291="",L1291=""),"",H1291*L1291)</f>
        <v/>
      </c>
      <c r="N1291" s="34" t="str">
        <f aca="false">IF(OR(K1291="",M1291=""),"",K1291-M1291)</f>
        <v/>
      </c>
      <c r="O1291" s="35" t="str">
        <f aca="false">IF(OR(N1291="",K1291=""),"",IF(K1291=0,"",N1291/K1291))</f>
        <v/>
      </c>
      <c r="P1291" s="25"/>
      <c r="Q1291" s="25"/>
      <c r="R1291" s="25"/>
      <c r="S1291" s="36" t="str">
        <f aca="false">IF(A1291="","",YEAR(A1291)+IF(AND(FYStart&gt;1,MONTH(A1291)&gt;=FYStart),1,0))</f>
        <v/>
      </c>
      <c r="T1291" s="36" t="str">
        <f aca="false">IF(A1291="","",MOD(MONTH(A1291)-FYStart,12)+1)</f>
        <v/>
      </c>
      <c r="U1291" s="37" t="str">
        <f aca="false">IF(A1291="","",TEXT(A1291,"mmm"))</f>
        <v/>
      </c>
      <c r="V1291" s="37" t="str">
        <f aca="false">IF(Q1291="","",IFERROR(INDEX(Settings!$I$11:$I$15,MATCH(Q1291,Settings!$H$11:$H$15,0)),"No"))</f>
        <v/>
      </c>
      <c r="W1291" s="37" t="str">
        <f aca="false">IF(Q1291="","",IFERROR(INDEX(Settings!$J$11:$J$15,MATCH(Q1291,Settings!$H$11:$H$15,0)),"No"))</f>
        <v/>
      </c>
    </row>
    <row r="1292" customFormat="false" ht="15" hidden="false" customHeight="false" outlineLevel="0" collapsed="false">
      <c r="A1292" s="30"/>
      <c r="B1292" s="25"/>
      <c r="C1292" s="25"/>
      <c r="D1292" s="25"/>
      <c r="E1292" s="25"/>
      <c r="F1292" s="25"/>
      <c r="G1292" s="25"/>
      <c r="H1292" s="31"/>
      <c r="I1292" s="32"/>
      <c r="J1292" s="33"/>
      <c r="K1292" s="34" t="str">
        <f aca="false">IF(OR(H1292="",I1292=""),"",H1292*I1292*(1-N(J1292)))</f>
        <v/>
      </c>
      <c r="L1292" s="32"/>
      <c r="M1292" s="34" t="str">
        <f aca="false">IF(OR(H1292="",L1292=""),"",H1292*L1292)</f>
        <v/>
      </c>
      <c r="N1292" s="34" t="str">
        <f aca="false">IF(OR(K1292="",M1292=""),"",K1292-M1292)</f>
        <v/>
      </c>
      <c r="O1292" s="35" t="str">
        <f aca="false">IF(OR(N1292="",K1292=""),"",IF(K1292=0,"",N1292/K1292))</f>
        <v/>
      </c>
      <c r="P1292" s="25"/>
      <c r="Q1292" s="25"/>
      <c r="R1292" s="25"/>
      <c r="S1292" s="36" t="str">
        <f aca="false">IF(A1292="","",YEAR(A1292)+IF(AND(FYStart&gt;1,MONTH(A1292)&gt;=FYStart),1,0))</f>
        <v/>
      </c>
      <c r="T1292" s="36" t="str">
        <f aca="false">IF(A1292="","",MOD(MONTH(A1292)-FYStart,12)+1)</f>
        <v/>
      </c>
      <c r="U1292" s="37" t="str">
        <f aca="false">IF(A1292="","",TEXT(A1292,"mmm"))</f>
        <v/>
      </c>
      <c r="V1292" s="37" t="str">
        <f aca="false">IF(Q1292="","",IFERROR(INDEX(Settings!$I$11:$I$15,MATCH(Q1292,Settings!$H$11:$H$15,0)),"No"))</f>
        <v/>
      </c>
      <c r="W1292" s="37" t="str">
        <f aca="false">IF(Q1292="","",IFERROR(INDEX(Settings!$J$11:$J$15,MATCH(Q1292,Settings!$H$11:$H$15,0)),"No"))</f>
        <v/>
      </c>
    </row>
    <row r="1293" customFormat="false" ht="15" hidden="false" customHeight="false" outlineLevel="0" collapsed="false">
      <c r="A1293" s="30"/>
      <c r="B1293" s="25"/>
      <c r="C1293" s="25"/>
      <c r="D1293" s="25"/>
      <c r="E1293" s="25"/>
      <c r="F1293" s="25"/>
      <c r="G1293" s="25"/>
      <c r="H1293" s="31"/>
      <c r="I1293" s="32"/>
      <c r="J1293" s="33"/>
      <c r="K1293" s="34" t="str">
        <f aca="false">IF(OR(H1293="",I1293=""),"",H1293*I1293*(1-N(J1293)))</f>
        <v/>
      </c>
      <c r="L1293" s="32"/>
      <c r="M1293" s="34" t="str">
        <f aca="false">IF(OR(H1293="",L1293=""),"",H1293*L1293)</f>
        <v/>
      </c>
      <c r="N1293" s="34" t="str">
        <f aca="false">IF(OR(K1293="",M1293=""),"",K1293-M1293)</f>
        <v/>
      </c>
      <c r="O1293" s="35" t="str">
        <f aca="false">IF(OR(N1293="",K1293=""),"",IF(K1293=0,"",N1293/K1293))</f>
        <v/>
      </c>
      <c r="P1293" s="25"/>
      <c r="Q1293" s="25"/>
      <c r="R1293" s="25"/>
      <c r="S1293" s="36" t="str">
        <f aca="false">IF(A1293="","",YEAR(A1293)+IF(AND(FYStart&gt;1,MONTH(A1293)&gt;=FYStart),1,0))</f>
        <v/>
      </c>
      <c r="T1293" s="36" t="str">
        <f aca="false">IF(A1293="","",MOD(MONTH(A1293)-FYStart,12)+1)</f>
        <v/>
      </c>
      <c r="U1293" s="37" t="str">
        <f aca="false">IF(A1293="","",TEXT(A1293,"mmm"))</f>
        <v/>
      </c>
      <c r="V1293" s="37" t="str">
        <f aca="false">IF(Q1293="","",IFERROR(INDEX(Settings!$I$11:$I$15,MATCH(Q1293,Settings!$H$11:$H$15,0)),"No"))</f>
        <v/>
      </c>
      <c r="W1293" s="37" t="str">
        <f aca="false">IF(Q1293="","",IFERROR(INDEX(Settings!$J$11:$J$15,MATCH(Q1293,Settings!$H$11:$H$15,0)),"No"))</f>
        <v/>
      </c>
    </row>
    <row r="1294" customFormat="false" ht="15" hidden="false" customHeight="false" outlineLevel="0" collapsed="false">
      <c r="A1294" s="30"/>
      <c r="B1294" s="25"/>
      <c r="C1294" s="25"/>
      <c r="D1294" s="25"/>
      <c r="E1294" s="25"/>
      <c r="F1294" s="25"/>
      <c r="G1294" s="25"/>
      <c r="H1294" s="31"/>
      <c r="I1294" s="32"/>
      <c r="J1294" s="33"/>
      <c r="K1294" s="34" t="str">
        <f aca="false">IF(OR(H1294="",I1294=""),"",H1294*I1294*(1-N(J1294)))</f>
        <v/>
      </c>
      <c r="L1294" s="32"/>
      <c r="M1294" s="34" t="str">
        <f aca="false">IF(OR(H1294="",L1294=""),"",H1294*L1294)</f>
        <v/>
      </c>
      <c r="N1294" s="34" t="str">
        <f aca="false">IF(OR(K1294="",M1294=""),"",K1294-M1294)</f>
        <v/>
      </c>
      <c r="O1294" s="35" t="str">
        <f aca="false">IF(OR(N1294="",K1294=""),"",IF(K1294=0,"",N1294/K1294))</f>
        <v/>
      </c>
      <c r="P1294" s="25"/>
      <c r="Q1294" s="25"/>
      <c r="R1294" s="25"/>
      <c r="S1294" s="36" t="str">
        <f aca="false">IF(A1294="","",YEAR(A1294)+IF(AND(FYStart&gt;1,MONTH(A1294)&gt;=FYStart),1,0))</f>
        <v/>
      </c>
      <c r="T1294" s="36" t="str">
        <f aca="false">IF(A1294="","",MOD(MONTH(A1294)-FYStart,12)+1)</f>
        <v/>
      </c>
      <c r="U1294" s="37" t="str">
        <f aca="false">IF(A1294="","",TEXT(A1294,"mmm"))</f>
        <v/>
      </c>
      <c r="V1294" s="37" t="str">
        <f aca="false">IF(Q1294="","",IFERROR(INDEX(Settings!$I$11:$I$15,MATCH(Q1294,Settings!$H$11:$H$15,0)),"No"))</f>
        <v/>
      </c>
      <c r="W1294" s="37" t="str">
        <f aca="false">IF(Q1294="","",IFERROR(INDEX(Settings!$J$11:$J$15,MATCH(Q1294,Settings!$H$11:$H$15,0)),"No"))</f>
        <v/>
      </c>
    </row>
    <row r="1295" customFormat="false" ht="15" hidden="false" customHeight="false" outlineLevel="0" collapsed="false">
      <c r="A1295" s="30"/>
      <c r="B1295" s="25"/>
      <c r="C1295" s="25"/>
      <c r="D1295" s="25"/>
      <c r="E1295" s="25"/>
      <c r="F1295" s="25"/>
      <c r="G1295" s="25"/>
      <c r="H1295" s="31"/>
      <c r="I1295" s="32"/>
      <c r="J1295" s="33"/>
      <c r="K1295" s="34" t="str">
        <f aca="false">IF(OR(H1295="",I1295=""),"",H1295*I1295*(1-N(J1295)))</f>
        <v/>
      </c>
      <c r="L1295" s="32"/>
      <c r="M1295" s="34" t="str">
        <f aca="false">IF(OR(H1295="",L1295=""),"",H1295*L1295)</f>
        <v/>
      </c>
      <c r="N1295" s="34" t="str">
        <f aca="false">IF(OR(K1295="",M1295=""),"",K1295-M1295)</f>
        <v/>
      </c>
      <c r="O1295" s="35" t="str">
        <f aca="false">IF(OR(N1295="",K1295=""),"",IF(K1295=0,"",N1295/K1295))</f>
        <v/>
      </c>
      <c r="P1295" s="25"/>
      <c r="Q1295" s="25"/>
      <c r="R1295" s="25"/>
      <c r="S1295" s="36" t="str">
        <f aca="false">IF(A1295="","",YEAR(A1295)+IF(AND(FYStart&gt;1,MONTH(A1295)&gt;=FYStart),1,0))</f>
        <v/>
      </c>
      <c r="T1295" s="36" t="str">
        <f aca="false">IF(A1295="","",MOD(MONTH(A1295)-FYStart,12)+1)</f>
        <v/>
      </c>
      <c r="U1295" s="37" t="str">
        <f aca="false">IF(A1295="","",TEXT(A1295,"mmm"))</f>
        <v/>
      </c>
      <c r="V1295" s="37" t="str">
        <f aca="false">IF(Q1295="","",IFERROR(INDEX(Settings!$I$11:$I$15,MATCH(Q1295,Settings!$H$11:$H$15,0)),"No"))</f>
        <v/>
      </c>
      <c r="W1295" s="37" t="str">
        <f aca="false">IF(Q1295="","",IFERROR(INDEX(Settings!$J$11:$J$15,MATCH(Q1295,Settings!$H$11:$H$15,0)),"No"))</f>
        <v/>
      </c>
    </row>
    <row r="1296" customFormat="false" ht="15" hidden="false" customHeight="false" outlineLevel="0" collapsed="false">
      <c r="A1296" s="30"/>
      <c r="B1296" s="25"/>
      <c r="C1296" s="25"/>
      <c r="D1296" s="25"/>
      <c r="E1296" s="25"/>
      <c r="F1296" s="25"/>
      <c r="G1296" s="25"/>
      <c r="H1296" s="31"/>
      <c r="I1296" s="32"/>
      <c r="J1296" s="33"/>
      <c r="K1296" s="34" t="str">
        <f aca="false">IF(OR(H1296="",I1296=""),"",H1296*I1296*(1-N(J1296)))</f>
        <v/>
      </c>
      <c r="L1296" s="32"/>
      <c r="M1296" s="34" t="str">
        <f aca="false">IF(OR(H1296="",L1296=""),"",H1296*L1296)</f>
        <v/>
      </c>
      <c r="N1296" s="34" t="str">
        <f aca="false">IF(OR(K1296="",M1296=""),"",K1296-M1296)</f>
        <v/>
      </c>
      <c r="O1296" s="35" t="str">
        <f aca="false">IF(OR(N1296="",K1296=""),"",IF(K1296=0,"",N1296/K1296))</f>
        <v/>
      </c>
      <c r="P1296" s="25"/>
      <c r="Q1296" s="25"/>
      <c r="R1296" s="25"/>
      <c r="S1296" s="36" t="str">
        <f aca="false">IF(A1296="","",YEAR(A1296)+IF(AND(FYStart&gt;1,MONTH(A1296)&gt;=FYStart),1,0))</f>
        <v/>
      </c>
      <c r="T1296" s="36" t="str">
        <f aca="false">IF(A1296="","",MOD(MONTH(A1296)-FYStart,12)+1)</f>
        <v/>
      </c>
      <c r="U1296" s="37" t="str">
        <f aca="false">IF(A1296="","",TEXT(A1296,"mmm"))</f>
        <v/>
      </c>
      <c r="V1296" s="37" t="str">
        <f aca="false">IF(Q1296="","",IFERROR(INDEX(Settings!$I$11:$I$15,MATCH(Q1296,Settings!$H$11:$H$15,0)),"No"))</f>
        <v/>
      </c>
      <c r="W1296" s="37" t="str">
        <f aca="false">IF(Q1296="","",IFERROR(INDEX(Settings!$J$11:$J$15,MATCH(Q1296,Settings!$H$11:$H$15,0)),"No"))</f>
        <v/>
      </c>
    </row>
    <row r="1297" customFormat="false" ht="15" hidden="false" customHeight="false" outlineLevel="0" collapsed="false">
      <c r="A1297" s="30"/>
      <c r="B1297" s="25"/>
      <c r="C1297" s="25"/>
      <c r="D1297" s="25"/>
      <c r="E1297" s="25"/>
      <c r="F1297" s="25"/>
      <c r="G1297" s="25"/>
      <c r="H1297" s="31"/>
      <c r="I1297" s="32"/>
      <c r="J1297" s="33"/>
      <c r="K1297" s="34" t="str">
        <f aca="false">IF(OR(H1297="",I1297=""),"",H1297*I1297*(1-N(J1297)))</f>
        <v/>
      </c>
      <c r="L1297" s="32"/>
      <c r="M1297" s="34" t="str">
        <f aca="false">IF(OR(H1297="",L1297=""),"",H1297*L1297)</f>
        <v/>
      </c>
      <c r="N1297" s="34" t="str">
        <f aca="false">IF(OR(K1297="",M1297=""),"",K1297-M1297)</f>
        <v/>
      </c>
      <c r="O1297" s="35" t="str">
        <f aca="false">IF(OR(N1297="",K1297=""),"",IF(K1297=0,"",N1297/K1297))</f>
        <v/>
      </c>
      <c r="P1297" s="25"/>
      <c r="Q1297" s="25"/>
      <c r="R1297" s="25"/>
      <c r="S1297" s="36" t="str">
        <f aca="false">IF(A1297="","",YEAR(A1297)+IF(AND(FYStart&gt;1,MONTH(A1297)&gt;=FYStart),1,0))</f>
        <v/>
      </c>
      <c r="T1297" s="36" t="str">
        <f aca="false">IF(A1297="","",MOD(MONTH(A1297)-FYStart,12)+1)</f>
        <v/>
      </c>
      <c r="U1297" s="37" t="str">
        <f aca="false">IF(A1297="","",TEXT(A1297,"mmm"))</f>
        <v/>
      </c>
      <c r="V1297" s="37" t="str">
        <f aca="false">IF(Q1297="","",IFERROR(INDEX(Settings!$I$11:$I$15,MATCH(Q1297,Settings!$H$11:$H$15,0)),"No"))</f>
        <v/>
      </c>
      <c r="W1297" s="37" t="str">
        <f aca="false">IF(Q1297="","",IFERROR(INDEX(Settings!$J$11:$J$15,MATCH(Q1297,Settings!$H$11:$H$15,0)),"No"))</f>
        <v/>
      </c>
    </row>
    <row r="1298" customFormat="false" ht="15" hidden="false" customHeight="false" outlineLevel="0" collapsed="false">
      <c r="A1298" s="30"/>
      <c r="B1298" s="25"/>
      <c r="C1298" s="25"/>
      <c r="D1298" s="25"/>
      <c r="E1298" s="25"/>
      <c r="F1298" s="25"/>
      <c r="G1298" s="25"/>
      <c r="H1298" s="31"/>
      <c r="I1298" s="32"/>
      <c r="J1298" s="33"/>
      <c r="K1298" s="34" t="str">
        <f aca="false">IF(OR(H1298="",I1298=""),"",H1298*I1298*(1-N(J1298)))</f>
        <v/>
      </c>
      <c r="L1298" s="32"/>
      <c r="M1298" s="34" t="str">
        <f aca="false">IF(OR(H1298="",L1298=""),"",H1298*L1298)</f>
        <v/>
      </c>
      <c r="N1298" s="34" t="str">
        <f aca="false">IF(OR(K1298="",M1298=""),"",K1298-M1298)</f>
        <v/>
      </c>
      <c r="O1298" s="35" t="str">
        <f aca="false">IF(OR(N1298="",K1298=""),"",IF(K1298=0,"",N1298/K1298))</f>
        <v/>
      </c>
      <c r="P1298" s="25"/>
      <c r="Q1298" s="25"/>
      <c r="R1298" s="25"/>
      <c r="S1298" s="36" t="str">
        <f aca="false">IF(A1298="","",YEAR(A1298)+IF(AND(FYStart&gt;1,MONTH(A1298)&gt;=FYStart),1,0))</f>
        <v/>
      </c>
      <c r="T1298" s="36" t="str">
        <f aca="false">IF(A1298="","",MOD(MONTH(A1298)-FYStart,12)+1)</f>
        <v/>
      </c>
      <c r="U1298" s="37" t="str">
        <f aca="false">IF(A1298="","",TEXT(A1298,"mmm"))</f>
        <v/>
      </c>
      <c r="V1298" s="37" t="str">
        <f aca="false">IF(Q1298="","",IFERROR(INDEX(Settings!$I$11:$I$15,MATCH(Q1298,Settings!$H$11:$H$15,0)),"No"))</f>
        <v/>
      </c>
      <c r="W1298" s="37" t="str">
        <f aca="false">IF(Q1298="","",IFERROR(INDEX(Settings!$J$11:$J$15,MATCH(Q1298,Settings!$H$11:$H$15,0)),"No"))</f>
        <v/>
      </c>
    </row>
    <row r="1299" customFormat="false" ht="15" hidden="false" customHeight="false" outlineLevel="0" collapsed="false">
      <c r="A1299" s="30"/>
      <c r="B1299" s="25"/>
      <c r="C1299" s="25"/>
      <c r="D1299" s="25"/>
      <c r="E1299" s="25"/>
      <c r="F1299" s="25"/>
      <c r="G1299" s="25"/>
      <c r="H1299" s="31"/>
      <c r="I1299" s="32"/>
      <c r="J1299" s="33"/>
      <c r="K1299" s="34" t="str">
        <f aca="false">IF(OR(H1299="",I1299=""),"",H1299*I1299*(1-N(J1299)))</f>
        <v/>
      </c>
      <c r="L1299" s="32"/>
      <c r="M1299" s="34" t="str">
        <f aca="false">IF(OR(H1299="",L1299=""),"",H1299*L1299)</f>
        <v/>
      </c>
      <c r="N1299" s="34" t="str">
        <f aca="false">IF(OR(K1299="",M1299=""),"",K1299-M1299)</f>
        <v/>
      </c>
      <c r="O1299" s="35" t="str">
        <f aca="false">IF(OR(N1299="",K1299=""),"",IF(K1299=0,"",N1299/K1299))</f>
        <v/>
      </c>
      <c r="P1299" s="25"/>
      <c r="Q1299" s="25"/>
      <c r="R1299" s="25"/>
      <c r="S1299" s="36" t="str">
        <f aca="false">IF(A1299="","",YEAR(A1299)+IF(AND(FYStart&gt;1,MONTH(A1299)&gt;=FYStart),1,0))</f>
        <v/>
      </c>
      <c r="T1299" s="36" t="str">
        <f aca="false">IF(A1299="","",MOD(MONTH(A1299)-FYStart,12)+1)</f>
        <v/>
      </c>
      <c r="U1299" s="37" t="str">
        <f aca="false">IF(A1299="","",TEXT(A1299,"mmm"))</f>
        <v/>
      </c>
      <c r="V1299" s="37" t="str">
        <f aca="false">IF(Q1299="","",IFERROR(INDEX(Settings!$I$11:$I$15,MATCH(Q1299,Settings!$H$11:$H$15,0)),"No"))</f>
        <v/>
      </c>
      <c r="W1299" s="37" t="str">
        <f aca="false">IF(Q1299="","",IFERROR(INDEX(Settings!$J$11:$J$15,MATCH(Q1299,Settings!$H$11:$H$15,0)),"No"))</f>
        <v/>
      </c>
    </row>
    <row r="1300" customFormat="false" ht="15" hidden="false" customHeight="false" outlineLevel="0" collapsed="false">
      <c r="A1300" s="30"/>
      <c r="B1300" s="25"/>
      <c r="C1300" s="25"/>
      <c r="D1300" s="25"/>
      <c r="E1300" s="25"/>
      <c r="F1300" s="25"/>
      <c r="G1300" s="25"/>
      <c r="H1300" s="31"/>
      <c r="I1300" s="32"/>
      <c r="J1300" s="33"/>
      <c r="K1300" s="34" t="str">
        <f aca="false">IF(OR(H1300="",I1300=""),"",H1300*I1300*(1-N(J1300)))</f>
        <v/>
      </c>
      <c r="L1300" s="32"/>
      <c r="M1300" s="34" t="str">
        <f aca="false">IF(OR(H1300="",L1300=""),"",H1300*L1300)</f>
        <v/>
      </c>
      <c r="N1300" s="34" t="str">
        <f aca="false">IF(OR(K1300="",M1300=""),"",K1300-M1300)</f>
        <v/>
      </c>
      <c r="O1300" s="35" t="str">
        <f aca="false">IF(OR(N1300="",K1300=""),"",IF(K1300=0,"",N1300/K1300))</f>
        <v/>
      </c>
      <c r="P1300" s="25"/>
      <c r="Q1300" s="25"/>
      <c r="R1300" s="25"/>
      <c r="S1300" s="36" t="str">
        <f aca="false">IF(A1300="","",YEAR(A1300)+IF(AND(FYStart&gt;1,MONTH(A1300)&gt;=FYStart),1,0))</f>
        <v/>
      </c>
      <c r="T1300" s="36" t="str">
        <f aca="false">IF(A1300="","",MOD(MONTH(A1300)-FYStart,12)+1)</f>
        <v/>
      </c>
      <c r="U1300" s="37" t="str">
        <f aca="false">IF(A1300="","",TEXT(A1300,"mmm"))</f>
        <v/>
      </c>
      <c r="V1300" s="37" t="str">
        <f aca="false">IF(Q1300="","",IFERROR(INDEX(Settings!$I$11:$I$15,MATCH(Q1300,Settings!$H$11:$H$15,0)),"No"))</f>
        <v/>
      </c>
      <c r="W1300" s="37" t="str">
        <f aca="false">IF(Q1300="","",IFERROR(INDEX(Settings!$J$11:$J$15,MATCH(Q1300,Settings!$H$11:$H$15,0)),"No"))</f>
        <v/>
      </c>
    </row>
    <row r="1301" customFormat="false" ht="15" hidden="false" customHeight="false" outlineLevel="0" collapsed="false">
      <c r="A1301" s="30"/>
      <c r="B1301" s="25"/>
      <c r="C1301" s="25"/>
      <c r="D1301" s="25"/>
      <c r="E1301" s="25"/>
      <c r="F1301" s="25"/>
      <c r="G1301" s="25"/>
      <c r="H1301" s="31"/>
      <c r="I1301" s="32"/>
      <c r="J1301" s="33"/>
      <c r="K1301" s="34" t="str">
        <f aca="false">IF(OR(H1301="",I1301=""),"",H1301*I1301*(1-N(J1301)))</f>
        <v/>
      </c>
      <c r="L1301" s="32"/>
      <c r="M1301" s="34" t="str">
        <f aca="false">IF(OR(H1301="",L1301=""),"",H1301*L1301)</f>
        <v/>
      </c>
      <c r="N1301" s="34" t="str">
        <f aca="false">IF(OR(K1301="",M1301=""),"",K1301-M1301)</f>
        <v/>
      </c>
      <c r="O1301" s="35" t="str">
        <f aca="false">IF(OR(N1301="",K1301=""),"",IF(K1301=0,"",N1301/K1301))</f>
        <v/>
      </c>
      <c r="P1301" s="25"/>
      <c r="Q1301" s="25"/>
      <c r="R1301" s="25"/>
      <c r="S1301" s="36" t="str">
        <f aca="false">IF(A1301="","",YEAR(A1301)+IF(AND(FYStart&gt;1,MONTH(A1301)&gt;=FYStart),1,0))</f>
        <v/>
      </c>
      <c r="T1301" s="36" t="str">
        <f aca="false">IF(A1301="","",MOD(MONTH(A1301)-FYStart,12)+1)</f>
        <v/>
      </c>
      <c r="U1301" s="37" t="str">
        <f aca="false">IF(A1301="","",TEXT(A1301,"mmm"))</f>
        <v/>
      </c>
      <c r="V1301" s="37" t="str">
        <f aca="false">IF(Q1301="","",IFERROR(INDEX(Settings!$I$11:$I$15,MATCH(Q1301,Settings!$H$11:$H$15,0)),"No"))</f>
        <v/>
      </c>
      <c r="W1301" s="37" t="str">
        <f aca="false">IF(Q1301="","",IFERROR(INDEX(Settings!$J$11:$J$15,MATCH(Q1301,Settings!$H$11:$H$15,0)),"No"))</f>
        <v/>
      </c>
    </row>
    <row r="1302" customFormat="false" ht="15" hidden="false" customHeight="false" outlineLevel="0" collapsed="false">
      <c r="A1302" s="30"/>
      <c r="B1302" s="25"/>
      <c r="C1302" s="25"/>
      <c r="D1302" s="25"/>
      <c r="E1302" s="25"/>
      <c r="F1302" s="25"/>
      <c r="G1302" s="25"/>
      <c r="H1302" s="31"/>
      <c r="I1302" s="32"/>
      <c r="J1302" s="33"/>
      <c r="K1302" s="34" t="str">
        <f aca="false">IF(OR(H1302="",I1302=""),"",H1302*I1302*(1-N(J1302)))</f>
        <v/>
      </c>
      <c r="L1302" s="32"/>
      <c r="M1302" s="34" t="str">
        <f aca="false">IF(OR(H1302="",L1302=""),"",H1302*L1302)</f>
        <v/>
      </c>
      <c r="N1302" s="34" t="str">
        <f aca="false">IF(OR(K1302="",M1302=""),"",K1302-M1302)</f>
        <v/>
      </c>
      <c r="O1302" s="35" t="str">
        <f aca="false">IF(OR(N1302="",K1302=""),"",IF(K1302=0,"",N1302/K1302))</f>
        <v/>
      </c>
      <c r="P1302" s="25"/>
      <c r="Q1302" s="25"/>
      <c r="R1302" s="25"/>
      <c r="S1302" s="36" t="str">
        <f aca="false">IF(A1302="","",YEAR(A1302)+IF(AND(FYStart&gt;1,MONTH(A1302)&gt;=FYStart),1,0))</f>
        <v/>
      </c>
      <c r="T1302" s="36" t="str">
        <f aca="false">IF(A1302="","",MOD(MONTH(A1302)-FYStart,12)+1)</f>
        <v/>
      </c>
      <c r="U1302" s="37" t="str">
        <f aca="false">IF(A1302="","",TEXT(A1302,"mmm"))</f>
        <v/>
      </c>
      <c r="V1302" s="37" t="str">
        <f aca="false">IF(Q1302="","",IFERROR(INDEX(Settings!$I$11:$I$15,MATCH(Q1302,Settings!$H$11:$H$15,0)),"No"))</f>
        <v/>
      </c>
      <c r="W1302" s="37" t="str">
        <f aca="false">IF(Q1302="","",IFERROR(INDEX(Settings!$J$11:$J$15,MATCH(Q1302,Settings!$H$11:$H$15,0)),"No"))</f>
        <v/>
      </c>
    </row>
    <row r="1303" customFormat="false" ht="15" hidden="false" customHeight="false" outlineLevel="0" collapsed="false">
      <c r="A1303" s="30"/>
      <c r="B1303" s="25"/>
      <c r="C1303" s="25"/>
      <c r="D1303" s="25"/>
      <c r="E1303" s="25"/>
      <c r="F1303" s="25"/>
      <c r="G1303" s="25"/>
      <c r="H1303" s="31"/>
      <c r="I1303" s="32"/>
      <c r="J1303" s="33"/>
      <c r="K1303" s="34" t="str">
        <f aca="false">IF(OR(H1303="",I1303=""),"",H1303*I1303*(1-N(J1303)))</f>
        <v/>
      </c>
      <c r="L1303" s="32"/>
      <c r="M1303" s="34" t="str">
        <f aca="false">IF(OR(H1303="",L1303=""),"",H1303*L1303)</f>
        <v/>
      </c>
      <c r="N1303" s="34" t="str">
        <f aca="false">IF(OR(K1303="",M1303=""),"",K1303-M1303)</f>
        <v/>
      </c>
      <c r="O1303" s="35" t="str">
        <f aca="false">IF(OR(N1303="",K1303=""),"",IF(K1303=0,"",N1303/K1303))</f>
        <v/>
      </c>
      <c r="P1303" s="25"/>
      <c r="Q1303" s="25"/>
      <c r="R1303" s="25"/>
      <c r="S1303" s="36" t="str">
        <f aca="false">IF(A1303="","",YEAR(A1303)+IF(AND(FYStart&gt;1,MONTH(A1303)&gt;=FYStart),1,0))</f>
        <v/>
      </c>
      <c r="T1303" s="36" t="str">
        <f aca="false">IF(A1303="","",MOD(MONTH(A1303)-FYStart,12)+1)</f>
        <v/>
      </c>
      <c r="U1303" s="37" t="str">
        <f aca="false">IF(A1303="","",TEXT(A1303,"mmm"))</f>
        <v/>
      </c>
      <c r="V1303" s="37" t="str">
        <f aca="false">IF(Q1303="","",IFERROR(INDEX(Settings!$I$11:$I$15,MATCH(Q1303,Settings!$H$11:$H$15,0)),"No"))</f>
        <v/>
      </c>
      <c r="W1303" s="37" t="str">
        <f aca="false">IF(Q1303="","",IFERROR(INDEX(Settings!$J$11:$J$15,MATCH(Q1303,Settings!$H$11:$H$15,0)),"No"))</f>
        <v/>
      </c>
    </row>
    <row r="1304" customFormat="false" ht="15" hidden="false" customHeight="false" outlineLevel="0" collapsed="false">
      <c r="A1304" s="30"/>
      <c r="B1304" s="25"/>
      <c r="C1304" s="25"/>
      <c r="D1304" s="25"/>
      <c r="E1304" s="25"/>
      <c r="F1304" s="25"/>
      <c r="G1304" s="25"/>
      <c r="H1304" s="31"/>
      <c r="I1304" s="32"/>
      <c r="J1304" s="33"/>
      <c r="K1304" s="34" t="str">
        <f aca="false">IF(OR(H1304="",I1304=""),"",H1304*I1304*(1-N(J1304)))</f>
        <v/>
      </c>
      <c r="L1304" s="32"/>
      <c r="M1304" s="34" t="str">
        <f aca="false">IF(OR(H1304="",L1304=""),"",H1304*L1304)</f>
        <v/>
      </c>
      <c r="N1304" s="34" t="str">
        <f aca="false">IF(OR(K1304="",M1304=""),"",K1304-M1304)</f>
        <v/>
      </c>
      <c r="O1304" s="35" t="str">
        <f aca="false">IF(OR(N1304="",K1304=""),"",IF(K1304=0,"",N1304/K1304))</f>
        <v/>
      </c>
      <c r="P1304" s="25"/>
      <c r="Q1304" s="25"/>
      <c r="R1304" s="25"/>
      <c r="S1304" s="36" t="str">
        <f aca="false">IF(A1304="","",YEAR(A1304)+IF(AND(FYStart&gt;1,MONTH(A1304)&gt;=FYStart),1,0))</f>
        <v/>
      </c>
      <c r="T1304" s="36" t="str">
        <f aca="false">IF(A1304="","",MOD(MONTH(A1304)-FYStart,12)+1)</f>
        <v/>
      </c>
      <c r="U1304" s="37" t="str">
        <f aca="false">IF(A1304="","",TEXT(A1304,"mmm"))</f>
        <v/>
      </c>
      <c r="V1304" s="37" t="str">
        <f aca="false">IF(Q1304="","",IFERROR(INDEX(Settings!$I$11:$I$15,MATCH(Q1304,Settings!$H$11:$H$15,0)),"No"))</f>
        <v/>
      </c>
      <c r="W1304" s="37" t="str">
        <f aca="false">IF(Q1304="","",IFERROR(INDEX(Settings!$J$11:$J$15,MATCH(Q1304,Settings!$H$11:$H$15,0)),"No"))</f>
        <v/>
      </c>
    </row>
    <row r="1305" customFormat="false" ht="15" hidden="false" customHeight="false" outlineLevel="0" collapsed="false">
      <c r="A1305" s="30"/>
      <c r="B1305" s="25"/>
      <c r="C1305" s="25"/>
      <c r="D1305" s="25"/>
      <c r="E1305" s="25"/>
      <c r="F1305" s="25"/>
      <c r="G1305" s="25"/>
      <c r="H1305" s="31"/>
      <c r="I1305" s="32"/>
      <c r="J1305" s="33"/>
      <c r="K1305" s="34" t="str">
        <f aca="false">IF(OR(H1305="",I1305=""),"",H1305*I1305*(1-N(J1305)))</f>
        <v/>
      </c>
      <c r="L1305" s="32"/>
      <c r="M1305" s="34" t="str">
        <f aca="false">IF(OR(H1305="",L1305=""),"",H1305*L1305)</f>
        <v/>
      </c>
      <c r="N1305" s="34" t="str">
        <f aca="false">IF(OR(K1305="",M1305=""),"",K1305-M1305)</f>
        <v/>
      </c>
      <c r="O1305" s="35" t="str">
        <f aca="false">IF(OR(N1305="",K1305=""),"",IF(K1305=0,"",N1305/K1305))</f>
        <v/>
      </c>
      <c r="P1305" s="25"/>
      <c r="Q1305" s="25"/>
      <c r="R1305" s="25"/>
      <c r="S1305" s="36" t="str">
        <f aca="false">IF(A1305="","",YEAR(A1305)+IF(AND(FYStart&gt;1,MONTH(A1305)&gt;=FYStart),1,0))</f>
        <v/>
      </c>
      <c r="T1305" s="36" t="str">
        <f aca="false">IF(A1305="","",MOD(MONTH(A1305)-FYStart,12)+1)</f>
        <v/>
      </c>
      <c r="U1305" s="37" t="str">
        <f aca="false">IF(A1305="","",TEXT(A1305,"mmm"))</f>
        <v/>
      </c>
      <c r="V1305" s="37" t="str">
        <f aca="false">IF(Q1305="","",IFERROR(INDEX(Settings!$I$11:$I$15,MATCH(Q1305,Settings!$H$11:$H$15,0)),"No"))</f>
        <v/>
      </c>
      <c r="W1305" s="37" t="str">
        <f aca="false">IF(Q1305="","",IFERROR(INDEX(Settings!$J$11:$J$15,MATCH(Q1305,Settings!$H$11:$H$15,0)),"No"))</f>
        <v/>
      </c>
    </row>
    <row r="1306" customFormat="false" ht="15" hidden="false" customHeight="false" outlineLevel="0" collapsed="false">
      <c r="A1306" s="30"/>
      <c r="B1306" s="25"/>
      <c r="C1306" s="25"/>
      <c r="D1306" s="25"/>
      <c r="E1306" s="25"/>
      <c r="F1306" s="25"/>
      <c r="G1306" s="25"/>
      <c r="H1306" s="31"/>
      <c r="I1306" s="32"/>
      <c r="J1306" s="33"/>
      <c r="K1306" s="34" t="str">
        <f aca="false">IF(OR(H1306="",I1306=""),"",H1306*I1306*(1-N(J1306)))</f>
        <v/>
      </c>
      <c r="L1306" s="32"/>
      <c r="M1306" s="34" t="str">
        <f aca="false">IF(OR(H1306="",L1306=""),"",H1306*L1306)</f>
        <v/>
      </c>
      <c r="N1306" s="34" t="str">
        <f aca="false">IF(OR(K1306="",M1306=""),"",K1306-M1306)</f>
        <v/>
      </c>
      <c r="O1306" s="35" t="str">
        <f aca="false">IF(OR(N1306="",K1306=""),"",IF(K1306=0,"",N1306/K1306))</f>
        <v/>
      </c>
      <c r="P1306" s="25"/>
      <c r="Q1306" s="25"/>
      <c r="R1306" s="25"/>
      <c r="S1306" s="36" t="str">
        <f aca="false">IF(A1306="","",YEAR(A1306)+IF(AND(FYStart&gt;1,MONTH(A1306)&gt;=FYStart),1,0))</f>
        <v/>
      </c>
      <c r="T1306" s="36" t="str">
        <f aca="false">IF(A1306="","",MOD(MONTH(A1306)-FYStart,12)+1)</f>
        <v/>
      </c>
      <c r="U1306" s="37" t="str">
        <f aca="false">IF(A1306="","",TEXT(A1306,"mmm"))</f>
        <v/>
      </c>
      <c r="V1306" s="37" t="str">
        <f aca="false">IF(Q1306="","",IFERROR(INDEX(Settings!$I$11:$I$15,MATCH(Q1306,Settings!$H$11:$H$15,0)),"No"))</f>
        <v/>
      </c>
      <c r="W1306" s="37" t="str">
        <f aca="false">IF(Q1306="","",IFERROR(INDEX(Settings!$J$11:$J$15,MATCH(Q1306,Settings!$H$11:$H$15,0)),"No"))</f>
        <v/>
      </c>
    </row>
    <row r="1307" customFormat="false" ht="15" hidden="false" customHeight="false" outlineLevel="0" collapsed="false">
      <c r="A1307" s="30"/>
      <c r="B1307" s="25"/>
      <c r="C1307" s="25"/>
      <c r="D1307" s="25"/>
      <c r="E1307" s="25"/>
      <c r="F1307" s="25"/>
      <c r="G1307" s="25"/>
      <c r="H1307" s="31"/>
      <c r="I1307" s="32"/>
      <c r="J1307" s="33"/>
      <c r="K1307" s="34" t="str">
        <f aca="false">IF(OR(H1307="",I1307=""),"",H1307*I1307*(1-N(J1307)))</f>
        <v/>
      </c>
      <c r="L1307" s="32"/>
      <c r="M1307" s="34" t="str">
        <f aca="false">IF(OR(H1307="",L1307=""),"",H1307*L1307)</f>
        <v/>
      </c>
      <c r="N1307" s="34" t="str">
        <f aca="false">IF(OR(K1307="",M1307=""),"",K1307-M1307)</f>
        <v/>
      </c>
      <c r="O1307" s="35" t="str">
        <f aca="false">IF(OR(N1307="",K1307=""),"",IF(K1307=0,"",N1307/K1307))</f>
        <v/>
      </c>
      <c r="P1307" s="25"/>
      <c r="Q1307" s="25"/>
      <c r="R1307" s="25"/>
      <c r="S1307" s="36" t="str">
        <f aca="false">IF(A1307="","",YEAR(A1307)+IF(AND(FYStart&gt;1,MONTH(A1307)&gt;=FYStart),1,0))</f>
        <v/>
      </c>
      <c r="T1307" s="36" t="str">
        <f aca="false">IF(A1307="","",MOD(MONTH(A1307)-FYStart,12)+1)</f>
        <v/>
      </c>
      <c r="U1307" s="37" t="str">
        <f aca="false">IF(A1307="","",TEXT(A1307,"mmm"))</f>
        <v/>
      </c>
      <c r="V1307" s="37" t="str">
        <f aca="false">IF(Q1307="","",IFERROR(INDEX(Settings!$I$11:$I$15,MATCH(Q1307,Settings!$H$11:$H$15,0)),"No"))</f>
        <v/>
      </c>
      <c r="W1307" s="37" t="str">
        <f aca="false">IF(Q1307="","",IFERROR(INDEX(Settings!$J$11:$J$15,MATCH(Q1307,Settings!$H$11:$H$15,0)),"No"))</f>
        <v/>
      </c>
    </row>
    <row r="1308" customFormat="false" ht="15" hidden="false" customHeight="false" outlineLevel="0" collapsed="false">
      <c r="A1308" s="30"/>
      <c r="B1308" s="25"/>
      <c r="C1308" s="25"/>
      <c r="D1308" s="25"/>
      <c r="E1308" s="25"/>
      <c r="F1308" s="25"/>
      <c r="G1308" s="25"/>
      <c r="H1308" s="31"/>
      <c r="I1308" s="32"/>
      <c r="J1308" s="33"/>
      <c r="K1308" s="34" t="str">
        <f aca="false">IF(OR(H1308="",I1308=""),"",H1308*I1308*(1-N(J1308)))</f>
        <v/>
      </c>
      <c r="L1308" s="32"/>
      <c r="M1308" s="34" t="str">
        <f aca="false">IF(OR(H1308="",L1308=""),"",H1308*L1308)</f>
        <v/>
      </c>
      <c r="N1308" s="34" t="str">
        <f aca="false">IF(OR(K1308="",M1308=""),"",K1308-M1308)</f>
        <v/>
      </c>
      <c r="O1308" s="35" t="str">
        <f aca="false">IF(OR(N1308="",K1308=""),"",IF(K1308=0,"",N1308/K1308))</f>
        <v/>
      </c>
      <c r="P1308" s="25"/>
      <c r="Q1308" s="25"/>
      <c r="R1308" s="25"/>
      <c r="S1308" s="36" t="str">
        <f aca="false">IF(A1308="","",YEAR(A1308)+IF(AND(FYStart&gt;1,MONTH(A1308)&gt;=FYStart),1,0))</f>
        <v/>
      </c>
      <c r="T1308" s="36" t="str">
        <f aca="false">IF(A1308="","",MOD(MONTH(A1308)-FYStart,12)+1)</f>
        <v/>
      </c>
      <c r="U1308" s="37" t="str">
        <f aca="false">IF(A1308="","",TEXT(A1308,"mmm"))</f>
        <v/>
      </c>
      <c r="V1308" s="37" t="str">
        <f aca="false">IF(Q1308="","",IFERROR(INDEX(Settings!$I$11:$I$15,MATCH(Q1308,Settings!$H$11:$H$15,0)),"No"))</f>
        <v/>
      </c>
      <c r="W1308" s="37" t="str">
        <f aca="false">IF(Q1308="","",IFERROR(INDEX(Settings!$J$11:$J$15,MATCH(Q1308,Settings!$H$11:$H$15,0)),"No"))</f>
        <v/>
      </c>
    </row>
    <row r="1309" customFormat="false" ht="15" hidden="false" customHeight="false" outlineLevel="0" collapsed="false">
      <c r="A1309" s="30"/>
      <c r="B1309" s="25"/>
      <c r="C1309" s="25"/>
      <c r="D1309" s="25"/>
      <c r="E1309" s="25"/>
      <c r="F1309" s="25"/>
      <c r="G1309" s="25"/>
      <c r="H1309" s="31"/>
      <c r="I1309" s="32"/>
      <c r="J1309" s="33"/>
      <c r="K1309" s="34" t="str">
        <f aca="false">IF(OR(H1309="",I1309=""),"",H1309*I1309*(1-N(J1309)))</f>
        <v/>
      </c>
      <c r="L1309" s="32"/>
      <c r="M1309" s="34" t="str">
        <f aca="false">IF(OR(H1309="",L1309=""),"",H1309*L1309)</f>
        <v/>
      </c>
      <c r="N1309" s="34" t="str">
        <f aca="false">IF(OR(K1309="",M1309=""),"",K1309-M1309)</f>
        <v/>
      </c>
      <c r="O1309" s="35" t="str">
        <f aca="false">IF(OR(N1309="",K1309=""),"",IF(K1309=0,"",N1309/K1309))</f>
        <v/>
      </c>
      <c r="P1309" s="25"/>
      <c r="Q1309" s="25"/>
      <c r="R1309" s="25"/>
      <c r="S1309" s="36" t="str">
        <f aca="false">IF(A1309="","",YEAR(A1309)+IF(AND(FYStart&gt;1,MONTH(A1309)&gt;=FYStart),1,0))</f>
        <v/>
      </c>
      <c r="T1309" s="36" t="str">
        <f aca="false">IF(A1309="","",MOD(MONTH(A1309)-FYStart,12)+1)</f>
        <v/>
      </c>
      <c r="U1309" s="37" t="str">
        <f aca="false">IF(A1309="","",TEXT(A1309,"mmm"))</f>
        <v/>
      </c>
      <c r="V1309" s="37" t="str">
        <f aca="false">IF(Q1309="","",IFERROR(INDEX(Settings!$I$11:$I$15,MATCH(Q1309,Settings!$H$11:$H$15,0)),"No"))</f>
        <v/>
      </c>
      <c r="W1309" s="37" t="str">
        <f aca="false">IF(Q1309="","",IFERROR(INDEX(Settings!$J$11:$J$15,MATCH(Q1309,Settings!$H$11:$H$15,0)),"No"))</f>
        <v/>
      </c>
    </row>
    <row r="1310" customFormat="false" ht="15" hidden="false" customHeight="false" outlineLevel="0" collapsed="false">
      <c r="A1310" s="30"/>
      <c r="B1310" s="25"/>
      <c r="C1310" s="25"/>
      <c r="D1310" s="25"/>
      <c r="E1310" s="25"/>
      <c r="F1310" s="25"/>
      <c r="G1310" s="25"/>
      <c r="H1310" s="31"/>
      <c r="I1310" s="32"/>
      <c r="J1310" s="33"/>
      <c r="K1310" s="34" t="str">
        <f aca="false">IF(OR(H1310="",I1310=""),"",H1310*I1310*(1-N(J1310)))</f>
        <v/>
      </c>
      <c r="L1310" s="32"/>
      <c r="M1310" s="34" t="str">
        <f aca="false">IF(OR(H1310="",L1310=""),"",H1310*L1310)</f>
        <v/>
      </c>
      <c r="N1310" s="34" t="str">
        <f aca="false">IF(OR(K1310="",M1310=""),"",K1310-M1310)</f>
        <v/>
      </c>
      <c r="O1310" s="35" t="str">
        <f aca="false">IF(OR(N1310="",K1310=""),"",IF(K1310=0,"",N1310/K1310))</f>
        <v/>
      </c>
      <c r="P1310" s="25"/>
      <c r="Q1310" s="25"/>
      <c r="R1310" s="25"/>
      <c r="S1310" s="36" t="str">
        <f aca="false">IF(A1310="","",YEAR(A1310)+IF(AND(FYStart&gt;1,MONTH(A1310)&gt;=FYStart),1,0))</f>
        <v/>
      </c>
      <c r="T1310" s="36" t="str">
        <f aca="false">IF(A1310="","",MOD(MONTH(A1310)-FYStart,12)+1)</f>
        <v/>
      </c>
      <c r="U1310" s="37" t="str">
        <f aca="false">IF(A1310="","",TEXT(A1310,"mmm"))</f>
        <v/>
      </c>
      <c r="V1310" s="37" t="str">
        <f aca="false">IF(Q1310="","",IFERROR(INDEX(Settings!$I$11:$I$15,MATCH(Q1310,Settings!$H$11:$H$15,0)),"No"))</f>
        <v/>
      </c>
      <c r="W1310" s="37" t="str">
        <f aca="false">IF(Q1310="","",IFERROR(INDEX(Settings!$J$11:$J$15,MATCH(Q1310,Settings!$H$11:$H$15,0)),"No"))</f>
        <v/>
      </c>
    </row>
    <row r="1311" customFormat="false" ht="15" hidden="false" customHeight="false" outlineLevel="0" collapsed="false">
      <c r="A1311" s="30"/>
      <c r="B1311" s="25"/>
      <c r="C1311" s="25"/>
      <c r="D1311" s="25"/>
      <c r="E1311" s="25"/>
      <c r="F1311" s="25"/>
      <c r="G1311" s="25"/>
      <c r="H1311" s="31"/>
      <c r="I1311" s="32"/>
      <c r="J1311" s="33"/>
      <c r="K1311" s="34" t="str">
        <f aca="false">IF(OR(H1311="",I1311=""),"",H1311*I1311*(1-N(J1311)))</f>
        <v/>
      </c>
      <c r="L1311" s="32"/>
      <c r="M1311" s="34" t="str">
        <f aca="false">IF(OR(H1311="",L1311=""),"",H1311*L1311)</f>
        <v/>
      </c>
      <c r="N1311" s="34" t="str">
        <f aca="false">IF(OR(K1311="",M1311=""),"",K1311-M1311)</f>
        <v/>
      </c>
      <c r="O1311" s="35" t="str">
        <f aca="false">IF(OR(N1311="",K1311=""),"",IF(K1311=0,"",N1311/K1311))</f>
        <v/>
      </c>
      <c r="P1311" s="25"/>
      <c r="Q1311" s="25"/>
      <c r="R1311" s="25"/>
      <c r="S1311" s="36" t="str">
        <f aca="false">IF(A1311="","",YEAR(A1311)+IF(AND(FYStart&gt;1,MONTH(A1311)&gt;=FYStart),1,0))</f>
        <v/>
      </c>
      <c r="T1311" s="36" t="str">
        <f aca="false">IF(A1311="","",MOD(MONTH(A1311)-FYStart,12)+1)</f>
        <v/>
      </c>
      <c r="U1311" s="37" t="str">
        <f aca="false">IF(A1311="","",TEXT(A1311,"mmm"))</f>
        <v/>
      </c>
      <c r="V1311" s="37" t="str">
        <f aca="false">IF(Q1311="","",IFERROR(INDEX(Settings!$I$11:$I$15,MATCH(Q1311,Settings!$H$11:$H$15,0)),"No"))</f>
        <v/>
      </c>
      <c r="W1311" s="37" t="str">
        <f aca="false">IF(Q1311="","",IFERROR(INDEX(Settings!$J$11:$J$15,MATCH(Q1311,Settings!$H$11:$H$15,0)),"No"))</f>
        <v/>
      </c>
    </row>
    <row r="1312" customFormat="false" ht="15" hidden="false" customHeight="false" outlineLevel="0" collapsed="false">
      <c r="A1312" s="30"/>
      <c r="B1312" s="25"/>
      <c r="C1312" s="25"/>
      <c r="D1312" s="25"/>
      <c r="E1312" s="25"/>
      <c r="F1312" s="25"/>
      <c r="G1312" s="25"/>
      <c r="H1312" s="31"/>
      <c r="I1312" s="32"/>
      <c r="J1312" s="33"/>
      <c r="K1312" s="34" t="str">
        <f aca="false">IF(OR(H1312="",I1312=""),"",H1312*I1312*(1-N(J1312)))</f>
        <v/>
      </c>
      <c r="L1312" s="32"/>
      <c r="M1312" s="34" t="str">
        <f aca="false">IF(OR(H1312="",L1312=""),"",H1312*L1312)</f>
        <v/>
      </c>
      <c r="N1312" s="34" t="str">
        <f aca="false">IF(OR(K1312="",M1312=""),"",K1312-M1312)</f>
        <v/>
      </c>
      <c r="O1312" s="35" t="str">
        <f aca="false">IF(OR(N1312="",K1312=""),"",IF(K1312=0,"",N1312/K1312))</f>
        <v/>
      </c>
      <c r="P1312" s="25"/>
      <c r="Q1312" s="25"/>
      <c r="R1312" s="25"/>
      <c r="S1312" s="36" t="str">
        <f aca="false">IF(A1312="","",YEAR(A1312)+IF(AND(FYStart&gt;1,MONTH(A1312)&gt;=FYStart),1,0))</f>
        <v/>
      </c>
      <c r="T1312" s="36" t="str">
        <f aca="false">IF(A1312="","",MOD(MONTH(A1312)-FYStart,12)+1)</f>
        <v/>
      </c>
      <c r="U1312" s="37" t="str">
        <f aca="false">IF(A1312="","",TEXT(A1312,"mmm"))</f>
        <v/>
      </c>
      <c r="V1312" s="37" t="str">
        <f aca="false">IF(Q1312="","",IFERROR(INDEX(Settings!$I$11:$I$15,MATCH(Q1312,Settings!$H$11:$H$15,0)),"No"))</f>
        <v/>
      </c>
      <c r="W1312" s="37" t="str">
        <f aca="false">IF(Q1312="","",IFERROR(INDEX(Settings!$J$11:$J$15,MATCH(Q1312,Settings!$H$11:$H$15,0)),"No"))</f>
        <v/>
      </c>
    </row>
    <row r="1313" customFormat="false" ht="15" hidden="false" customHeight="false" outlineLevel="0" collapsed="false">
      <c r="A1313" s="30"/>
      <c r="B1313" s="25"/>
      <c r="C1313" s="25"/>
      <c r="D1313" s="25"/>
      <c r="E1313" s="25"/>
      <c r="F1313" s="25"/>
      <c r="G1313" s="25"/>
      <c r="H1313" s="31"/>
      <c r="I1313" s="32"/>
      <c r="J1313" s="33"/>
      <c r="K1313" s="34" t="str">
        <f aca="false">IF(OR(H1313="",I1313=""),"",H1313*I1313*(1-N(J1313)))</f>
        <v/>
      </c>
      <c r="L1313" s="32"/>
      <c r="M1313" s="34" t="str">
        <f aca="false">IF(OR(H1313="",L1313=""),"",H1313*L1313)</f>
        <v/>
      </c>
      <c r="N1313" s="34" t="str">
        <f aca="false">IF(OR(K1313="",M1313=""),"",K1313-M1313)</f>
        <v/>
      </c>
      <c r="O1313" s="35" t="str">
        <f aca="false">IF(OR(N1313="",K1313=""),"",IF(K1313=0,"",N1313/K1313))</f>
        <v/>
      </c>
      <c r="P1313" s="25"/>
      <c r="Q1313" s="25"/>
      <c r="R1313" s="25"/>
      <c r="S1313" s="36" t="str">
        <f aca="false">IF(A1313="","",YEAR(A1313)+IF(AND(FYStart&gt;1,MONTH(A1313)&gt;=FYStart),1,0))</f>
        <v/>
      </c>
      <c r="T1313" s="36" t="str">
        <f aca="false">IF(A1313="","",MOD(MONTH(A1313)-FYStart,12)+1)</f>
        <v/>
      </c>
      <c r="U1313" s="37" t="str">
        <f aca="false">IF(A1313="","",TEXT(A1313,"mmm"))</f>
        <v/>
      </c>
      <c r="V1313" s="37" t="str">
        <f aca="false">IF(Q1313="","",IFERROR(INDEX(Settings!$I$11:$I$15,MATCH(Q1313,Settings!$H$11:$H$15,0)),"No"))</f>
        <v/>
      </c>
      <c r="W1313" s="37" t="str">
        <f aca="false">IF(Q1313="","",IFERROR(INDEX(Settings!$J$11:$J$15,MATCH(Q1313,Settings!$H$11:$H$15,0)),"No"))</f>
        <v/>
      </c>
    </row>
    <row r="1314" customFormat="false" ht="15" hidden="false" customHeight="false" outlineLevel="0" collapsed="false">
      <c r="A1314" s="30"/>
      <c r="B1314" s="25"/>
      <c r="C1314" s="25"/>
      <c r="D1314" s="25"/>
      <c r="E1314" s="25"/>
      <c r="F1314" s="25"/>
      <c r="G1314" s="25"/>
      <c r="H1314" s="31"/>
      <c r="I1314" s="32"/>
      <c r="J1314" s="33"/>
      <c r="K1314" s="34" t="str">
        <f aca="false">IF(OR(H1314="",I1314=""),"",H1314*I1314*(1-N(J1314)))</f>
        <v/>
      </c>
      <c r="L1314" s="32"/>
      <c r="M1314" s="34" t="str">
        <f aca="false">IF(OR(H1314="",L1314=""),"",H1314*L1314)</f>
        <v/>
      </c>
      <c r="N1314" s="34" t="str">
        <f aca="false">IF(OR(K1314="",M1314=""),"",K1314-M1314)</f>
        <v/>
      </c>
      <c r="O1314" s="35" t="str">
        <f aca="false">IF(OR(N1314="",K1314=""),"",IF(K1314=0,"",N1314/K1314))</f>
        <v/>
      </c>
      <c r="P1314" s="25"/>
      <c r="Q1314" s="25"/>
      <c r="R1314" s="25"/>
      <c r="S1314" s="36" t="str">
        <f aca="false">IF(A1314="","",YEAR(A1314)+IF(AND(FYStart&gt;1,MONTH(A1314)&gt;=FYStart),1,0))</f>
        <v/>
      </c>
      <c r="T1314" s="36" t="str">
        <f aca="false">IF(A1314="","",MOD(MONTH(A1314)-FYStart,12)+1)</f>
        <v/>
      </c>
      <c r="U1314" s="37" t="str">
        <f aca="false">IF(A1314="","",TEXT(A1314,"mmm"))</f>
        <v/>
      </c>
      <c r="V1314" s="37" t="str">
        <f aca="false">IF(Q1314="","",IFERROR(INDEX(Settings!$I$11:$I$15,MATCH(Q1314,Settings!$H$11:$H$15,0)),"No"))</f>
        <v/>
      </c>
      <c r="W1314" s="37" t="str">
        <f aca="false">IF(Q1314="","",IFERROR(INDEX(Settings!$J$11:$J$15,MATCH(Q1314,Settings!$H$11:$H$15,0)),"No"))</f>
        <v/>
      </c>
    </row>
    <row r="1315" customFormat="false" ht="15" hidden="false" customHeight="false" outlineLevel="0" collapsed="false">
      <c r="A1315" s="30"/>
      <c r="B1315" s="25"/>
      <c r="C1315" s="25"/>
      <c r="D1315" s="25"/>
      <c r="E1315" s="25"/>
      <c r="F1315" s="25"/>
      <c r="G1315" s="25"/>
      <c r="H1315" s="31"/>
      <c r="I1315" s="32"/>
      <c r="J1315" s="33"/>
      <c r="K1315" s="34" t="str">
        <f aca="false">IF(OR(H1315="",I1315=""),"",H1315*I1315*(1-N(J1315)))</f>
        <v/>
      </c>
      <c r="L1315" s="32"/>
      <c r="M1315" s="34" t="str">
        <f aca="false">IF(OR(H1315="",L1315=""),"",H1315*L1315)</f>
        <v/>
      </c>
      <c r="N1315" s="34" t="str">
        <f aca="false">IF(OR(K1315="",M1315=""),"",K1315-M1315)</f>
        <v/>
      </c>
      <c r="O1315" s="35" t="str">
        <f aca="false">IF(OR(N1315="",K1315=""),"",IF(K1315=0,"",N1315/K1315))</f>
        <v/>
      </c>
      <c r="P1315" s="25"/>
      <c r="Q1315" s="25"/>
      <c r="R1315" s="25"/>
      <c r="S1315" s="36" t="str">
        <f aca="false">IF(A1315="","",YEAR(A1315)+IF(AND(FYStart&gt;1,MONTH(A1315)&gt;=FYStart),1,0))</f>
        <v/>
      </c>
      <c r="T1315" s="36" t="str">
        <f aca="false">IF(A1315="","",MOD(MONTH(A1315)-FYStart,12)+1)</f>
        <v/>
      </c>
      <c r="U1315" s="37" t="str">
        <f aca="false">IF(A1315="","",TEXT(A1315,"mmm"))</f>
        <v/>
      </c>
      <c r="V1315" s="37" t="str">
        <f aca="false">IF(Q1315="","",IFERROR(INDEX(Settings!$I$11:$I$15,MATCH(Q1315,Settings!$H$11:$H$15,0)),"No"))</f>
        <v/>
      </c>
      <c r="W1315" s="37" t="str">
        <f aca="false">IF(Q1315="","",IFERROR(INDEX(Settings!$J$11:$J$15,MATCH(Q1315,Settings!$H$11:$H$15,0)),"No"))</f>
        <v/>
      </c>
    </row>
    <row r="1316" customFormat="false" ht="15" hidden="false" customHeight="false" outlineLevel="0" collapsed="false">
      <c r="A1316" s="30"/>
      <c r="B1316" s="25"/>
      <c r="C1316" s="25"/>
      <c r="D1316" s="25"/>
      <c r="E1316" s="25"/>
      <c r="F1316" s="25"/>
      <c r="G1316" s="25"/>
      <c r="H1316" s="31"/>
      <c r="I1316" s="32"/>
      <c r="J1316" s="33"/>
      <c r="K1316" s="34" t="str">
        <f aca="false">IF(OR(H1316="",I1316=""),"",H1316*I1316*(1-N(J1316)))</f>
        <v/>
      </c>
      <c r="L1316" s="32"/>
      <c r="M1316" s="34" t="str">
        <f aca="false">IF(OR(H1316="",L1316=""),"",H1316*L1316)</f>
        <v/>
      </c>
      <c r="N1316" s="34" t="str">
        <f aca="false">IF(OR(K1316="",M1316=""),"",K1316-M1316)</f>
        <v/>
      </c>
      <c r="O1316" s="35" t="str">
        <f aca="false">IF(OR(N1316="",K1316=""),"",IF(K1316=0,"",N1316/K1316))</f>
        <v/>
      </c>
      <c r="P1316" s="25"/>
      <c r="Q1316" s="25"/>
      <c r="R1316" s="25"/>
      <c r="S1316" s="36" t="str">
        <f aca="false">IF(A1316="","",YEAR(A1316)+IF(AND(FYStart&gt;1,MONTH(A1316)&gt;=FYStart),1,0))</f>
        <v/>
      </c>
      <c r="T1316" s="36" t="str">
        <f aca="false">IF(A1316="","",MOD(MONTH(A1316)-FYStart,12)+1)</f>
        <v/>
      </c>
      <c r="U1316" s="37" t="str">
        <f aca="false">IF(A1316="","",TEXT(A1316,"mmm"))</f>
        <v/>
      </c>
      <c r="V1316" s="37" t="str">
        <f aca="false">IF(Q1316="","",IFERROR(INDEX(Settings!$I$11:$I$15,MATCH(Q1316,Settings!$H$11:$H$15,0)),"No"))</f>
        <v/>
      </c>
      <c r="W1316" s="37" t="str">
        <f aca="false">IF(Q1316="","",IFERROR(INDEX(Settings!$J$11:$J$15,MATCH(Q1316,Settings!$H$11:$H$15,0)),"No"))</f>
        <v/>
      </c>
    </row>
    <row r="1317" customFormat="false" ht="15" hidden="false" customHeight="false" outlineLevel="0" collapsed="false">
      <c r="A1317" s="30"/>
      <c r="B1317" s="25"/>
      <c r="C1317" s="25"/>
      <c r="D1317" s="25"/>
      <c r="E1317" s="25"/>
      <c r="F1317" s="25"/>
      <c r="G1317" s="25"/>
      <c r="H1317" s="31"/>
      <c r="I1317" s="32"/>
      <c r="J1317" s="33"/>
      <c r="K1317" s="34" t="str">
        <f aca="false">IF(OR(H1317="",I1317=""),"",H1317*I1317*(1-N(J1317)))</f>
        <v/>
      </c>
      <c r="L1317" s="32"/>
      <c r="M1317" s="34" t="str">
        <f aca="false">IF(OR(H1317="",L1317=""),"",H1317*L1317)</f>
        <v/>
      </c>
      <c r="N1317" s="34" t="str">
        <f aca="false">IF(OR(K1317="",M1317=""),"",K1317-M1317)</f>
        <v/>
      </c>
      <c r="O1317" s="35" t="str">
        <f aca="false">IF(OR(N1317="",K1317=""),"",IF(K1317=0,"",N1317/K1317))</f>
        <v/>
      </c>
      <c r="P1317" s="25"/>
      <c r="Q1317" s="25"/>
      <c r="R1317" s="25"/>
      <c r="S1317" s="36" t="str">
        <f aca="false">IF(A1317="","",YEAR(A1317)+IF(AND(FYStart&gt;1,MONTH(A1317)&gt;=FYStart),1,0))</f>
        <v/>
      </c>
      <c r="T1317" s="36" t="str">
        <f aca="false">IF(A1317="","",MOD(MONTH(A1317)-FYStart,12)+1)</f>
        <v/>
      </c>
      <c r="U1317" s="37" t="str">
        <f aca="false">IF(A1317="","",TEXT(A1317,"mmm"))</f>
        <v/>
      </c>
      <c r="V1317" s="37" t="str">
        <f aca="false">IF(Q1317="","",IFERROR(INDEX(Settings!$I$11:$I$15,MATCH(Q1317,Settings!$H$11:$H$15,0)),"No"))</f>
        <v/>
      </c>
      <c r="W1317" s="37" t="str">
        <f aca="false">IF(Q1317="","",IFERROR(INDEX(Settings!$J$11:$J$15,MATCH(Q1317,Settings!$H$11:$H$15,0)),"No"))</f>
        <v/>
      </c>
    </row>
    <row r="1318" customFormat="false" ht="15" hidden="false" customHeight="false" outlineLevel="0" collapsed="false">
      <c r="A1318" s="30"/>
      <c r="B1318" s="25"/>
      <c r="C1318" s="25"/>
      <c r="D1318" s="25"/>
      <c r="E1318" s="25"/>
      <c r="F1318" s="25"/>
      <c r="G1318" s="25"/>
      <c r="H1318" s="31"/>
      <c r="I1318" s="32"/>
      <c r="J1318" s="33"/>
      <c r="K1318" s="34" t="str">
        <f aca="false">IF(OR(H1318="",I1318=""),"",H1318*I1318*(1-N(J1318)))</f>
        <v/>
      </c>
      <c r="L1318" s="32"/>
      <c r="M1318" s="34" t="str">
        <f aca="false">IF(OR(H1318="",L1318=""),"",H1318*L1318)</f>
        <v/>
      </c>
      <c r="N1318" s="34" t="str">
        <f aca="false">IF(OR(K1318="",M1318=""),"",K1318-M1318)</f>
        <v/>
      </c>
      <c r="O1318" s="35" t="str">
        <f aca="false">IF(OR(N1318="",K1318=""),"",IF(K1318=0,"",N1318/K1318))</f>
        <v/>
      </c>
      <c r="P1318" s="25"/>
      <c r="Q1318" s="25"/>
      <c r="R1318" s="25"/>
      <c r="S1318" s="36" t="str">
        <f aca="false">IF(A1318="","",YEAR(A1318)+IF(AND(FYStart&gt;1,MONTH(A1318)&gt;=FYStart),1,0))</f>
        <v/>
      </c>
      <c r="T1318" s="36" t="str">
        <f aca="false">IF(A1318="","",MOD(MONTH(A1318)-FYStart,12)+1)</f>
        <v/>
      </c>
      <c r="U1318" s="37" t="str">
        <f aca="false">IF(A1318="","",TEXT(A1318,"mmm"))</f>
        <v/>
      </c>
      <c r="V1318" s="37" t="str">
        <f aca="false">IF(Q1318="","",IFERROR(INDEX(Settings!$I$11:$I$15,MATCH(Q1318,Settings!$H$11:$H$15,0)),"No"))</f>
        <v/>
      </c>
      <c r="W1318" s="37" t="str">
        <f aca="false">IF(Q1318="","",IFERROR(INDEX(Settings!$J$11:$J$15,MATCH(Q1318,Settings!$H$11:$H$15,0)),"No"))</f>
        <v/>
      </c>
    </row>
    <row r="1319" customFormat="false" ht="15" hidden="false" customHeight="false" outlineLevel="0" collapsed="false">
      <c r="A1319" s="30"/>
      <c r="B1319" s="25"/>
      <c r="C1319" s="25"/>
      <c r="D1319" s="25"/>
      <c r="E1319" s="25"/>
      <c r="F1319" s="25"/>
      <c r="G1319" s="25"/>
      <c r="H1319" s="31"/>
      <c r="I1319" s="32"/>
      <c r="J1319" s="33"/>
      <c r="K1319" s="34" t="str">
        <f aca="false">IF(OR(H1319="",I1319=""),"",H1319*I1319*(1-N(J1319)))</f>
        <v/>
      </c>
      <c r="L1319" s="32"/>
      <c r="M1319" s="34" t="str">
        <f aca="false">IF(OR(H1319="",L1319=""),"",H1319*L1319)</f>
        <v/>
      </c>
      <c r="N1319" s="34" t="str">
        <f aca="false">IF(OR(K1319="",M1319=""),"",K1319-M1319)</f>
        <v/>
      </c>
      <c r="O1319" s="35" t="str">
        <f aca="false">IF(OR(N1319="",K1319=""),"",IF(K1319=0,"",N1319/K1319))</f>
        <v/>
      </c>
      <c r="P1319" s="25"/>
      <c r="Q1319" s="25"/>
      <c r="R1319" s="25"/>
      <c r="S1319" s="36" t="str">
        <f aca="false">IF(A1319="","",YEAR(A1319)+IF(AND(FYStart&gt;1,MONTH(A1319)&gt;=FYStart),1,0))</f>
        <v/>
      </c>
      <c r="T1319" s="36" t="str">
        <f aca="false">IF(A1319="","",MOD(MONTH(A1319)-FYStart,12)+1)</f>
        <v/>
      </c>
      <c r="U1319" s="37" t="str">
        <f aca="false">IF(A1319="","",TEXT(A1319,"mmm"))</f>
        <v/>
      </c>
      <c r="V1319" s="37" t="str">
        <f aca="false">IF(Q1319="","",IFERROR(INDEX(Settings!$I$11:$I$15,MATCH(Q1319,Settings!$H$11:$H$15,0)),"No"))</f>
        <v/>
      </c>
      <c r="W1319" s="37" t="str">
        <f aca="false">IF(Q1319="","",IFERROR(INDEX(Settings!$J$11:$J$15,MATCH(Q1319,Settings!$H$11:$H$15,0)),"No"))</f>
        <v/>
      </c>
    </row>
    <row r="1320" customFormat="false" ht="15" hidden="false" customHeight="false" outlineLevel="0" collapsed="false">
      <c r="A1320" s="30"/>
      <c r="B1320" s="25"/>
      <c r="C1320" s="25"/>
      <c r="D1320" s="25"/>
      <c r="E1320" s="25"/>
      <c r="F1320" s="25"/>
      <c r="G1320" s="25"/>
      <c r="H1320" s="31"/>
      <c r="I1320" s="32"/>
      <c r="J1320" s="33"/>
      <c r="K1320" s="34" t="str">
        <f aca="false">IF(OR(H1320="",I1320=""),"",H1320*I1320*(1-N(J1320)))</f>
        <v/>
      </c>
      <c r="L1320" s="32"/>
      <c r="M1320" s="34" t="str">
        <f aca="false">IF(OR(H1320="",L1320=""),"",H1320*L1320)</f>
        <v/>
      </c>
      <c r="N1320" s="34" t="str">
        <f aca="false">IF(OR(K1320="",M1320=""),"",K1320-M1320)</f>
        <v/>
      </c>
      <c r="O1320" s="35" t="str">
        <f aca="false">IF(OR(N1320="",K1320=""),"",IF(K1320=0,"",N1320/K1320))</f>
        <v/>
      </c>
      <c r="P1320" s="25"/>
      <c r="Q1320" s="25"/>
      <c r="R1320" s="25"/>
      <c r="S1320" s="36" t="str">
        <f aca="false">IF(A1320="","",YEAR(A1320)+IF(AND(FYStart&gt;1,MONTH(A1320)&gt;=FYStart),1,0))</f>
        <v/>
      </c>
      <c r="T1320" s="36" t="str">
        <f aca="false">IF(A1320="","",MOD(MONTH(A1320)-FYStart,12)+1)</f>
        <v/>
      </c>
      <c r="U1320" s="37" t="str">
        <f aca="false">IF(A1320="","",TEXT(A1320,"mmm"))</f>
        <v/>
      </c>
      <c r="V1320" s="37" t="str">
        <f aca="false">IF(Q1320="","",IFERROR(INDEX(Settings!$I$11:$I$15,MATCH(Q1320,Settings!$H$11:$H$15,0)),"No"))</f>
        <v/>
      </c>
      <c r="W1320" s="37" t="str">
        <f aca="false">IF(Q1320="","",IFERROR(INDEX(Settings!$J$11:$J$15,MATCH(Q1320,Settings!$H$11:$H$15,0)),"No"))</f>
        <v/>
      </c>
    </row>
    <row r="1321" customFormat="false" ht="15" hidden="false" customHeight="false" outlineLevel="0" collapsed="false">
      <c r="A1321" s="30"/>
      <c r="B1321" s="25"/>
      <c r="C1321" s="25"/>
      <c r="D1321" s="25"/>
      <c r="E1321" s="25"/>
      <c r="F1321" s="25"/>
      <c r="G1321" s="25"/>
      <c r="H1321" s="31"/>
      <c r="I1321" s="32"/>
      <c r="J1321" s="33"/>
      <c r="K1321" s="34" t="str">
        <f aca="false">IF(OR(H1321="",I1321=""),"",H1321*I1321*(1-N(J1321)))</f>
        <v/>
      </c>
      <c r="L1321" s="32"/>
      <c r="M1321" s="34" t="str">
        <f aca="false">IF(OR(H1321="",L1321=""),"",H1321*L1321)</f>
        <v/>
      </c>
      <c r="N1321" s="34" t="str">
        <f aca="false">IF(OR(K1321="",M1321=""),"",K1321-M1321)</f>
        <v/>
      </c>
      <c r="O1321" s="35" t="str">
        <f aca="false">IF(OR(N1321="",K1321=""),"",IF(K1321=0,"",N1321/K1321))</f>
        <v/>
      </c>
      <c r="P1321" s="25"/>
      <c r="Q1321" s="25"/>
      <c r="R1321" s="25"/>
      <c r="S1321" s="36" t="str">
        <f aca="false">IF(A1321="","",YEAR(A1321)+IF(AND(FYStart&gt;1,MONTH(A1321)&gt;=FYStart),1,0))</f>
        <v/>
      </c>
      <c r="T1321" s="36" t="str">
        <f aca="false">IF(A1321="","",MOD(MONTH(A1321)-FYStart,12)+1)</f>
        <v/>
      </c>
      <c r="U1321" s="37" t="str">
        <f aca="false">IF(A1321="","",TEXT(A1321,"mmm"))</f>
        <v/>
      </c>
      <c r="V1321" s="37" t="str">
        <f aca="false">IF(Q1321="","",IFERROR(INDEX(Settings!$I$11:$I$15,MATCH(Q1321,Settings!$H$11:$H$15,0)),"No"))</f>
        <v/>
      </c>
      <c r="W1321" s="37" t="str">
        <f aca="false">IF(Q1321="","",IFERROR(INDEX(Settings!$J$11:$J$15,MATCH(Q1321,Settings!$H$11:$H$15,0)),"No"))</f>
        <v/>
      </c>
    </row>
    <row r="1322" customFormat="false" ht="15" hidden="false" customHeight="false" outlineLevel="0" collapsed="false">
      <c r="A1322" s="30"/>
      <c r="B1322" s="25"/>
      <c r="C1322" s="25"/>
      <c r="D1322" s="25"/>
      <c r="E1322" s="25"/>
      <c r="F1322" s="25"/>
      <c r="G1322" s="25"/>
      <c r="H1322" s="31"/>
      <c r="I1322" s="32"/>
      <c r="J1322" s="33"/>
      <c r="K1322" s="34" t="str">
        <f aca="false">IF(OR(H1322="",I1322=""),"",H1322*I1322*(1-N(J1322)))</f>
        <v/>
      </c>
      <c r="L1322" s="32"/>
      <c r="M1322" s="34" t="str">
        <f aca="false">IF(OR(H1322="",L1322=""),"",H1322*L1322)</f>
        <v/>
      </c>
      <c r="N1322" s="34" t="str">
        <f aca="false">IF(OR(K1322="",M1322=""),"",K1322-M1322)</f>
        <v/>
      </c>
      <c r="O1322" s="35" t="str">
        <f aca="false">IF(OR(N1322="",K1322=""),"",IF(K1322=0,"",N1322/K1322))</f>
        <v/>
      </c>
      <c r="P1322" s="25"/>
      <c r="Q1322" s="25"/>
      <c r="R1322" s="25"/>
      <c r="S1322" s="36" t="str">
        <f aca="false">IF(A1322="","",YEAR(A1322)+IF(AND(FYStart&gt;1,MONTH(A1322)&gt;=FYStart),1,0))</f>
        <v/>
      </c>
      <c r="T1322" s="36" t="str">
        <f aca="false">IF(A1322="","",MOD(MONTH(A1322)-FYStart,12)+1)</f>
        <v/>
      </c>
      <c r="U1322" s="37" t="str">
        <f aca="false">IF(A1322="","",TEXT(A1322,"mmm"))</f>
        <v/>
      </c>
      <c r="V1322" s="37" t="str">
        <f aca="false">IF(Q1322="","",IFERROR(INDEX(Settings!$I$11:$I$15,MATCH(Q1322,Settings!$H$11:$H$15,0)),"No"))</f>
        <v/>
      </c>
      <c r="W1322" s="37" t="str">
        <f aca="false">IF(Q1322="","",IFERROR(INDEX(Settings!$J$11:$J$15,MATCH(Q1322,Settings!$H$11:$H$15,0)),"No"))</f>
        <v/>
      </c>
    </row>
    <row r="1323" customFormat="false" ht="15" hidden="false" customHeight="false" outlineLevel="0" collapsed="false">
      <c r="A1323" s="30"/>
      <c r="B1323" s="25"/>
      <c r="C1323" s="25"/>
      <c r="D1323" s="25"/>
      <c r="E1323" s="25"/>
      <c r="F1323" s="25"/>
      <c r="G1323" s="25"/>
      <c r="H1323" s="31"/>
      <c r="I1323" s="32"/>
      <c r="J1323" s="33"/>
      <c r="K1323" s="34" t="str">
        <f aca="false">IF(OR(H1323="",I1323=""),"",H1323*I1323*(1-N(J1323)))</f>
        <v/>
      </c>
      <c r="L1323" s="32"/>
      <c r="M1323" s="34" t="str">
        <f aca="false">IF(OR(H1323="",L1323=""),"",H1323*L1323)</f>
        <v/>
      </c>
      <c r="N1323" s="34" t="str">
        <f aca="false">IF(OR(K1323="",M1323=""),"",K1323-M1323)</f>
        <v/>
      </c>
      <c r="O1323" s="35" t="str">
        <f aca="false">IF(OR(N1323="",K1323=""),"",IF(K1323=0,"",N1323/K1323))</f>
        <v/>
      </c>
      <c r="P1323" s="25"/>
      <c r="Q1323" s="25"/>
      <c r="R1323" s="25"/>
      <c r="S1323" s="36" t="str">
        <f aca="false">IF(A1323="","",YEAR(A1323)+IF(AND(FYStart&gt;1,MONTH(A1323)&gt;=FYStart),1,0))</f>
        <v/>
      </c>
      <c r="T1323" s="36" t="str">
        <f aca="false">IF(A1323="","",MOD(MONTH(A1323)-FYStart,12)+1)</f>
        <v/>
      </c>
      <c r="U1323" s="37" t="str">
        <f aca="false">IF(A1323="","",TEXT(A1323,"mmm"))</f>
        <v/>
      </c>
      <c r="V1323" s="37" t="str">
        <f aca="false">IF(Q1323="","",IFERROR(INDEX(Settings!$I$11:$I$15,MATCH(Q1323,Settings!$H$11:$H$15,0)),"No"))</f>
        <v/>
      </c>
      <c r="W1323" s="37" t="str">
        <f aca="false">IF(Q1323="","",IFERROR(INDEX(Settings!$J$11:$J$15,MATCH(Q1323,Settings!$H$11:$H$15,0)),"No"))</f>
        <v/>
      </c>
    </row>
    <row r="1324" customFormat="false" ht="15" hidden="false" customHeight="false" outlineLevel="0" collapsed="false">
      <c r="A1324" s="30"/>
      <c r="B1324" s="25"/>
      <c r="C1324" s="25"/>
      <c r="D1324" s="25"/>
      <c r="E1324" s="25"/>
      <c r="F1324" s="25"/>
      <c r="G1324" s="25"/>
      <c r="H1324" s="31"/>
      <c r="I1324" s="32"/>
      <c r="J1324" s="33"/>
      <c r="K1324" s="34" t="str">
        <f aca="false">IF(OR(H1324="",I1324=""),"",H1324*I1324*(1-N(J1324)))</f>
        <v/>
      </c>
      <c r="L1324" s="32"/>
      <c r="M1324" s="34" t="str">
        <f aca="false">IF(OR(H1324="",L1324=""),"",H1324*L1324)</f>
        <v/>
      </c>
      <c r="N1324" s="34" t="str">
        <f aca="false">IF(OR(K1324="",M1324=""),"",K1324-M1324)</f>
        <v/>
      </c>
      <c r="O1324" s="35" t="str">
        <f aca="false">IF(OR(N1324="",K1324=""),"",IF(K1324=0,"",N1324/K1324))</f>
        <v/>
      </c>
      <c r="P1324" s="25"/>
      <c r="Q1324" s="25"/>
      <c r="R1324" s="25"/>
      <c r="S1324" s="36" t="str">
        <f aca="false">IF(A1324="","",YEAR(A1324)+IF(AND(FYStart&gt;1,MONTH(A1324)&gt;=FYStart),1,0))</f>
        <v/>
      </c>
      <c r="T1324" s="36" t="str">
        <f aca="false">IF(A1324="","",MOD(MONTH(A1324)-FYStart,12)+1)</f>
        <v/>
      </c>
      <c r="U1324" s="37" t="str">
        <f aca="false">IF(A1324="","",TEXT(A1324,"mmm"))</f>
        <v/>
      </c>
      <c r="V1324" s="37" t="str">
        <f aca="false">IF(Q1324="","",IFERROR(INDEX(Settings!$I$11:$I$15,MATCH(Q1324,Settings!$H$11:$H$15,0)),"No"))</f>
        <v/>
      </c>
      <c r="W1324" s="37" t="str">
        <f aca="false">IF(Q1324="","",IFERROR(INDEX(Settings!$J$11:$J$15,MATCH(Q1324,Settings!$H$11:$H$15,0)),"No"))</f>
        <v/>
      </c>
    </row>
    <row r="1325" customFormat="false" ht="15" hidden="false" customHeight="false" outlineLevel="0" collapsed="false">
      <c r="A1325" s="30"/>
      <c r="B1325" s="25"/>
      <c r="C1325" s="25"/>
      <c r="D1325" s="25"/>
      <c r="E1325" s="25"/>
      <c r="F1325" s="25"/>
      <c r="G1325" s="25"/>
      <c r="H1325" s="31"/>
      <c r="I1325" s="32"/>
      <c r="J1325" s="33"/>
      <c r="K1325" s="34" t="str">
        <f aca="false">IF(OR(H1325="",I1325=""),"",H1325*I1325*(1-N(J1325)))</f>
        <v/>
      </c>
      <c r="L1325" s="32"/>
      <c r="M1325" s="34" t="str">
        <f aca="false">IF(OR(H1325="",L1325=""),"",H1325*L1325)</f>
        <v/>
      </c>
      <c r="N1325" s="34" t="str">
        <f aca="false">IF(OR(K1325="",M1325=""),"",K1325-M1325)</f>
        <v/>
      </c>
      <c r="O1325" s="35" t="str">
        <f aca="false">IF(OR(N1325="",K1325=""),"",IF(K1325=0,"",N1325/K1325))</f>
        <v/>
      </c>
      <c r="P1325" s="25"/>
      <c r="Q1325" s="25"/>
      <c r="R1325" s="25"/>
      <c r="S1325" s="36" t="str">
        <f aca="false">IF(A1325="","",YEAR(A1325)+IF(AND(FYStart&gt;1,MONTH(A1325)&gt;=FYStart),1,0))</f>
        <v/>
      </c>
      <c r="T1325" s="36" t="str">
        <f aca="false">IF(A1325="","",MOD(MONTH(A1325)-FYStart,12)+1)</f>
        <v/>
      </c>
      <c r="U1325" s="37" t="str">
        <f aca="false">IF(A1325="","",TEXT(A1325,"mmm"))</f>
        <v/>
      </c>
      <c r="V1325" s="37" t="str">
        <f aca="false">IF(Q1325="","",IFERROR(INDEX(Settings!$I$11:$I$15,MATCH(Q1325,Settings!$H$11:$H$15,0)),"No"))</f>
        <v/>
      </c>
      <c r="W1325" s="37" t="str">
        <f aca="false">IF(Q1325="","",IFERROR(INDEX(Settings!$J$11:$J$15,MATCH(Q1325,Settings!$H$11:$H$15,0)),"No"))</f>
        <v/>
      </c>
    </row>
    <row r="1326" customFormat="false" ht="15" hidden="false" customHeight="false" outlineLevel="0" collapsed="false">
      <c r="A1326" s="30"/>
      <c r="B1326" s="25"/>
      <c r="C1326" s="25"/>
      <c r="D1326" s="25"/>
      <c r="E1326" s="25"/>
      <c r="F1326" s="25"/>
      <c r="G1326" s="25"/>
      <c r="H1326" s="31"/>
      <c r="I1326" s="32"/>
      <c r="J1326" s="33"/>
      <c r="K1326" s="34" t="str">
        <f aca="false">IF(OR(H1326="",I1326=""),"",H1326*I1326*(1-N(J1326)))</f>
        <v/>
      </c>
      <c r="L1326" s="32"/>
      <c r="M1326" s="34" t="str">
        <f aca="false">IF(OR(H1326="",L1326=""),"",H1326*L1326)</f>
        <v/>
      </c>
      <c r="N1326" s="34" t="str">
        <f aca="false">IF(OR(K1326="",M1326=""),"",K1326-M1326)</f>
        <v/>
      </c>
      <c r="O1326" s="35" t="str">
        <f aca="false">IF(OR(N1326="",K1326=""),"",IF(K1326=0,"",N1326/K1326))</f>
        <v/>
      </c>
      <c r="P1326" s="25"/>
      <c r="Q1326" s="25"/>
      <c r="R1326" s="25"/>
      <c r="S1326" s="36" t="str">
        <f aca="false">IF(A1326="","",YEAR(A1326)+IF(AND(FYStart&gt;1,MONTH(A1326)&gt;=FYStart),1,0))</f>
        <v/>
      </c>
      <c r="T1326" s="36" t="str">
        <f aca="false">IF(A1326="","",MOD(MONTH(A1326)-FYStart,12)+1)</f>
        <v/>
      </c>
      <c r="U1326" s="37" t="str">
        <f aca="false">IF(A1326="","",TEXT(A1326,"mmm"))</f>
        <v/>
      </c>
      <c r="V1326" s="37" t="str">
        <f aca="false">IF(Q1326="","",IFERROR(INDEX(Settings!$I$11:$I$15,MATCH(Q1326,Settings!$H$11:$H$15,0)),"No"))</f>
        <v/>
      </c>
      <c r="W1326" s="37" t="str">
        <f aca="false">IF(Q1326="","",IFERROR(INDEX(Settings!$J$11:$J$15,MATCH(Q1326,Settings!$H$11:$H$15,0)),"No"))</f>
        <v/>
      </c>
    </row>
    <row r="1327" customFormat="false" ht="15" hidden="false" customHeight="false" outlineLevel="0" collapsed="false">
      <c r="A1327" s="30"/>
      <c r="B1327" s="25"/>
      <c r="C1327" s="25"/>
      <c r="D1327" s="25"/>
      <c r="E1327" s="25"/>
      <c r="F1327" s="25"/>
      <c r="G1327" s="25"/>
      <c r="H1327" s="31"/>
      <c r="I1327" s="32"/>
      <c r="J1327" s="33"/>
      <c r="K1327" s="34" t="str">
        <f aca="false">IF(OR(H1327="",I1327=""),"",H1327*I1327*(1-N(J1327)))</f>
        <v/>
      </c>
      <c r="L1327" s="32"/>
      <c r="M1327" s="34" t="str">
        <f aca="false">IF(OR(H1327="",L1327=""),"",H1327*L1327)</f>
        <v/>
      </c>
      <c r="N1327" s="34" t="str">
        <f aca="false">IF(OR(K1327="",M1327=""),"",K1327-M1327)</f>
        <v/>
      </c>
      <c r="O1327" s="35" t="str">
        <f aca="false">IF(OR(N1327="",K1327=""),"",IF(K1327=0,"",N1327/K1327))</f>
        <v/>
      </c>
      <c r="P1327" s="25"/>
      <c r="Q1327" s="25"/>
      <c r="R1327" s="25"/>
      <c r="S1327" s="36" t="str">
        <f aca="false">IF(A1327="","",YEAR(A1327)+IF(AND(FYStart&gt;1,MONTH(A1327)&gt;=FYStart),1,0))</f>
        <v/>
      </c>
      <c r="T1327" s="36" t="str">
        <f aca="false">IF(A1327="","",MOD(MONTH(A1327)-FYStart,12)+1)</f>
        <v/>
      </c>
      <c r="U1327" s="37" t="str">
        <f aca="false">IF(A1327="","",TEXT(A1327,"mmm"))</f>
        <v/>
      </c>
      <c r="V1327" s="37" t="str">
        <f aca="false">IF(Q1327="","",IFERROR(INDEX(Settings!$I$11:$I$15,MATCH(Q1327,Settings!$H$11:$H$15,0)),"No"))</f>
        <v/>
      </c>
      <c r="W1327" s="37" t="str">
        <f aca="false">IF(Q1327="","",IFERROR(INDEX(Settings!$J$11:$J$15,MATCH(Q1327,Settings!$H$11:$H$15,0)),"No"))</f>
        <v/>
      </c>
    </row>
    <row r="1328" customFormat="false" ht="15" hidden="false" customHeight="false" outlineLevel="0" collapsed="false">
      <c r="A1328" s="30"/>
      <c r="B1328" s="25"/>
      <c r="C1328" s="25"/>
      <c r="D1328" s="25"/>
      <c r="E1328" s="25"/>
      <c r="F1328" s="25"/>
      <c r="G1328" s="25"/>
      <c r="H1328" s="31"/>
      <c r="I1328" s="32"/>
      <c r="J1328" s="33"/>
      <c r="K1328" s="34" t="str">
        <f aca="false">IF(OR(H1328="",I1328=""),"",H1328*I1328*(1-N(J1328)))</f>
        <v/>
      </c>
      <c r="L1328" s="32"/>
      <c r="M1328" s="34" t="str">
        <f aca="false">IF(OR(H1328="",L1328=""),"",H1328*L1328)</f>
        <v/>
      </c>
      <c r="N1328" s="34" t="str">
        <f aca="false">IF(OR(K1328="",M1328=""),"",K1328-M1328)</f>
        <v/>
      </c>
      <c r="O1328" s="35" t="str">
        <f aca="false">IF(OR(N1328="",K1328=""),"",IF(K1328=0,"",N1328/K1328))</f>
        <v/>
      </c>
      <c r="P1328" s="25"/>
      <c r="Q1328" s="25"/>
      <c r="R1328" s="25"/>
      <c r="S1328" s="36" t="str">
        <f aca="false">IF(A1328="","",YEAR(A1328)+IF(AND(FYStart&gt;1,MONTH(A1328)&gt;=FYStart),1,0))</f>
        <v/>
      </c>
      <c r="T1328" s="36" t="str">
        <f aca="false">IF(A1328="","",MOD(MONTH(A1328)-FYStart,12)+1)</f>
        <v/>
      </c>
      <c r="U1328" s="37" t="str">
        <f aca="false">IF(A1328="","",TEXT(A1328,"mmm"))</f>
        <v/>
      </c>
      <c r="V1328" s="37" t="str">
        <f aca="false">IF(Q1328="","",IFERROR(INDEX(Settings!$I$11:$I$15,MATCH(Q1328,Settings!$H$11:$H$15,0)),"No"))</f>
        <v/>
      </c>
      <c r="W1328" s="37" t="str">
        <f aca="false">IF(Q1328="","",IFERROR(INDEX(Settings!$J$11:$J$15,MATCH(Q1328,Settings!$H$11:$H$15,0)),"No"))</f>
        <v/>
      </c>
    </row>
    <row r="1329" customFormat="false" ht="15" hidden="false" customHeight="false" outlineLevel="0" collapsed="false">
      <c r="A1329" s="30"/>
      <c r="B1329" s="25"/>
      <c r="C1329" s="25"/>
      <c r="D1329" s="25"/>
      <c r="E1329" s="25"/>
      <c r="F1329" s="25"/>
      <c r="G1329" s="25"/>
      <c r="H1329" s="31"/>
      <c r="I1329" s="32"/>
      <c r="J1329" s="33"/>
      <c r="K1329" s="34" t="str">
        <f aca="false">IF(OR(H1329="",I1329=""),"",H1329*I1329*(1-N(J1329)))</f>
        <v/>
      </c>
      <c r="L1329" s="32"/>
      <c r="M1329" s="34" t="str">
        <f aca="false">IF(OR(H1329="",L1329=""),"",H1329*L1329)</f>
        <v/>
      </c>
      <c r="N1329" s="34" t="str">
        <f aca="false">IF(OR(K1329="",M1329=""),"",K1329-M1329)</f>
        <v/>
      </c>
      <c r="O1329" s="35" t="str">
        <f aca="false">IF(OR(N1329="",K1329=""),"",IF(K1329=0,"",N1329/K1329))</f>
        <v/>
      </c>
      <c r="P1329" s="25"/>
      <c r="Q1329" s="25"/>
      <c r="R1329" s="25"/>
      <c r="S1329" s="36" t="str">
        <f aca="false">IF(A1329="","",YEAR(A1329)+IF(AND(FYStart&gt;1,MONTH(A1329)&gt;=FYStart),1,0))</f>
        <v/>
      </c>
      <c r="T1329" s="36" t="str">
        <f aca="false">IF(A1329="","",MOD(MONTH(A1329)-FYStart,12)+1)</f>
        <v/>
      </c>
      <c r="U1329" s="37" t="str">
        <f aca="false">IF(A1329="","",TEXT(A1329,"mmm"))</f>
        <v/>
      </c>
      <c r="V1329" s="37" t="str">
        <f aca="false">IF(Q1329="","",IFERROR(INDEX(Settings!$I$11:$I$15,MATCH(Q1329,Settings!$H$11:$H$15,0)),"No"))</f>
        <v/>
      </c>
      <c r="W1329" s="37" t="str">
        <f aca="false">IF(Q1329="","",IFERROR(INDEX(Settings!$J$11:$J$15,MATCH(Q1329,Settings!$H$11:$H$15,0)),"No"))</f>
        <v/>
      </c>
    </row>
    <row r="1330" customFormat="false" ht="15" hidden="false" customHeight="false" outlineLevel="0" collapsed="false">
      <c r="A1330" s="30"/>
      <c r="B1330" s="25"/>
      <c r="C1330" s="25"/>
      <c r="D1330" s="25"/>
      <c r="E1330" s="25"/>
      <c r="F1330" s="25"/>
      <c r="G1330" s="25"/>
      <c r="H1330" s="31"/>
      <c r="I1330" s="32"/>
      <c r="J1330" s="33"/>
      <c r="K1330" s="34" t="str">
        <f aca="false">IF(OR(H1330="",I1330=""),"",H1330*I1330*(1-N(J1330)))</f>
        <v/>
      </c>
      <c r="L1330" s="32"/>
      <c r="M1330" s="34" t="str">
        <f aca="false">IF(OR(H1330="",L1330=""),"",H1330*L1330)</f>
        <v/>
      </c>
      <c r="N1330" s="34" t="str">
        <f aca="false">IF(OR(K1330="",M1330=""),"",K1330-M1330)</f>
        <v/>
      </c>
      <c r="O1330" s="35" t="str">
        <f aca="false">IF(OR(N1330="",K1330=""),"",IF(K1330=0,"",N1330/K1330))</f>
        <v/>
      </c>
      <c r="P1330" s="25"/>
      <c r="Q1330" s="25"/>
      <c r="R1330" s="25"/>
      <c r="S1330" s="36" t="str">
        <f aca="false">IF(A1330="","",YEAR(A1330)+IF(AND(FYStart&gt;1,MONTH(A1330)&gt;=FYStart),1,0))</f>
        <v/>
      </c>
      <c r="T1330" s="36" t="str">
        <f aca="false">IF(A1330="","",MOD(MONTH(A1330)-FYStart,12)+1)</f>
        <v/>
      </c>
      <c r="U1330" s="37" t="str">
        <f aca="false">IF(A1330="","",TEXT(A1330,"mmm"))</f>
        <v/>
      </c>
      <c r="V1330" s="37" t="str">
        <f aca="false">IF(Q1330="","",IFERROR(INDEX(Settings!$I$11:$I$15,MATCH(Q1330,Settings!$H$11:$H$15,0)),"No"))</f>
        <v/>
      </c>
      <c r="W1330" s="37" t="str">
        <f aca="false">IF(Q1330="","",IFERROR(INDEX(Settings!$J$11:$J$15,MATCH(Q1330,Settings!$H$11:$H$15,0)),"No"))</f>
        <v/>
      </c>
    </row>
    <row r="1331" customFormat="false" ht="15" hidden="false" customHeight="false" outlineLevel="0" collapsed="false">
      <c r="A1331" s="30"/>
      <c r="B1331" s="25"/>
      <c r="C1331" s="25"/>
      <c r="D1331" s="25"/>
      <c r="E1331" s="25"/>
      <c r="F1331" s="25"/>
      <c r="G1331" s="25"/>
      <c r="H1331" s="31"/>
      <c r="I1331" s="32"/>
      <c r="J1331" s="33"/>
      <c r="K1331" s="34" t="str">
        <f aca="false">IF(OR(H1331="",I1331=""),"",H1331*I1331*(1-N(J1331)))</f>
        <v/>
      </c>
      <c r="L1331" s="32"/>
      <c r="M1331" s="34" t="str">
        <f aca="false">IF(OR(H1331="",L1331=""),"",H1331*L1331)</f>
        <v/>
      </c>
      <c r="N1331" s="34" t="str">
        <f aca="false">IF(OR(K1331="",M1331=""),"",K1331-M1331)</f>
        <v/>
      </c>
      <c r="O1331" s="35" t="str">
        <f aca="false">IF(OR(N1331="",K1331=""),"",IF(K1331=0,"",N1331/K1331))</f>
        <v/>
      </c>
      <c r="P1331" s="25"/>
      <c r="Q1331" s="25"/>
      <c r="R1331" s="25"/>
      <c r="S1331" s="36" t="str">
        <f aca="false">IF(A1331="","",YEAR(A1331)+IF(AND(FYStart&gt;1,MONTH(A1331)&gt;=FYStart),1,0))</f>
        <v/>
      </c>
      <c r="T1331" s="36" t="str">
        <f aca="false">IF(A1331="","",MOD(MONTH(A1331)-FYStart,12)+1)</f>
        <v/>
      </c>
      <c r="U1331" s="37" t="str">
        <f aca="false">IF(A1331="","",TEXT(A1331,"mmm"))</f>
        <v/>
      </c>
      <c r="V1331" s="37" t="str">
        <f aca="false">IF(Q1331="","",IFERROR(INDEX(Settings!$I$11:$I$15,MATCH(Q1331,Settings!$H$11:$H$15,0)),"No"))</f>
        <v/>
      </c>
      <c r="W1331" s="37" t="str">
        <f aca="false">IF(Q1331="","",IFERROR(INDEX(Settings!$J$11:$J$15,MATCH(Q1331,Settings!$H$11:$H$15,0)),"No"))</f>
        <v/>
      </c>
    </row>
    <row r="1332" customFormat="false" ht="15" hidden="false" customHeight="false" outlineLevel="0" collapsed="false">
      <c r="A1332" s="30"/>
      <c r="B1332" s="25"/>
      <c r="C1332" s="25"/>
      <c r="D1332" s="25"/>
      <c r="E1332" s="25"/>
      <c r="F1332" s="25"/>
      <c r="G1332" s="25"/>
      <c r="H1332" s="31"/>
      <c r="I1332" s="32"/>
      <c r="J1332" s="33"/>
      <c r="K1332" s="34" t="str">
        <f aca="false">IF(OR(H1332="",I1332=""),"",H1332*I1332*(1-N(J1332)))</f>
        <v/>
      </c>
      <c r="L1332" s="32"/>
      <c r="M1332" s="34" t="str">
        <f aca="false">IF(OR(H1332="",L1332=""),"",H1332*L1332)</f>
        <v/>
      </c>
      <c r="N1332" s="34" t="str">
        <f aca="false">IF(OR(K1332="",M1332=""),"",K1332-M1332)</f>
        <v/>
      </c>
      <c r="O1332" s="35" t="str">
        <f aca="false">IF(OR(N1332="",K1332=""),"",IF(K1332=0,"",N1332/K1332))</f>
        <v/>
      </c>
      <c r="P1332" s="25"/>
      <c r="Q1332" s="25"/>
      <c r="R1332" s="25"/>
      <c r="S1332" s="36" t="str">
        <f aca="false">IF(A1332="","",YEAR(A1332)+IF(AND(FYStart&gt;1,MONTH(A1332)&gt;=FYStart),1,0))</f>
        <v/>
      </c>
      <c r="T1332" s="36" t="str">
        <f aca="false">IF(A1332="","",MOD(MONTH(A1332)-FYStart,12)+1)</f>
        <v/>
      </c>
      <c r="U1332" s="37" t="str">
        <f aca="false">IF(A1332="","",TEXT(A1332,"mmm"))</f>
        <v/>
      </c>
      <c r="V1332" s="37" t="str">
        <f aca="false">IF(Q1332="","",IFERROR(INDEX(Settings!$I$11:$I$15,MATCH(Q1332,Settings!$H$11:$H$15,0)),"No"))</f>
        <v/>
      </c>
      <c r="W1332" s="37" t="str">
        <f aca="false">IF(Q1332="","",IFERROR(INDEX(Settings!$J$11:$J$15,MATCH(Q1332,Settings!$H$11:$H$15,0)),"No"))</f>
        <v/>
      </c>
    </row>
    <row r="1333" customFormat="false" ht="15" hidden="false" customHeight="false" outlineLevel="0" collapsed="false">
      <c r="A1333" s="30"/>
      <c r="B1333" s="25"/>
      <c r="C1333" s="25"/>
      <c r="D1333" s="25"/>
      <c r="E1333" s="25"/>
      <c r="F1333" s="25"/>
      <c r="G1333" s="25"/>
      <c r="H1333" s="31"/>
      <c r="I1333" s="32"/>
      <c r="J1333" s="33"/>
      <c r="K1333" s="34" t="str">
        <f aca="false">IF(OR(H1333="",I1333=""),"",H1333*I1333*(1-N(J1333)))</f>
        <v/>
      </c>
      <c r="L1333" s="32"/>
      <c r="M1333" s="34" t="str">
        <f aca="false">IF(OR(H1333="",L1333=""),"",H1333*L1333)</f>
        <v/>
      </c>
      <c r="N1333" s="34" t="str">
        <f aca="false">IF(OR(K1333="",M1333=""),"",K1333-M1333)</f>
        <v/>
      </c>
      <c r="O1333" s="35" t="str">
        <f aca="false">IF(OR(N1333="",K1333=""),"",IF(K1333=0,"",N1333/K1333))</f>
        <v/>
      </c>
      <c r="P1333" s="25"/>
      <c r="Q1333" s="25"/>
      <c r="R1333" s="25"/>
      <c r="S1333" s="36" t="str">
        <f aca="false">IF(A1333="","",YEAR(A1333)+IF(AND(FYStart&gt;1,MONTH(A1333)&gt;=FYStart),1,0))</f>
        <v/>
      </c>
      <c r="T1333" s="36" t="str">
        <f aca="false">IF(A1333="","",MOD(MONTH(A1333)-FYStart,12)+1)</f>
        <v/>
      </c>
      <c r="U1333" s="37" t="str">
        <f aca="false">IF(A1333="","",TEXT(A1333,"mmm"))</f>
        <v/>
      </c>
      <c r="V1333" s="37" t="str">
        <f aca="false">IF(Q1333="","",IFERROR(INDEX(Settings!$I$11:$I$15,MATCH(Q1333,Settings!$H$11:$H$15,0)),"No"))</f>
        <v/>
      </c>
      <c r="W1333" s="37" t="str">
        <f aca="false">IF(Q1333="","",IFERROR(INDEX(Settings!$J$11:$J$15,MATCH(Q1333,Settings!$H$11:$H$15,0)),"No"))</f>
        <v/>
      </c>
    </row>
    <row r="1334" customFormat="false" ht="15" hidden="false" customHeight="false" outlineLevel="0" collapsed="false">
      <c r="A1334" s="30"/>
      <c r="B1334" s="25"/>
      <c r="C1334" s="25"/>
      <c r="D1334" s="25"/>
      <c r="E1334" s="25"/>
      <c r="F1334" s="25"/>
      <c r="G1334" s="25"/>
      <c r="H1334" s="31"/>
      <c r="I1334" s="32"/>
      <c r="J1334" s="33"/>
      <c r="K1334" s="34" t="str">
        <f aca="false">IF(OR(H1334="",I1334=""),"",H1334*I1334*(1-N(J1334)))</f>
        <v/>
      </c>
      <c r="L1334" s="32"/>
      <c r="M1334" s="34" t="str">
        <f aca="false">IF(OR(H1334="",L1334=""),"",H1334*L1334)</f>
        <v/>
      </c>
      <c r="N1334" s="34" t="str">
        <f aca="false">IF(OR(K1334="",M1334=""),"",K1334-M1334)</f>
        <v/>
      </c>
      <c r="O1334" s="35" t="str">
        <f aca="false">IF(OR(N1334="",K1334=""),"",IF(K1334=0,"",N1334/K1334))</f>
        <v/>
      </c>
      <c r="P1334" s="25"/>
      <c r="Q1334" s="25"/>
      <c r="R1334" s="25"/>
      <c r="S1334" s="36" t="str">
        <f aca="false">IF(A1334="","",YEAR(A1334)+IF(AND(FYStart&gt;1,MONTH(A1334)&gt;=FYStart),1,0))</f>
        <v/>
      </c>
      <c r="T1334" s="36" t="str">
        <f aca="false">IF(A1334="","",MOD(MONTH(A1334)-FYStart,12)+1)</f>
        <v/>
      </c>
      <c r="U1334" s="37" t="str">
        <f aca="false">IF(A1334="","",TEXT(A1334,"mmm"))</f>
        <v/>
      </c>
      <c r="V1334" s="37" t="str">
        <f aca="false">IF(Q1334="","",IFERROR(INDEX(Settings!$I$11:$I$15,MATCH(Q1334,Settings!$H$11:$H$15,0)),"No"))</f>
        <v/>
      </c>
      <c r="W1334" s="37" t="str">
        <f aca="false">IF(Q1334="","",IFERROR(INDEX(Settings!$J$11:$J$15,MATCH(Q1334,Settings!$H$11:$H$15,0)),"No"))</f>
        <v/>
      </c>
    </row>
    <row r="1335" customFormat="false" ht="15" hidden="false" customHeight="false" outlineLevel="0" collapsed="false">
      <c r="A1335" s="30"/>
      <c r="B1335" s="25"/>
      <c r="C1335" s="25"/>
      <c r="D1335" s="25"/>
      <c r="E1335" s="25"/>
      <c r="F1335" s="25"/>
      <c r="G1335" s="25"/>
      <c r="H1335" s="31"/>
      <c r="I1335" s="32"/>
      <c r="J1335" s="33"/>
      <c r="K1335" s="34" t="str">
        <f aca="false">IF(OR(H1335="",I1335=""),"",H1335*I1335*(1-N(J1335)))</f>
        <v/>
      </c>
      <c r="L1335" s="32"/>
      <c r="M1335" s="34" t="str">
        <f aca="false">IF(OR(H1335="",L1335=""),"",H1335*L1335)</f>
        <v/>
      </c>
      <c r="N1335" s="34" t="str">
        <f aca="false">IF(OR(K1335="",M1335=""),"",K1335-M1335)</f>
        <v/>
      </c>
      <c r="O1335" s="35" t="str">
        <f aca="false">IF(OR(N1335="",K1335=""),"",IF(K1335=0,"",N1335/K1335))</f>
        <v/>
      </c>
      <c r="P1335" s="25"/>
      <c r="Q1335" s="25"/>
      <c r="R1335" s="25"/>
      <c r="S1335" s="36" t="str">
        <f aca="false">IF(A1335="","",YEAR(A1335)+IF(AND(FYStart&gt;1,MONTH(A1335)&gt;=FYStart),1,0))</f>
        <v/>
      </c>
      <c r="T1335" s="36" t="str">
        <f aca="false">IF(A1335="","",MOD(MONTH(A1335)-FYStart,12)+1)</f>
        <v/>
      </c>
      <c r="U1335" s="37" t="str">
        <f aca="false">IF(A1335="","",TEXT(A1335,"mmm"))</f>
        <v/>
      </c>
      <c r="V1335" s="37" t="str">
        <f aca="false">IF(Q1335="","",IFERROR(INDEX(Settings!$I$11:$I$15,MATCH(Q1335,Settings!$H$11:$H$15,0)),"No"))</f>
        <v/>
      </c>
      <c r="W1335" s="37" t="str">
        <f aca="false">IF(Q1335="","",IFERROR(INDEX(Settings!$J$11:$J$15,MATCH(Q1335,Settings!$H$11:$H$15,0)),"No"))</f>
        <v/>
      </c>
    </row>
    <row r="1336" customFormat="false" ht="15" hidden="false" customHeight="false" outlineLevel="0" collapsed="false">
      <c r="A1336" s="30"/>
      <c r="B1336" s="25"/>
      <c r="C1336" s="25"/>
      <c r="D1336" s="25"/>
      <c r="E1336" s="25"/>
      <c r="F1336" s="25"/>
      <c r="G1336" s="25"/>
      <c r="H1336" s="31"/>
      <c r="I1336" s="32"/>
      <c r="J1336" s="33"/>
      <c r="K1336" s="34" t="str">
        <f aca="false">IF(OR(H1336="",I1336=""),"",H1336*I1336*(1-N(J1336)))</f>
        <v/>
      </c>
      <c r="L1336" s="32"/>
      <c r="M1336" s="34" t="str">
        <f aca="false">IF(OR(H1336="",L1336=""),"",H1336*L1336)</f>
        <v/>
      </c>
      <c r="N1336" s="34" t="str">
        <f aca="false">IF(OR(K1336="",M1336=""),"",K1336-M1336)</f>
        <v/>
      </c>
      <c r="O1336" s="35" t="str">
        <f aca="false">IF(OR(N1336="",K1336=""),"",IF(K1336=0,"",N1336/K1336))</f>
        <v/>
      </c>
      <c r="P1336" s="25"/>
      <c r="Q1336" s="25"/>
      <c r="R1336" s="25"/>
      <c r="S1336" s="36" t="str">
        <f aca="false">IF(A1336="","",YEAR(A1336)+IF(AND(FYStart&gt;1,MONTH(A1336)&gt;=FYStart),1,0))</f>
        <v/>
      </c>
      <c r="T1336" s="36" t="str">
        <f aca="false">IF(A1336="","",MOD(MONTH(A1336)-FYStart,12)+1)</f>
        <v/>
      </c>
      <c r="U1336" s="37" t="str">
        <f aca="false">IF(A1336="","",TEXT(A1336,"mmm"))</f>
        <v/>
      </c>
      <c r="V1336" s="37" t="str">
        <f aca="false">IF(Q1336="","",IFERROR(INDEX(Settings!$I$11:$I$15,MATCH(Q1336,Settings!$H$11:$H$15,0)),"No"))</f>
        <v/>
      </c>
      <c r="W1336" s="37" t="str">
        <f aca="false">IF(Q1336="","",IFERROR(INDEX(Settings!$J$11:$J$15,MATCH(Q1336,Settings!$H$11:$H$15,0)),"No"))</f>
        <v/>
      </c>
    </row>
    <row r="1337" customFormat="false" ht="15" hidden="false" customHeight="false" outlineLevel="0" collapsed="false">
      <c r="A1337" s="30"/>
      <c r="B1337" s="25"/>
      <c r="C1337" s="25"/>
      <c r="D1337" s="25"/>
      <c r="E1337" s="25"/>
      <c r="F1337" s="25"/>
      <c r="G1337" s="25"/>
      <c r="H1337" s="31"/>
      <c r="I1337" s="32"/>
      <c r="J1337" s="33"/>
      <c r="K1337" s="34" t="str">
        <f aca="false">IF(OR(H1337="",I1337=""),"",H1337*I1337*(1-N(J1337)))</f>
        <v/>
      </c>
      <c r="L1337" s="32"/>
      <c r="M1337" s="34" t="str">
        <f aca="false">IF(OR(H1337="",L1337=""),"",H1337*L1337)</f>
        <v/>
      </c>
      <c r="N1337" s="34" t="str">
        <f aca="false">IF(OR(K1337="",M1337=""),"",K1337-M1337)</f>
        <v/>
      </c>
      <c r="O1337" s="35" t="str">
        <f aca="false">IF(OR(N1337="",K1337=""),"",IF(K1337=0,"",N1337/K1337))</f>
        <v/>
      </c>
      <c r="P1337" s="25"/>
      <c r="Q1337" s="25"/>
      <c r="R1337" s="25"/>
      <c r="S1337" s="36" t="str">
        <f aca="false">IF(A1337="","",YEAR(A1337)+IF(AND(FYStart&gt;1,MONTH(A1337)&gt;=FYStart),1,0))</f>
        <v/>
      </c>
      <c r="T1337" s="36" t="str">
        <f aca="false">IF(A1337="","",MOD(MONTH(A1337)-FYStart,12)+1)</f>
        <v/>
      </c>
      <c r="U1337" s="37" t="str">
        <f aca="false">IF(A1337="","",TEXT(A1337,"mmm"))</f>
        <v/>
      </c>
      <c r="V1337" s="37" t="str">
        <f aca="false">IF(Q1337="","",IFERROR(INDEX(Settings!$I$11:$I$15,MATCH(Q1337,Settings!$H$11:$H$15,0)),"No"))</f>
        <v/>
      </c>
      <c r="W1337" s="37" t="str">
        <f aca="false">IF(Q1337="","",IFERROR(INDEX(Settings!$J$11:$J$15,MATCH(Q1337,Settings!$H$11:$H$15,0)),"No"))</f>
        <v/>
      </c>
    </row>
    <row r="1338" customFormat="false" ht="15" hidden="false" customHeight="false" outlineLevel="0" collapsed="false">
      <c r="A1338" s="30"/>
      <c r="B1338" s="25"/>
      <c r="C1338" s="25"/>
      <c r="D1338" s="25"/>
      <c r="E1338" s="25"/>
      <c r="F1338" s="25"/>
      <c r="G1338" s="25"/>
      <c r="H1338" s="31"/>
      <c r="I1338" s="32"/>
      <c r="J1338" s="33"/>
      <c r="K1338" s="34" t="str">
        <f aca="false">IF(OR(H1338="",I1338=""),"",H1338*I1338*(1-N(J1338)))</f>
        <v/>
      </c>
      <c r="L1338" s="32"/>
      <c r="M1338" s="34" t="str">
        <f aca="false">IF(OR(H1338="",L1338=""),"",H1338*L1338)</f>
        <v/>
      </c>
      <c r="N1338" s="34" t="str">
        <f aca="false">IF(OR(K1338="",M1338=""),"",K1338-M1338)</f>
        <v/>
      </c>
      <c r="O1338" s="35" t="str">
        <f aca="false">IF(OR(N1338="",K1338=""),"",IF(K1338=0,"",N1338/K1338))</f>
        <v/>
      </c>
      <c r="P1338" s="25"/>
      <c r="Q1338" s="25"/>
      <c r="R1338" s="25"/>
      <c r="S1338" s="36" t="str">
        <f aca="false">IF(A1338="","",YEAR(A1338)+IF(AND(FYStart&gt;1,MONTH(A1338)&gt;=FYStart),1,0))</f>
        <v/>
      </c>
      <c r="T1338" s="36" t="str">
        <f aca="false">IF(A1338="","",MOD(MONTH(A1338)-FYStart,12)+1)</f>
        <v/>
      </c>
      <c r="U1338" s="37" t="str">
        <f aca="false">IF(A1338="","",TEXT(A1338,"mmm"))</f>
        <v/>
      </c>
      <c r="V1338" s="37" t="str">
        <f aca="false">IF(Q1338="","",IFERROR(INDEX(Settings!$I$11:$I$15,MATCH(Q1338,Settings!$H$11:$H$15,0)),"No"))</f>
        <v/>
      </c>
      <c r="W1338" s="37" t="str">
        <f aca="false">IF(Q1338="","",IFERROR(INDEX(Settings!$J$11:$J$15,MATCH(Q1338,Settings!$H$11:$H$15,0)),"No"))</f>
        <v/>
      </c>
    </row>
    <row r="1339" customFormat="false" ht="15" hidden="false" customHeight="false" outlineLevel="0" collapsed="false">
      <c r="A1339" s="30"/>
      <c r="B1339" s="25"/>
      <c r="C1339" s="25"/>
      <c r="D1339" s="25"/>
      <c r="E1339" s="25"/>
      <c r="F1339" s="25"/>
      <c r="G1339" s="25"/>
      <c r="H1339" s="31"/>
      <c r="I1339" s="32"/>
      <c r="J1339" s="33"/>
      <c r="K1339" s="34" t="str">
        <f aca="false">IF(OR(H1339="",I1339=""),"",H1339*I1339*(1-N(J1339)))</f>
        <v/>
      </c>
      <c r="L1339" s="32"/>
      <c r="M1339" s="34" t="str">
        <f aca="false">IF(OR(H1339="",L1339=""),"",H1339*L1339)</f>
        <v/>
      </c>
      <c r="N1339" s="34" t="str">
        <f aca="false">IF(OR(K1339="",M1339=""),"",K1339-M1339)</f>
        <v/>
      </c>
      <c r="O1339" s="35" t="str">
        <f aca="false">IF(OR(N1339="",K1339=""),"",IF(K1339=0,"",N1339/K1339))</f>
        <v/>
      </c>
      <c r="P1339" s="25"/>
      <c r="Q1339" s="25"/>
      <c r="R1339" s="25"/>
      <c r="S1339" s="36" t="str">
        <f aca="false">IF(A1339="","",YEAR(A1339)+IF(AND(FYStart&gt;1,MONTH(A1339)&gt;=FYStart),1,0))</f>
        <v/>
      </c>
      <c r="T1339" s="36" t="str">
        <f aca="false">IF(A1339="","",MOD(MONTH(A1339)-FYStart,12)+1)</f>
        <v/>
      </c>
      <c r="U1339" s="37" t="str">
        <f aca="false">IF(A1339="","",TEXT(A1339,"mmm"))</f>
        <v/>
      </c>
      <c r="V1339" s="37" t="str">
        <f aca="false">IF(Q1339="","",IFERROR(INDEX(Settings!$I$11:$I$15,MATCH(Q1339,Settings!$H$11:$H$15,0)),"No"))</f>
        <v/>
      </c>
      <c r="W1339" s="37" t="str">
        <f aca="false">IF(Q1339="","",IFERROR(INDEX(Settings!$J$11:$J$15,MATCH(Q1339,Settings!$H$11:$H$15,0)),"No"))</f>
        <v/>
      </c>
    </row>
    <row r="1340" customFormat="false" ht="15" hidden="false" customHeight="false" outlineLevel="0" collapsed="false">
      <c r="A1340" s="30"/>
      <c r="B1340" s="25"/>
      <c r="C1340" s="25"/>
      <c r="D1340" s="25"/>
      <c r="E1340" s="25"/>
      <c r="F1340" s="25"/>
      <c r="G1340" s="25"/>
      <c r="H1340" s="31"/>
      <c r="I1340" s="32"/>
      <c r="J1340" s="33"/>
      <c r="K1340" s="34" t="str">
        <f aca="false">IF(OR(H1340="",I1340=""),"",H1340*I1340*(1-N(J1340)))</f>
        <v/>
      </c>
      <c r="L1340" s="32"/>
      <c r="M1340" s="34" t="str">
        <f aca="false">IF(OR(H1340="",L1340=""),"",H1340*L1340)</f>
        <v/>
      </c>
      <c r="N1340" s="34" t="str">
        <f aca="false">IF(OR(K1340="",M1340=""),"",K1340-M1340)</f>
        <v/>
      </c>
      <c r="O1340" s="35" t="str">
        <f aca="false">IF(OR(N1340="",K1340=""),"",IF(K1340=0,"",N1340/K1340))</f>
        <v/>
      </c>
      <c r="P1340" s="25"/>
      <c r="Q1340" s="25"/>
      <c r="R1340" s="25"/>
      <c r="S1340" s="36" t="str">
        <f aca="false">IF(A1340="","",YEAR(A1340)+IF(AND(FYStart&gt;1,MONTH(A1340)&gt;=FYStart),1,0))</f>
        <v/>
      </c>
      <c r="T1340" s="36" t="str">
        <f aca="false">IF(A1340="","",MOD(MONTH(A1340)-FYStart,12)+1)</f>
        <v/>
      </c>
      <c r="U1340" s="37" t="str">
        <f aca="false">IF(A1340="","",TEXT(A1340,"mmm"))</f>
        <v/>
      </c>
      <c r="V1340" s="37" t="str">
        <f aca="false">IF(Q1340="","",IFERROR(INDEX(Settings!$I$11:$I$15,MATCH(Q1340,Settings!$H$11:$H$15,0)),"No"))</f>
        <v/>
      </c>
      <c r="W1340" s="37" t="str">
        <f aca="false">IF(Q1340="","",IFERROR(INDEX(Settings!$J$11:$J$15,MATCH(Q1340,Settings!$H$11:$H$15,0)),"No"))</f>
        <v/>
      </c>
    </row>
    <row r="1341" customFormat="false" ht="15" hidden="false" customHeight="false" outlineLevel="0" collapsed="false">
      <c r="A1341" s="30"/>
      <c r="B1341" s="25"/>
      <c r="C1341" s="25"/>
      <c r="D1341" s="25"/>
      <c r="E1341" s="25"/>
      <c r="F1341" s="25"/>
      <c r="G1341" s="25"/>
      <c r="H1341" s="31"/>
      <c r="I1341" s="32"/>
      <c r="J1341" s="33"/>
      <c r="K1341" s="34" t="str">
        <f aca="false">IF(OR(H1341="",I1341=""),"",H1341*I1341*(1-N(J1341)))</f>
        <v/>
      </c>
      <c r="L1341" s="32"/>
      <c r="M1341" s="34" t="str">
        <f aca="false">IF(OR(H1341="",L1341=""),"",H1341*L1341)</f>
        <v/>
      </c>
      <c r="N1341" s="34" t="str">
        <f aca="false">IF(OR(K1341="",M1341=""),"",K1341-M1341)</f>
        <v/>
      </c>
      <c r="O1341" s="35" t="str">
        <f aca="false">IF(OR(N1341="",K1341=""),"",IF(K1341=0,"",N1341/K1341))</f>
        <v/>
      </c>
      <c r="P1341" s="25"/>
      <c r="Q1341" s="25"/>
      <c r="R1341" s="25"/>
      <c r="S1341" s="36" t="str">
        <f aca="false">IF(A1341="","",YEAR(A1341)+IF(AND(FYStart&gt;1,MONTH(A1341)&gt;=FYStart),1,0))</f>
        <v/>
      </c>
      <c r="T1341" s="36" t="str">
        <f aca="false">IF(A1341="","",MOD(MONTH(A1341)-FYStart,12)+1)</f>
        <v/>
      </c>
      <c r="U1341" s="37" t="str">
        <f aca="false">IF(A1341="","",TEXT(A1341,"mmm"))</f>
        <v/>
      </c>
      <c r="V1341" s="37" t="str">
        <f aca="false">IF(Q1341="","",IFERROR(INDEX(Settings!$I$11:$I$15,MATCH(Q1341,Settings!$H$11:$H$15,0)),"No"))</f>
        <v/>
      </c>
      <c r="W1341" s="37" t="str">
        <f aca="false">IF(Q1341="","",IFERROR(INDEX(Settings!$J$11:$J$15,MATCH(Q1341,Settings!$H$11:$H$15,0)),"No"))</f>
        <v/>
      </c>
    </row>
    <row r="1342" customFormat="false" ht="15" hidden="false" customHeight="false" outlineLevel="0" collapsed="false">
      <c r="A1342" s="30"/>
      <c r="B1342" s="25"/>
      <c r="C1342" s="25"/>
      <c r="D1342" s="25"/>
      <c r="E1342" s="25"/>
      <c r="F1342" s="25"/>
      <c r="G1342" s="25"/>
      <c r="H1342" s="31"/>
      <c r="I1342" s="32"/>
      <c r="J1342" s="33"/>
      <c r="K1342" s="34" t="str">
        <f aca="false">IF(OR(H1342="",I1342=""),"",H1342*I1342*(1-N(J1342)))</f>
        <v/>
      </c>
      <c r="L1342" s="32"/>
      <c r="M1342" s="34" t="str">
        <f aca="false">IF(OR(H1342="",L1342=""),"",H1342*L1342)</f>
        <v/>
      </c>
      <c r="N1342" s="34" t="str">
        <f aca="false">IF(OR(K1342="",M1342=""),"",K1342-M1342)</f>
        <v/>
      </c>
      <c r="O1342" s="35" t="str">
        <f aca="false">IF(OR(N1342="",K1342=""),"",IF(K1342=0,"",N1342/K1342))</f>
        <v/>
      </c>
      <c r="P1342" s="25"/>
      <c r="Q1342" s="25"/>
      <c r="R1342" s="25"/>
      <c r="S1342" s="36" t="str">
        <f aca="false">IF(A1342="","",YEAR(A1342)+IF(AND(FYStart&gt;1,MONTH(A1342)&gt;=FYStart),1,0))</f>
        <v/>
      </c>
      <c r="T1342" s="36" t="str">
        <f aca="false">IF(A1342="","",MOD(MONTH(A1342)-FYStart,12)+1)</f>
        <v/>
      </c>
      <c r="U1342" s="37" t="str">
        <f aca="false">IF(A1342="","",TEXT(A1342,"mmm"))</f>
        <v/>
      </c>
      <c r="V1342" s="37" t="str">
        <f aca="false">IF(Q1342="","",IFERROR(INDEX(Settings!$I$11:$I$15,MATCH(Q1342,Settings!$H$11:$H$15,0)),"No"))</f>
        <v/>
      </c>
      <c r="W1342" s="37" t="str">
        <f aca="false">IF(Q1342="","",IFERROR(INDEX(Settings!$J$11:$J$15,MATCH(Q1342,Settings!$H$11:$H$15,0)),"No"))</f>
        <v/>
      </c>
    </row>
    <row r="1343" customFormat="false" ht="15" hidden="false" customHeight="false" outlineLevel="0" collapsed="false">
      <c r="A1343" s="30"/>
      <c r="B1343" s="25"/>
      <c r="C1343" s="25"/>
      <c r="D1343" s="25"/>
      <c r="E1343" s="25"/>
      <c r="F1343" s="25"/>
      <c r="G1343" s="25"/>
      <c r="H1343" s="31"/>
      <c r="I1343" s="32"/>
      <c r="J1343" s="33"/>
      <c r="K1343" s="34" t="str">
        <f aca="false">IF(OR(H1343="",I1343=""),"",H1343*I1343*(1-N(J1343)))</f>
        <v/>
      </c>
      <c r="L1343" s="32"/>
      <c r="M1343" s="34" t="str">
        <f aca="false">IF(OR(H1343="",L1343=""),"",H1343*L1343)</f>
        <v/>
      </c>
      <c r="N1343" s="34" t="str">
        <f aca="false">IF(OR(K1343="",M1343=""),"",K1343-M1343)</f>
        <v/>
      </c>
      <c r="O1343" s="35" t="str">
        <f aca="false">IF(OR(N1343="",K1343=""),"",IF(K1343=0,"",N1343/K1343))</f>
        <v/>
      </c>
      <c r="P1343" s="25"/>
      <c r="Q1343" s="25"/>
      <c r="R1343" s="25"/>
      <c r="S1343" s="36" t="str">
        <f aca="false">IF(A1343="","",YEAR(A1343)+IF(AND(FYStart&gt;1,MONTH(A1343)&gt;=FYStart),1,0))</f>
        <v/>
      </c>
      <c r="T1343" s="36" t="str">
        <f aca="false">IF(A1343="","",MOD(MONTH(A1343)-FYStart,12)+1)</f>
        <v/>
      </c>
      <c r="U1343" s="37" t="str">
        <f aca="false">IF(A1343="","",TEXT(A1343,"mmm"))</f>
        <v/>
      </c>
      <c r="V1343" s="37" t="str">
        <f aca="false">IF(Q1343="","",IFERROR(INDEX(Settings!$I$11:$I$15,MATCH(Q1343,Settings!$H$11:$H$15,0)),"No"))</f>
        <v/>
      </c>
      <c r="W1343" s="37" t="str">
        <f aca="false">IF(Q1343="","",IFERROR(INDEX(Settings!$J$11:$J$15,MATCH(Q1343,Settings!$H$11:$H$15,0)),"No"))</f>
        <v/>
      </c>
    </row>
    <row r="1344" customFormat="false" ht="15" hidden="false" customHeight="false" outlineLevel="0" collapsed="false">
      <c r="A1344" s="30"/>
      <c r="B1344" s="25"/>
      <c r="C1344" s="25"/>
      <c r="D1344" s="25"/>
      <c r="E1344" s="25"/>
      <c r="F1344" s="25"/>
      <c r="G1344" s="25"/>
      <c r="H1344" s="31"/>
      <c r="I1344" s="32"/>
      <c r="J1344" s="33"/>
      <c r="K1344" s="34" t="str">
        <f aca="false">IF(OR(H1344="",I1344=""),"",H1344*I1344*(1-N(J1344)))</f>
        <v/>
      </c>
      <c r="L1344" s="32"/>
      <c r="M1344" s="34" t="str">
        <f aca="false">IF(OR(H1344="",L1344=""),"",H1344*L1344)</f>
        <v/>
      </c>
      <c r="N1344" s="34" t="str">
        <f aca="false">IF(OR(K1344="",M1344=""),"",K1344-M1344)</f>
        <v/>
      </c>
      <c r="O1344" s="35" t="str">
        <f aca="false">IF(OR(N1344="",K1344=""),"",IF(K1344=0,"",N1344/K1344))</f>
        <v/>
      </c>
      <c r="P1344" s="25"/>
      <c r="Q1344" s="25"/>
      <c r="R1344" s="25"/>
      <c r="S1344" s="36" t="str">
        <f aca="false">IF(A1344="","",YEAR(A1344)+IF(AND(FYStart&gt;1,MONTH(A1344)&gt;=FYStart),1,0))</f>
        <v/>
      </c>
      <c r="T1344" s="36" t="str">
        <f aca="false">IF(A1344="","",MOD(MONTH(A1344)-FYStart,12)+1)</f>
        <v/>
      </c>
      <c r="U1344" s="37" t="str">
        <f aca="false">IF(A1344="","",TEXT(A1344,"mmm"))</f>
        <v/>
      </c>
      <c r="V1344" s="37" t="str">
        <f aca="false">IF(Q1344="","",IFERROR(INDEX(Settings!$I$11:$I$15,MATCH(Q1344,Settings!$H$11:$H$15,0)),"No"))</f>
        <v/>
      </c>
      <c r="W1344" s="37" t="str">
        <f aca="false">IF(Q1344="","",IFERROR(INDEX(Settings!$J$11:$J$15,MATCH(Q1344,Settings!$H$11:$H$15,0)),"No"))</f>
        <v/>
      </c>
    </row>
    <row r="1345" customFormat="false" ht="15" hidden="false" customHeight="false" outlineLevel="0" collapsed="false">
      <c r="A1345" s="30"/>
      <c r="B1345" s="25"/>
      <c r="C1345" s="25"/>
      <c r="D1345" s="25"/>
      <c r="E1345" s="25"/>
      <c r="F1345" s="25"/>
      <c r="G1345" s="25"/>
      <c r="H1345" s="31"/>
      <c r="I1345" s="32"/>
      <c r="J1345" s="33"/>
      <c r="K1345" s="34" t="str">
        <f aca="false">IF(OR(H1345="",I1345=""),"",H1345*I1345*(1-N(J1345)))</f>
        <v/>
      </c>
      <c r="L1345" s="32"/>
      <c r="M1345" s="34" t="str">
        <f aca="false">IF(OR(H1345="",L1345=""),"",H1345*L1345)</f>
        <v/>
      </c>
      <c r="N1345" s="34" t="str">
        <f aca="false">IF(OR(K1345="",M1345=""),"",K1345-M1345)</f>
        <v/>
      </c>
      <c r="O1345" s="35" t="str">
        <f aca="false">IF(OR(N1345="",K1345=""),"",IF(K1345=0,"",N1345/K1345))</f>
        <v/>
      </c>
      <c r="P1345" s="25"/>
      <c r="Q1345" s="25"/>
      <c r="R1345" s="25"/>
      <c r="S1345" s="36" t="str">
        <f aca="false">IF(A1345="","",YEAR(A1345)+IF(AND(FYStart&gt;1,MONTH(A1345)&gt;=FYStart),1,0))</f>
        <v/>
      </c>
      <c r="T1345" s="36" t="str">
        <f aca="false">IF(A1345="","",MOD(MONTH(A1345)-FYStart,12)+1)</f>
        <v/>
      </c>
      <c r="U1345" s="37" t="str">
        <f aca="false">IF(A1345="","",TEXT(A1345,"mmm"))</f>
        <v/>
      </c>
      <c r="V1345" s="37" t="str">
        <f aca="false">IF(Q1345="","",IFERROR(INDEX(Settings!$I$11:$I$15,MATCH(Q1345,Settings!$H$11:$H$15,0)),"No"))</f>
        <v/>
      </c>
      <c r="W1345" s="37" t="str">
        <f aca="false">IF(Q1345="","",IFERROR(INDEX(Settings!$J$11:$J$15,MATCH(Q1345,Settings!$H$11:$H$15,0)),"No"))</f>
        <v/>
      </c>
    </row>
    <row r="1346" customFormat="false" ht="15" hidden="false" customHeight="false" outlineLevel="0" collapsed="false">
      <c r="A1346" s="30"/>
      <c r="B1346" s="25"/>
      <c r="C1346" s="25"/>
      <c r="D1346" s="25"/>
      <c r="E1346" s="25"/>
      <c r="F1346" s="25"/>
      <c r="G1346" s="25"/>
      <c r="H1346" s="31"/>
      <c r="I1346" s="32"/>
      <c r="J1346" s="33"/>
      <c r="K1346" s="34" t="str">
        <f aca="false">IF(OR(H1346="",I1346=""),"",H1346*I1346*(1-N(J1346)))</f>
        <v/>
      </c>
      <c r="L1346" s="32"/>
      <c r="M1346" s="34" t="str">
        <f aca="false">IF(OR(H1346="",L1346=""),"",H1346*L1346)</f>
        <v/>
      </c>
      <c r="N1346" s="34" t="str">
        <f aca="false">IF(OR(K1346="",M1346=""),"",K1346-M1346)</f>
        <v/>
      </c>
      <c r="O1346" s="35" t="str">
        <f aca="false">IF(OR(N1346="",K1346=""),"",IF(K1346=0,"",N1346/K1346))</f>
        <v/>
      </c>
      <c r="P1346" s="25"/>
      <c r="Q1346" s="25"/>
      <c r="R1346" s="25"/>
      <c r="S1346" s="36" t="str">
        <f aca="false">IF(A1346="","",YEAR(A1346)+IF(AND(FYStart&gt;1,MONTH(A1346)&gt;=FYStart),1,0))</f>
        <v/>
      </c>
      <c r="T1346" s="36" t="str">
        <f aca="false">IF(A1346="","",MOD(MONTH(A1346)-FYStart,12)+1)</f>
        <v/>
      </c>
      <c r="U1346" s="37" t="str">
        <f aca="false">IF(A1346="","",TEXT(A1346,"mmm"))</f>
        <v/>
      </c>
      <c r="V1346" s="37" t="str">
        <f aca="false">IF(Q1346="","",IFERROR(INDEX(Settings!$I$11:$I$15,MATCH(Q1346,Settings!$H$11:$H$15,0)),"No"))</f>
        <v/>
      </c>
      <c r="W1346" s="37" t="str">
        <f aca="false">IF(Q1346="","",IFERROR(INDEX(Settings!$J$11:$J$15,MATCH(Q1346,Settings!$H$11:$H$15,0)),"No"))</f>
        <v/>
      </c>
    </row>
    <row r="1347" customFormat="false" ht="15" hidden="false" customHeight="false" outlineLevel="0" collapsed="false">
      <c r="A1347" s="30"/>
      <c r="B1347" s="25"/>
      <c r="C1347" s="25"/>
      <c r="D1347" s="25"/>
      <c r="E1347" s="25"/>
      <c r="F1347" s="25"/>
      <c r="G1347" s="25"/>
      <c r="H1347" s="31"/>
      <c r="I1347" s="32"/>
      <c r="J1347" s="33"/>
      <c r="K1347" s="34" t="str">
        <f aca="false">IF(OR(H1347="",I1347=""),"",H1347*I1347*(1-N(J1347)))</f>
        <v/>
      </c>
      <c r="L1347" s="32"/>
      <c r="M1347" s="34" t="str">
        <f aca="false">IF(OR(H1347="",L1347=""),"",H1347*L1347)</f>
        <v/>
      </c>
      <c r="N1347" s="34" t="str">
        <f aca="false">IF(OR(K1347="",M1347=""),"",K1347-M1347)</f>
        <v/>
      </c>
      <c r="O1347" s="35" t="str">
        <f aca="false">IF(OR(N1347="",K1347=""),"",IF(K1347=0,"",N1347/K1347))</f>
        <v/>
      </c>
      <c r="P1347" s="25"/>
      <c r="Q1347" s="25"/>
      <c r="R1347" s="25"/>
      <c r="S1347" s="36" t="str">
        <f aca="false">IF(A1347="","",YEAR(A1347)+IF(AND(FYStart&gt;1,MONTH(A1347)&gt;=FYStart),1,0))</f>
        <v/>
      </c>
      <c r="T1347" s="36" t="str">
        <f aca="false">IF(A1347="","",MOD(MONTH(A1347)-FYStart,12)+1)</f>
        <v/>
      </c>
      <c r="U1347" s="37" t="str">
        <f aca="false">IF(A1347="","",TEXT(A1347,"mmm"))</f>
        <v/>
      </c>
      <c r="V1347" s="37" t="str">
        <f aca="false">IF(Q1347="","",IFERROR(INDEX(Settings!$I$11:$I$15,MATCH(Q1347,Settings!$H$11:$H$15,0)),"No"))</f>
        <v/>
      </c>
      <c r="W1347" s="37" t="str">
        <f aca="false">IF(Q1347="","",IFERROR(INDEX(Settings!$J$11:$J$15,MATCH(Q1347,Settings!$H$11:$H$15,0)),"No"))</f>
        <v/>
      </c>
    </row>
    <row r="1348" customFormat="false" ht="15" hidden="false" customHeight="false" outlineLevel="0" collapsed="false">
      <c r="A1348" s="30"/>
      <c r="B1348" s="25"/>
      <c r="C1348" s="25"/>
      <c r="D1348" s="25"/>
      <c r="E1348" s="25"/>
      <c r="F1348" s="25"/>
      <c r="G1348" s="25"/>
      <c r="H1348" s="31"/>
      <c r="I1348" s="32"/>
      <c r="J1348" s="33"/>
      <c r="K1348" s="34" t="str">
        <f aca="false">IF(OR(H1348="",I1348=""),"",H1348*I1348*(1-N(J1348)))</f>
        <v/>
      </c>
      <c r="L1348" s="32"/>
      <c r="M1348" s="34" t="str">
        <f aca="false">IF(OR(H1348="",L1348=""),"",H1348*L1348)</f>
        <v/>
      </c>
      <c r="N1348" s="34" t="str">
        <f aca="false">IF(OR(K1348="",M1348=""),"",K1348-M1348)</f>
        <v/>
      </c>
      <c r="O1348" s="35" t="str">
        <f aca="false">IF(OR(N1348="",K1348=""),"",IF(K1348=0,"",N1348/K1348))</f>
        <v/>
      </c>
      <c r="P1348" s="25"/>
      <c r="Q1348" s="25"/>
      <c r="R1348" s="25"/>
      <c r="S1348" s="36" t="str">
        <f aca="false">IF(A1348="","",YEAR(A1348)+IF(AND(FYStart&gt;1,MONTH(A1348)&gt;=FYStart),1,0))</f>
        <v/>
      </c>
      <c r="T1348" s="36" t="str">
        <f aca="false">IF(A1348="","",MOD(MONTH(A1348)-FYStart,12)+1)</f>
        <v/>
      </c>
      <c r="U1348" s="37" t="str">
        <f aca="false">IF(A1348="","",TEXT(A1348,"mmm"))</f>
        <v/>
      </c>
      <c r="V1348" s="37" t="str">
        <f aca="false">IF(Q1348="","",IFERROR(INDEX(Settings!$I$11:$I$15,MATCH(Q1348,Settings!$H$11:$H$15,0)),"No"))</f>
        <v/>
      </c>
      <c r="W1348" s="37" t="str">
        <f aca="false">IF(Q1348="","",IFERROR(INDEX(Settings!$J$11:$J$15,MATCH(Q1348,Settings!$H$11:$H$15,0)),"No"))</f>
        <v/>
      </c>
    </row>
    <row r="1349" customFormat="false" ht="15" hidden="false" customHeight="false" outlineLevel="0" collapsed="false">
      <c r="A1349" s="30"/>
      <c r="B1349" s="25"/>
      <c r="C1349" s="25"/>
      <c r="D1349" s="25"/>
      <c r="E1349" s="25"/>
      <c r="F1349" s="25"/>
      <c r="G1349" s="25"/>
      <c r="H1349" s="31"/>
      <c r="I1349" s="32"/>
      <c r="J1349" s="33"/>
      <c r="K1349" s="34" t="str">
        <f aca="false">IF(OR(H1349="",I1349=""),"",H1349*I1349*(1-N(J1349)))</f>
        <v/>
      </c>
      <c r="L1349" s="32"/>
      <c r="M1349" s="34" t="str">
        <f aca="false">IF(OR(H1349="",L1349=""),"",H1349*L1349)</f>
        <v/>
      </c>
      <c r="N1349" s="34" t="str">
        <f aca="false">IF(OR(K1349="",M1349=""),"",K1349-M1349)</f>
        <v/>
      </c>
      <c r="O1349" s="35" t="str">
        <f aca="false">IF(OR(N1349="",K1349=""),"",IF(K1349=0,"",N1349/K1349))</f>
        <v/>
      </c>
      <c r="P1349" s="25"/>
      <c r="Q1349" s="25"/>
      <c r="R1349" s="25"/>
      <c r="S1349" s="36" t="str">
        <f aca="false">IF(A1349="","",YEAR(A1349)+IF(AND(FYStart&gt;1,MONTH(A1349)&gt;=FYStart),1,0))</f>
        <v/>
      </c>
      <c r="T1349" s="36" t="str">
        <f aca="false">IF(A1349="","",MOD(MONTH(A1349)-FYStart,12)+1)</f>
        <v/>
      </c>
      <c r="U1349" s="37" t="str">
        <f aca="false">IF(A1349="","",TEXT(A1349,"mmm"))</f>
        <v/>
      </c>
      <c r="V1349" s="37" t="str">
        <f aca="false">IF(Q1349="","",IFERROR(INDEX(Settings!$I$11:$I$15,MATCH(Q1349,Settings!$H$11:$H$15,0)),"No"))</f>
        <v/>
      </c>
      <c r="W1349" s="37" t="str">
        <f aca="false">IF(Q1349="","",IFERROR(INDEX(Settings!$J$11:$J$15,MATCH(Q1349,Settings!$H$11:$H$15,0)),"No"))</f>
        <v/>
      </c>
    </row>
    <row r="1350" customFormat="false" ht="15" hidden="false" customHeight="false" outlineLevel="0" collapsed="false">
      <c r="A1350" s="30"/>
      <c r="B1350" s="25"/>
      <c r="C1350" s="25"/>
      <c r="D1350" s="25"/>
      <c r="E1350" s="25"/>
      <c r="F1350" s="25"/>
      <c r="G1350" s="25"/>
      <c r="H1350" s="31"/>
      <c r="I1350" s="32"/>
      <c r="J1350" s="33"/>
      <c r="K1350" s="34" t="str">
        <f aca="false">IF(OR(H1350="",I1350=""),"",H1350*I1350*(1-N(J1350)))</f>
        <v/>
      </c>
      <c r="L1350" s="32"/>
      <c r="M1350" s="34" t="str">
        <f aca="false">IF(OR(H1350="",L1350=""),"",H1350*L1350)</f>
        <v/>
      </c>
      <c r="N1350" s="34" t="str">
        <f aca="false">IF(OR(K1350="",M1350=""),"",K1350-M1350)</f>
        <v/>
      </c>
      <c r="O1350" s="35" t="str">
        <f aca="false">IF(OR(N1350="",K1350=""),"",IF(K1350=0,"",N1350/K1350))</f>
        <v/>
      </c>
      <c r="P1350" s="25"/>
      <c r="Q1350" s="25"/>
      <c r="R1350" s="25"/>
      <c r="S1350" s="36" t="str">
        <f aca="false">IF(A1350="","",YEAR(A1350)+IF(AND(FYStart&gt;1,MONTH(A1350)&gt;=FYStart),1,0))</f>
        <v/>
      </c>
      <c r="T1350" s="36" t="str">
        <f aca="false">IF(A1350="","",MOD(MONTH(A1350)-FYStart,12)+1)</f>
        <v/>
      </c>
      <c r="U1350" s="37" t="str">
        <f aca="false">IF(A1350="","",TEXT(A1350,"mmm"))</f>
        <v/>
      </c>
      <c r="V1350" s="37" t="str">
        <f aca="false">IF(Q1350="","",IFERROR(INDEX(Settings!$I$11:$I$15,MATCH(Q1350,Settings!$H$11:$H$15,0)),"No"))</f>
        <v/>
      </c>
      <c r="W1350" s="37" t="str">
        <f aca="false">IF(Q1350="","",IFERROR(INDEX(Settings!$J$11:$J$15,MATCH(Q1350,Settings!$H$11:$H$15,0)),"No"))</f>
        <v/>
      </c>
    </row>
    <row r="1351" customFormat="false" ht="15" hidden="false" customHeight="false" outlineLevel="0" collapsed="false">
      <c r="A1351" s="30"/>
      <c r="B1351" s="25"/>
      <c r="C1351" s="25"/>
      <c r="D1351" s="25"/>
      <c r="E1351" s="25"/>
      <c r="F1351" s="25"/>
      <c r="G1351" s="25"/>
      <c r="H1351" s="31"/>
      <c r="I1351" s="32"/>
      <c r="J1351" s="33"/>
      <c r="K1351" s="34" t="str">
        <f aca="false">IF(OR(H1351="",I1351=""),"",H1351*I1351*(1-N(J1351)))</f>
        <v/>
      </c>
      <c r="L1351" s="32"/>
      <c r="M1351" s="34" t="str">
        <f aca="false">IF(OR(H1351="",L1351=""),"",H1351*L1351)</f>
        <v/>
      </c>
      <c r="N1351" s="34" t="str">
        <f aca="false">IF(OR(K1351="",M1351=""),"",K1351-M1351)</f>
        <v/>
      </c>
      <c r="O1351" s="35" t="str">
        <f aca="false">IF(OR(N1351="",K1351=""),"",IF(K1351=0,"",N1351/K1351))</f>
        <v/>
      </c>
      <c r="P1351" s="25"/>
      <c r="Q1351" s="25"/>
      <c r="R1351" s="25"/>
      <c r="S1351" s="36" t="str">
        <f aca="false">IF(A1351="","",YEAR(A1351)+IF(AND(FYStart&gt;1,MONTH(A1351)&gt;=FYStart),1,0))</f>
        <v/>
      </c>
      <c r="T1351" s="36" t="str">
        <f aca="false">IF(A1351="","",MOD(MONTH(A1351)-FYStart,12)+1)</f>
        <v/>
      </c>
      <c r="U1351" s="37" t="str">
        <f aca="false">IF(A1351="","",TEXT(A1351,"mmm"))</f>
        <v/>
      </c>
      <c r="V1351" s="37" t="str">
        <f aca="false">IF(Q1351="","",IFERROR(INDEX(Settings!$I$11:$I$15,MATCH(Q1351,Settings!$H$11:$H$15,0)),"No"))</f>
        <v/>
      </c>
      <c r="W1351" s="37" t="str">
        <f aca="false">IF(Q1351="","",IFERROR(INDEX(Settings!$J$11:$J$15,MATCH(Q1351,Settings!$H$11:$H$15,0)),"No"))</f>
        <v/>
      </c>
    </row>
    <row r="1352" customFormat="false" ht="15" hidden="false" customHeight="false" outlineLevel="0" collapsed="false">
      <c r="A1352" s="30"/>
      <c r="B1352" s="25"/>
      <c r="C1352" s="25"/>
      <c r="D1352" s="25"/>
      <c r="E1352" s="25"/>
      <c r="F1352" s="25"/>
      <c r="G1352" s="25"/>
      <c r="H1352" s="31"/>
      <c r="I1352" s="32"/>
      <c r="J1352" s="33"/>
      <c r="K1352" s="34" t="str">
        <f aca="false">IF(OR(H1352="",I1352=""),"",H1352*I1352*(1-N(J1352)))</f>
        <v/>
      </c>
      <c r="L1352" s="32"/>
      <c r="M1352" s="34" t="str">
        <f aca="false">IF(OR(H1352="",L1352=""),"",H1352*L1352)</f>
        <v/>
      </c>
      <c r="N1352" s="34" t="str">
        <f aca="false">IF(OR(K1352="",M1352=""),"",K1352-M1352)</f>
        <v/>
      </c>
      <c r="O1352" s="35" t="str">
        <f aca="false">IF(OR(N1352="",K1352=""),"",IF(K1352=0,"",N1352/K1352))</f>
        <v/>
      </c>
      <c r="P1352" s="25"/>
      <c r="Q1352" s="25"/>
      <c r="R1352" s="25"/>
      <c r="S1352" s="36" t="str">
        <f aca="false">IF(A1352="","",YEAR(A1352)+IF(AND(FYStart&gt;1,MONTH(A1352)&gt;=FYStart),1,0))</f>
        <v/>
      </c>
      <c r="T1352" s="36" t="str">
        <f aca="false">IF(A1352="","",MOD(MONTH(A1352)-FYStart,12)+1)</f>
        <v/>
      </c>
      <c r="U1352" s="37" t="str">
        <f aca="false">IF(A1352="","",TEXT(A1352,"mmm"))</f>
        <v/>
      </c>
      <c r="V1352" s="37" t="str">
        <f aca="false">IF(Q1352="","",IFERROR(INDEX(Settings!$I$11:$I$15,MATCH(Q1352,Settings!$H$11:$H$15,0)),"No"))</f>
        <v/>
      </c>
      <c r="W1352" s="37" t="str">
        <f aca="false">IF(Q1352="","",IFERROR(INDEX(Settings!$J$11:$J$15,MATCH(Q1352,Settings!$H$11:$H$15,0)),"No"))</f>
        <v/>
      </c>
    </row>
    <row r="1353" customFormat="false" ht="15" hidden="false" customHeight="false" outlineLevel="0" collapsed="false">
      <c r="A1353" s="30"/>
      <c r="B1353" s="25"/>
      <c r="C1353" s="25"/>
      <c r="D1353" s="25"/>
      <c r="E1353" s="25"/>
      <c r="F1353" s="25"/>
      <c r="G1353" s="25"/>
      <c r="H1353" s="31"/>
      <c r="I1353" s="32"/>
      <c r="J1353" s="33"/>
      <c r="K1353" s="34" t="str">
        <f aca="false">IF(OR(H1353="",I1353=""),"",H1353*I1353*(1-N(J1353)))</f>
        <v/>
      </c>
      <c r="L1353" s="32"/>
      <c r="M1353" s="34" t="str">
        <f aca="false">IF(OR(H1353="",L1353=""),"",H1353*L1353)</f>
        <v/>
      </c>
      <c r="N1353" s="34" t="str">
        <f aca="false">IF(OR(K1353="",M1353=""),"",K1353-M1353)</f>
        <v/>
      </c>
      <c r="O1353" s="35" t="str">
        <f aca="false">IF(OR(N1353="",K1353=""),"",IF(K1353=0,"",N1353/K1353))</f>
        <v/>
      </c>
      <c r="P1353" s="25"/>
      <c r="Q1353" s="25"/>
      <c r="R1353" s="25"/>
      <c r="S1353" s="36" t="str">
        <f aca="false">IF(A1353="","",YEAR(A1353)+IF(AND(FYStart&gt;1,MONTH(A1353)&gt;=FYStart),1,0))</f>
        <v/>
      </c>
      <c r="T1353" s="36" t="str">
        <f aca="false">IF(A1353="","",MOD(MONTH(A1353)-FYStart,12)+1)</f>
        <v/>
      </c>
      <c r="U1353" s="37" t="str">
        <f aca="false">IF(A1353="","",TEXT(A1353,"mmm"))</f>
        <v/>
      </c>
      <c r="V1353" s="37" t="str">
        <f aca="false">IF(Q1353="","",IFERROR(INDEX(Settings!$I$11:$I$15,MATCH(Q1353,Settings!$H$11:$H$15,0)),"No"))</f>
        <v/>
      </c>
      <c r="W1353" s="37" t="str">
        <f aca="false">IF(Q1353="","",IFERROR(INDEX(Settings!$J$11:$J$15,MATCH(Q1353,Settings!$H$11:$H$15,0)),"No"))</f>
        <v/>
      </c>
    </row>
    <row r="1354" customFormat="false" ht="15" hidden="false" customHeight="false" outlineLevel="0" collapsed="false">
      <c r="A1354" s="30"/>
      <c r="B1354" s="25"/>
      <c r="C1354" s="25"/>
      <c r="D1354" s="25"/>
      <c r="E1354" s="25"/>
      <c r="F1354" s="25"/>
      <c r="G1354" s="25"/>
      <c r="H1354" s="31"/>
      <c r="I1354" s="32"/>
      <c r="J1354" s="33"/>
      <c r="K1354" s="34" t="str">
        <f aca="false">IF(OR(H1354="",I1354=""),"",H1354*I1354*(1-N(J1354)))</f>
        <v/>
      </c>
      <c r="L1354" s="32"/>
      <c r="M1354" s="34" t="str">
        <f aca="false">IF(OR(H1354="",L1354=""),"",H1354*L1354)</f>
        <v/>
      </c>
      <c r="N1354" s="34" t="str">
        <f aca="false">IF(OR(K1354="",M1354=""),"",K1354-M1354)</f>
        <v/>
      </c>
      <c r="O1354" s="35" t="str">
        <f aca="false">IF(OR(N1354="",K1354=""),"",IF(K1354=0,"",N1354/K1354))</f>
        <v/>
      </c>
      <c r="P1354" s="25"/>
      <c r="Q1354" s="25"/>
      <c r="R1354" s="25"/>
      <c r="S1354" s="36" t="str">
        <f aca="false">IF(A1354="","",YEAR(A1354)+IF(AND(FYStart&gt;1,MONTH(A1354)&gt;=FYStart),1,0))</f>
        <v/>
      </c>
      <c r="T1354" s="36" t="str">
        <f aca="false">IF(A1354="","",MOD(MONTH(A1354)-FYStart,12)+1)</f>
        <v/>
      </c>
      <c r="U1354" s="37" t="str">
        <f aca="false">IF(A1354="","",TEXT(A1354,"mmm"))</f>
        <v/>
      </c>
      <c r="V1354" s="37" t="str">
        <f aca="false">IF(Q1354="","",IFERROR(INDEX(Settings!$I$11:$I$15,MATCH(Q1354,Settings!$H$11:$H$15,0)),"No"))</f>
        <v/>
      </c>
      <c r="W1354" s="37" t="str">
        <f aca="false">IF(Q1354="","",IFERROR(INDEX(Settings!$J$11:$J$15,MATCH(Q1354,Settings!$H$11:$H$15,0)),"No"))</f>
        <v/>
      </c>
    </row>
    <row r="1355" customFormat="false" ht="15" hidden="false" customHeight="false" outlineLevel="0" collapsed="false">
      <c r="A1355" s="30"/>
      <c r="B1355" s="25"/>
      <c r="C1355" s="25"/>
      <c r="D1355" s="25"/>
      <c r="E1355" s="25"/>
      <c r="F1355" s="25"/>
      <c r="G1355" s="25"/>
      <c r="H1355" s="31"/>
      <c r="I1355" s="32"/>
      <c r="J1355" s="33"/>
      <c r="K1355" s="34" t="str">
        <f aca="false">IF(OR(H1355="",I1355=""),"",H1355*I1355*(1-N(J1355)))</f>
        <v/>
      </c>
      <c r="L1355" s="32"/>
      <c r="M1355" s="34" t="str">
        <f aca="false">IF(OR(H1355="",L1355=""),"",H1355*L1355)</f>
        <v/>
      </c>
      <c r="N1355" s="34" t="str">
        <f aca="false">IF(OR(K1355="",M1355=""),"",K1355-M1355)</f>
        <v/>
      </c>
      <c r="O1355" s="35" t="str">
        <f aca="false">IF(OR(N1355="",K1355=""),"",IF(K1355=0,"",N1355/K1355))</f>
        <v/>
      </c>
      <c r="P1355" s="25"/>
      <c r="Q1355" s="25"/>
      <c r="R1355" s="25"/>
      <c r="S1355" s="36" t="str">
        <f aca="false">IF(A1355="","",YEAR(A1355)+IF(AND(FYStart&gt;1,MONTH(A1355)&gt;=FYStart),1,0))</f>
        <v/>
      </c>
      <c r="T1355" s="36" t="str">
        <f aca="false">IF(A1355="","",MOD(MONTH(A1355)-FYStart,12)+1)</f>
        <v/>
      </c>
      <c r="U1355" s="37" t="str">
        <f aca="false">IF(A1355="","",TEXT(A1355,"mmm"))</f>
        <v/>
      </c>
      <c r="V1355" s="37" t="str">
        <f aca="false">IF(Q1355="","",IFERROR(INDEX(Settings!$I$11:$I$15,MATCH(Q1355,Settings!$H$11:$H$15,0)),"No"))</f>
        <v/>
      </c>
      <c r="W1355" s="37" t="str">
        <f aca="false">IF(Q1355="","",IFERROR(INDEX(Settings!$J$11:$J$15,MATCH(Q1355,Settings!$H$11:$H$15,0)),"No"))</f>
        <v/>
      </c>
    </row>
    <row r="1356" customFormat="false" ht="15" hidden="false" customHeight="false" outlineLevel="0" collapsed="false">
      <c r="A1356" s="30"/>
      <c r="B1356" s="25"/>
      <c r="C1356" s="25"/>
      <c r="D1356" s="25"/>
      <c r="E1356" s="25"/>
      <c r="F1356" s="25"/>
      <c r="G1356" s="25"/>
      <c r="H1356" s="31"/>
      <c r="I1356" s="32"/>
      <c r="J1356" s="33"/>
      <c r="K1356" s="34" t="str">
        <f aca="false">IF(OR(H1356="",I1356=""),"",H1356*I1356*(1-N(J1356)))</f>
        <v/>
      </c>
      <c r="L1356" s="32"/>
      <c r="M1356" s="34" t="str">
        <f aca="false">IF(OR(H1356="",L1356=""),"",H1356*L1356)</f>
        <v/>
      </c>
      <c r="N1356" s="34" t="str">
        <f aca="false">IF(OR(K1356="",M1356=""),"",K1356-M1356)</f>
        <v/>
      </c>
      <c r="O1356" s="35" t="str">
        <f aca="false">IF(OR(N1356="",K1356=""),"",IF(K1356=0,"",N1356/K1356))</f>
        <v/>
      </c>
      <c r="P1356" s="25"/>
      <c r="Q1356" s="25"/>
      <c r="R1356" s="25"/>
      <c r="S1356" s="36" t="str">
        <f aca="false">IF(A1356="","",YEAR(A1356)+IF(AND(FYStart&gt;1,MONTH(A1356)&gt;=FYStart),1,0))</f>
        <v/>
      </c>
      <c r="T1356" s="36" t="str">
        <f aca="false">IF(A1356="","",MOD(MONTH(A1356)-FYStart,12)+1)</f>
        <v/>
      </c>
      <c r="U1356" s="37" t="str">
        <f aca="false">IF(A1356="","",TEXT(A1356,"mmm"))</f>
        <v/>
      </c>
      <c r="V1356" s="37" t="str">
        <f aca="false">IF(Q1356="","",IFERROR(INDEX(Settings!$I$11:$I$15,MATCH(Q1356,Settings!$H$11:$H$15,0)),"No"))</f>
        <v/>
      </c>
      <c r="W1356" s="37" t="str">
        <f aca="false">IF(Q1356="","",IFERROR(INDEX(Settings!$J$11:$J$15,MATCH(Q1356,Settings!$H$11:$H$15,0)),"No"))</f>
        <v/>
      </c>
    </row>
    <row r="1357" customFormat="false" ht="15" hidden="false" customHeight="false" outlineLevel="0" collapsed="false">
      <c r="A1357" s="30"/>
      <c r="B1357" s="25"/>
      <c r="C1357" s="25"/>
      <c r="D1357" s="25"/>
      <c r="E1357" s="25"/>
      <c r="F1357" s="25"/>
      <c r="G1357" s="25"/>
      <c r="H1357" s="31"/>
      <c r="I1357" s="32"/>
      <c r="J1357" s="33"/>
      <c r="K1357" s="34" t="str">
        <f aca="false">IF(OR(H1357="",I1357=""),"",H1357*I1357*(1-N(J1357)))</f>
        <v/>
      </c>
      <c r="L1357" s="32"/>
      <c r="M1357" s="34" t="str">
        <f aca="false">IF(OR(H1357="",L1357=""),"",H1357*L1357)</f>
        <v/>
      </c>
      <c r="N1357" s="34" t="str">
        <f aca="false">IF(OR(K1357="",M1357=""),"",K1357-M1357)</f>
        <v/>
      </c>
      <c r="O1357" s="35" t="str">
        <f aca="false">IF(OR(N1357="",K1357=""),"",IF(K1357=0,"",N1357/K1357))</f>
        <v/>
      </c>
      <c r="P1357" s="25"/>
      <c r="Q1357" s="25"/>
      <c r="R1357" s="25"/>
      <c r="S1357" s="36" t="str">
        <f aca="false">IF(A1357="","",YEAR(A1357)+IF(AND(FYStart&gt;1,MONTH(A1357)&gt;=FYStart),1,0))</f>
        <v/>
      </c>
      <c r="T1357" s="36" t="str">
        <f aca="false">IF(A1357="","",MOD(MONTH(A1357)-FYStart,12)+1)</f>
        <v/>
      </c>
      <c r="U1357" s="37" t="str">
        <f aca="false">IF(A1357="","",TEXT(A1357,"mmm"))</f>
        <v/>
      </c>
      <c r="V1357" s="37" t="str">
        <f aca="false">IF(Q1357="","",IFERROR(INDEX(Settings!$I$11:$I$15,MATCH(Q1357,Settings!$H$11:$H$15,0)),"No"))</f>
        <v/>
      </c>
      <c r="W1357" s="37" t="str">
        <f aca="false">IF(Q1357="","",IFERROR(INDEX(Settings!$J$11:$J$15,MATCH(Q1357,Settings!$H$11:$H$15,0)),"No"))</f>
        <v/>
      </c>
    </row>
    <row r="1358" customFormat="false" ht="15" hidden="false" customHeight="false" outlineLevel="0" collapsed="false">
      <c r="A1358" s="30"/>
      <c r="B1358" s="25"/>
      <c r="C1358" s="25"/>
      <c r="D1358" s="25"/>
      <c r="E1358" s="25"/>
      <c r="F1358" s="25"/>
      <c r="G1358" s="25"/>
      <c r="H1358" s="31"/>
      <c r="I1358" s="32"/>
      <c r="J1358" s="33"/>
      <c r="K1358" s="34" t="str">
        <f aca="false">IF(OR(H1358="",I1358=""),"",H1358*I1358*(1-N(J1358)))</f>
        <v/>
      </c>
      <c r="L1358" s="32"/>
      <c r="M1358" s="34" t="str">
        <f aca="false">IF(OR(H1358="",L1358=""),"",H1358*L1358)</f>
        <v/>
      </c>
      <c r="N1358" s="34" t="str">
        <f aca="false">IF(OR(K1358="",M1358=""),"",K1358-M1358)</f>
        <v/>
      </c>
      <c r="O1358" s="35" t="str">
        <f aca="false">IF(OR(N1358="",K1358=""),"",IF(K1358=0,"",N1358/K1358))</f>
        <v/>
      </c>
      <c r="P1358" s="25"/>
      <c r="Q1358" s="25"/>
      <c r="R1358" s="25"/>
      <c r="S1358" s="36" t="str">
        <f aca="false">IF(A1358="","",YEAR(A1358)+IF(AND(FYStart&gt;1,MONTH(A1358)&gt;=FYStart),1,0))</f>
        <v/>
      </c>
      <c r="T1358" s="36" t="str">
        <f aca="false">IF(A1358="","",MOD(MONTH(A1358)-FYStart,12)+1)</f>
        <v/>
      </c>
      <c r="U1358" s="37" t="str">
        <f aca="false">IF(A1358="","",TEXT(A1358,"mmm"))</f>
        <v/>
      </c>
      <c r="V1358" s="37" t="str">
        <f aca="false">IF(Q1358="","",IFERROR(INDEX(Settings!$I$11:$I$15,MATCH(Q1358,Settings!$H$11:$H$15,0)),"No"))</f>
        <v/>
      </c>
      <c r="W1358" s="37" t="str">
        <f aca="false">IF(Q1358="","",IFERROR(INDEX(Settings!$J$11:$J$15,MATCH(Q1358,Settings!$H$11:$H$15,0)),"No"))</f>
        <v/>
      </c>
    </row>
    <row r="1359" customFormat="false" ht="15" hidden="false" customHeight="false" outlineLevel="0" collapsed="false">
      <c r="A1359" s="30"/>
      <c r="B1359" s="25"/>
      <c r="C1359" s="25"/>
      <c r="D1359" s="25"/>
      <c r="E1359" s="25"/>
      <c r="F1359" s="25"/>
      <c r="G1359" s="25"/>
      <c r="H1359" s="31"/>
      <c r="I1359" s="32"/>
      <c r="J1359" s="33"/>
      <c r="K1359" s="34" t="str">
        <f aca="false">IF(OR(H1359="",I1359=""),"",H1359*I1359*(1-N(J1359)))</f>
        <v/>
      </c>
      <c r="L1359" s="32"/>
      <c r="M1359" s="34" t="str">
        <f aca="false">IF(OR(H1359="",L1359=""),"",H1359*L1359)</f>
        <v/>
      </c>
      <c r="N1359" s="34" t="str">
        <f aca="false">IF(OR(K1359="",M1359=""),"",K1359-M1359)</f>
        <v/>
      </c>
      <c r="O1359" s="35" t="str">
        <f aca="false">IF(OR(N1359="",K1359=""),"",IF(K1359=0,"",N1359/K1359))</f>
        <v/>
      </c>
      <c r="P1359" s="25"/>
      <c r="Q1359" s="25"/>
      <c r="R1359" s="25"/>
      <c r="S1359" s="36" t="str">
        <f aca="false">IF(A1359="","",YEAR(A1359)+IF(AND(FYStart&gt;1,MONTH(A1359)&gt;=FYStart),1,0))</f>
        <v/>
      </c>
      <c r="T1359" s="36" t="str">
        <f aca="false">IF(A1359="","",MOD(MONTH(A1359)-FYStart,12)+1)</f>
        <v/>
      </c>
      <c r="U1359" s="37" t="str">
        <f aca="false">IF(A1359="","",TEXT(A1359,"mmm"))</f>
        <v/>
      </c>
      <c r="V1359" s="37" t="str">
        <f aca="false">IF(Q1359="","",IFERROR(INDEX(Settings!$I$11:$I$15,MATCH(Q1359,Settings!$H$11:$H$15,0)),"No"))</f>
        <v/>
      </c>
      <c r="W1359" s="37" t="str">
        <f aca="false">IF(Q1359="","",IFERROR(INDEX(Settings!$J$11:$J$15,MATCH(Q1359,Settings!$H$11:$H$15,0)),"No"))</f>
        <v/>
      </c>
    </row>
    <row r="1360" customFormat="false" ht="15" hidden="false" customHeight="false" outlineLevel="0" collapsed="false">
      <c r="A1360" s="30"/>
      <c r="B1360" s="25"/>
      <c r="C1360" s="25"/>
      <c r="D1360" s="25"/>
      <c r="E1360" s="25"/>
      <c r="F1360" s="25"/>
      <c r="G1360" s="25"/>
      <c r="H1360" s="31"/>
      <c r="I1360" s="32"/>
      <c r="J1360" s="33"/>
      <c r="K1360" s="34" t="str">
        <f aca="false">IF(OR(H1360="",I1360=""),"",H1360*I1360*(1-N(J1360)))</f>
        <v/>
      </c>
      <c r="L1360" s="32"/>
      <c r="M1360" s="34" t="str">
        <f aca="false">IF(OR(H1360="",L1360=""),"",H1360*L1360)</f>
        <v/>
      </c>
      <c r="N1360" s="34" t="str">
        <f aca="false">IF(OR(K1360="",M1360=""),"",K1360-M1360)</f>
        <v/>
      </c>
      <c r="O1360" s="35" t="str">
        <f aca="false">IF(OR(N1360="",K1360=""),"",IF(K1360=0,"",N1360/K1360))</f>
        <v/>
      </c>
      <c r="P1360" s="25"/>
      <c r="Q1360" s="25"/>
      <c r="R1360" s="25"/>
      <c r="S1360" s="36" t="str">
        <f aca="false">IF(A1360="","",YEAR(A1360)+IF(AND(FYStart&gt;1,MONTH(A1360)&gt;=FYStart),1,0))</f>
        <v/>
      </c>
      <c r="T1360" s="36" t="str">
        <f aca="false">IF(A1360="","",MOD(MONTH(A1360)-FYStart,12)+1)</f>
        <v/>
      </c>
      <c r="U1360" s="37" t="str">
        <f aca="false">IF(A1360="","",TEXT(A1360,"mmm"))</f>
        <v/>
      </c>
      <c r="V1360" s="37" t="str">
        <f aca="false">IF(Q1360="","",IFERROR(INDEX(Settings!$I$11:$I$15,MATCH(Q1360,Settings!$H$11:$H$15,0)),"No"))</f>
        <v/>
      </c>
      <c r="W1360" s="37" t="str">
        <f aca="false">IF(Q1360="","",IFERROR(INDEX(Settings!$J$11:$J$15,MATCH(Q1360,Settings!$H$11:$H$15,0)),"No"))</f>
        <v/>
      </c>
    </row>
    <row r="1361" customFormat="false" ht="15" hidden="false" customHeight="false" outlineLevel="0" collapsed="false">
      <c r="A1361" s="30"/>
      <c r="B1361" s="25"/>
      <c r="C1361" s="25"/>
      <c r="D1361" s="25"/>
      <c r="E1361" s="25"/>
      <c r="F1361" s="25"/>
      <c r="G1361" s="25"/>
      <c r="H1361" s="31"/>
      <c r="I1361" s="32"/>
      <c r="J1361" s="33"/>
      <c r="K1361" s="34" t="str">
        <f aca="false">IF(OR(H1361="",I1361=""),"",H1361*I1361*(1-N(J1361)))</f>
        <v/>
      </c>
      <c r="L1361" s="32"/>
      <c r="M1361" s="34" t="str">
        <f aca="false">IF(OR(H1361="",L1361=""),"",H1361*L1361)</f>
        <v/>
      </c>
      <c r="N1361" s="34" t="str">
        <f aca="false">IF(OR(K1361="",M1361=""),"",K1361-M1361)</f>
        <v/>
      </c>
      <c r="O1361" s="35" t="str">
        <f aca="false">IF(OR(N1361="",K1361=""),"",IF(K1361=0,"",N1361/K1361))</f>
        <v/>
      </c>
      <c r="P1361" s="25"/>
      <c r="Q1361" s="25"/>
      <c r="R1361" s="25"/>
      <c r="S1361" s="36" t="str">
        <f aca="false">IF(A1361="","",YEAR(A1361)+IF(AND(FYStart&gt;1,MONTH(A1361)&gt;=FYStart),1,0))</f>
        <v/>
      </c>
      <c r="T1361" s="36" t="str">
        <f aca="false">IF(A1361="","",MOD(MONTH(A1361)-FYStart,12)+1)</f>
        <v/>
      </c>
      <c r="U1361" s="37" t="str">
        <f aca="false">IF(A1361="","",TEXT(A1361,"mmm"))</f>
        <v/>
      </c>
      <c r="V1361" s="37" t="str">
        <f aca="false">IF(Q1361="","",IFERROR(INDEX(Settings!$I$11:$I$15,MATCH(Q1361,Settings!$H$11:$H$15,0)),"No"))</f>
        <v/>
      </c>
      <c r="W1361" s="37" t="str">
        <f aca="false">IF(Q1361="","",IFERROR(INDEX(Settings!$J$11:$J$15,MATCH(Q1361,Settings!$H$11:$H$15,0)),"No"))</f>
        <v/>
      </c>
    </row>
    <row r="1362" customFormat="false" ht="15" hidden="false" customHeight="false" outlineLevel="0" collapsed="false">
      <c r="A1362" s="30"/>
      <c r="B1362" s="25"/>
      <c r="C1362" s="25"/>
      <c r="D1362" s="25"/>
      <c r="E1362" s="25"/>
      <c r="F1362" s="25"/>
      <c r="G1362" s="25"/>
      <c r="H1362" s="31"/>
      <c r="I1362" s="32"/>
      <c r="J1362" s="33"/>
      <c r="K1362" s="34" t="str">
        <f aca="false">IF(OR(H1362="",I1362=""),"",H1362*I1362*(1-N(J1362)))</f>
        <v/>
      </c>
      <c r="L1362" s="32"/>
      <c r="M1362" s="34" t="str">
        <f aca="false">IF(OR(H1362="",L1362=""),"",H1362*L1362)</f>
        <v/>
      </c>
      <c r="N1362" s="34" t="str">
        <f aca="false">IF(OR(K1362="",M1362=""),"",K1362-M1362)</f>
        <v/>
      </c>
      <c r="O1362" s="35" t="str">
        <f aca="false">IF(OR(N1362="",K1362=""),"",IF(K1362=0,"",N1362/K1362))</f>
        <v/>
      </c>
      <c r="P1362" s="25"/>
      <c r="Q1362" s="25"/>
      <c r="R1362" s="25"/>
      <c r="S1362" s="36" t="str">
        <f aca="false">IF(A1362="","",YEAR(A1362)+IF(AND(FYStart&gt;1,MONTH(A1362)&gt;=FYStart),1,0))</f>
        <v/>
      </c>
      <c r="T1362" s="36" t="str">
        <f aca="false">IF(A1362="","",MOD(MONTH(A1362)-FYStart,12)+1)</f>
        <v/>
      </c>
      <c r="U1362" s="37" t="str">
        <f aca="false">IF(A1362="","",TEXT(A1362,"mmm"))</f>
        <v/>
      </c>
      <c r="V1362" s="37" t="str">
        <f aca="false">IF(Q1362="","",IFERROR(INDEX(Settings!$I$11:$I$15,MATCH(Q1362,Settings!$H$11:$H$15,0)),"No"))</f>
        <v/>
      </c>
      <c r="W1362" s="37" t="str">
        <f aca="false">IF(Q1362="","",IFERROR(INDEX(Settings!$J$11:$J$15,MATCH(Q1362,Settings!$H$11:$H$15,0)),"No"))</f>
        <v/>
      </c>
    </row>
    <row r="1363" customFormat="false" ht="15" hidden="false" customHeight="false" outlineLevel="0" collapsed="false">
      <c r="A1363" s="30"/>
      <c r="B1363" s="25"/>
      <c r="C1363" s="25"/>
      <c r="D1363" s="25"/>
      <c r="E1363" s="25"/>
      <c r="F1363" s="25"/>
      <c r="G1363" s="25"/>
      <c r="H1363" s="31"/>
      <c r="I1363" s="32"/>
      <c r="J1363" s="33"/>
      <c r="K1363" s="34" t="str">
        <f aca="false">IF(OR(H1363="",I1363=""),"",H1363*I1363*(1-N(J1363)))</f>
        <v/>
      </c>
      <c r="L1363" s="32"/>
      <c r="M1363" s="34" t="str">
        <f aca="false">IF(OR(H1363="",L1363=""),"",H1363*L1363)</f>
        <v/>
      </c>
      <c r="N1363" s="34" t="str">
        <f aca="false">IF(OR(K1363="",M1363=""),"",K1363-M1363)</f>
        <v/>
      </c>
      <c r="O1363" s="35" t="str">
        <f aca="false">IF(OR(N1363="",K1363=""),"",IF(K1363=0,"",N1363/K1363))</f>
        <v/>
      </c>
      <c r="P1363" s="25"/>
      <c r="Q1363" s="25"/>
      <c r="R1363" s="25"/>
      <c r="S1363" s="36" t="str">
        <f aca="false">IF(A1363="","",YEAR(A1363)+IF(AND(FYStart&gt;1,MONTH(A1363)&gt;=FYStart),1,0))</f>
        <v/>
      </c>
      <c r="T1363" s="36" t="str">
        <f aca="false">IF(A1363="","",MOD(MONTH(A1363)-FYStart,12)+1)</f>
        <v/>
      </c>
      <c r="U1363" s="37" t="str">
        <f aca="false">IF(A1363="","",TEXT(A1363,"mmm"))</f>
        <v/>
      </c>
      <c r="V1363" s="37" t="str">
        <f aca="false">IF(Q1363="","",IFERROR(INDEX(Settings!$I$11:$I$15,MATCH(Q1363,Settings!$H$11:$H$15,0)),"No"))</f>
        <v/>
      </c>
      <c r="W1363" s="37" t="str">
        <f aca="false">IF(Q1363="","",IFERROR(INDEX(Settings!$J$11:$J$15,MATCH(Q1363,Settings!$H$11:$H$15,0)),"No"))</f>
        <v/>
      </c>
    </row>
    <row r="1364" customFormat="false" ht="15" hidden="false" customHeight="false" outlineLevel="0" collapsed="false">
      <c r="A1364" s="30"/>
      <c r="B1364" s="25"/>
      <c r="C1364" s="25"/>
      <c r="D1364" s="25"/>
      <c r="E1364" s="25"/>
      <c r="F1364" s="25"/>
      <c r="G1364" s="25"/>
      <c r="H1364" s="31"/>
      <c r="I1364" s="32"/>
      <c r="J1364" s="33"/>
      <c r="K1364" s="34" t="str">
        <f aca="false">IF(OR(H1364="",I1364=""),"",H1364*I1364*(1-N(J1364)))</f>
        <v/>
      </c>
      <c r="L1364" s="32"/>
      <c r="M1364" s="34" t="str">
        <f aca="false">IF(OR(H1364="",L1364=""),"",H1364*L1364)</f>
        <v/>
      </c>
      <c r="N1364" s="34" t="str">
        <f aca="false">IF(OR(K1364="",M1364=""),"",K1364-M1364)</f>
        <v/>
      </c>
      <c r="O1364" s="35" t="str">
        <f aca="false">IF(OR(N1364="",K1364=""),"",IF(K1364=0,"",N1364/K1364))</f>
        <v/>
      </c>
      <c r="P1364" s="25"/>
      <c r="Q1364" s="25"/>
      <c r="R1364" s="25"/>
      <c r="S1364" s="36" t="str">
        <f aca="false">IF(A1364="","",YEAR(A1364)+IF(AND(FYStart&gt;1,MONTH(A1364)&gt;=FYStart),1,0))</f>
        <v/>
      </c>
      <c r="T1364" s="36" t="str">
        <f aca="false">IF(A1364="","",MOD(MONTH(A1364)-FYStart,12)+1)</f>
        <v/>
      </c>
      <c r="U1364" s="37" t="str">
        <f aca="false">IF(A1364="","",TEXT(A1364,"mmm"))</f>
        <v/>
      </c>
      <c r="V1364" s="37" t="str">
        <f aca="false">IF(Q1364="","",IFERROR(INDEX(Settings!$I$11:$I$15,MATCH(Q1364,Settings!$H$11:$H$15,0)),"No"))</f>
        <v/>
      </c>
      <c r="W1364" s="37" t="str">
        <f aca="false">IF(Q1364="","",IFERROR(INDEX(Settings!$J$11:$J$15,MATCH(Q1364,Settings!$H$11:$H$15,0)),"No"))</f>
        <v/>
      </c>
    </row>
    <row r="1365" customFormat="false" ht="15" hidden="false" customHeight="false" outlineLevel="0" collapsed="false">
      <c r="A1365" s="30"/>
      <c r="B1365" s="25"/>
      <c r="C1365" s="25"/>
      <c r="D1365" s="25"/>
      <c r="E1365" s="25"/>
      <c r="F1365" s="25"/>
      <c r="G1365" s="25"/>
      <c r="H1365" s="31"/>
      <c r="I1365" s="32"/>
      <c r="J1365" s="33"/>
      <c r="K1365" s="34" t="str">
        <f aca="false">IF(OR(H1365="",I1365=""),"",H1365*I1365*(1-N(J1365)))</f>
        <v/>
      </c>
      <c r="L1365" s="32"/>
      <c r="M1365" s="34" t="str">
        <f aca="false">IF(OR(H1365="",L1365=""),"",H1365*L1365)</f>
        <v/>
      </c>
      <c r="N1365" s="34" t="str">
        <f aca="false">IF(OR(K1365="",M1365=""),"",K1365-M1365)</f>
        <v/>
      </c>
      <c r="O1365" s="35" t="str">
        <f aca="false">IF(OR(N1365="",K1365=""),"",IF(K1365=0,"",N1365/K1365))</f>
        <v/>
      </c>
      <c r="P1365" s="25"/>
      <c r="Q1365" s="25"/>
      <c r="R1365" s="25"/>
      <c r="S1365" s="36" t="str">
        <f aca="false">IF(A1365="","",YEAR(A1365)+IF(AND(FYStart&gt;1,MONTH(A1365)&gt;=FYStart),1,0))</f>
        <v/>
      </c>
      <c r="T1365" s="36" t="str">
        <f aca="false">IF(A1365="","",MOD(MONTH(A1365)-FYStart,12)+1)</f>
        <v/>
      </c>
      <c r="U1365" s="37" t="str">
        <f aca="false">IF(A1365="","",TEXT(A1365,"mmm"))</f>
        <v/>
      </c>
      <c r="V1365" s="37" t="str">
        <f aca="false">IF(Q1365="","",IFERROR(INDEX(Settings!$I$11:$I$15,MATCH(Q1365,Settings!$H$11:$H$15,0)),"No"))</f>
        <v/>
      </c>
      <c r="W1365" s="37" t="str">
        <f aca="false">IF(Q1365="","",IFERROR(INDEX(Settings!$J$11:$J$15,MATCH(Q1365,Settings!$H$11:$H$15,0)),"No"))</f>
        <v/>
      </c>
    </row>
    <row r="1366" customFormat="false" ht="15" hidden="false" customHeight="false" outlineLevel="0" collapsed="false">
      <c r="A1366" s="30"/>
      <c r="B1366" s="25"/>
      <c r="C1366" s="25"/>
      <c r="D1366" s="25"/>
      <c r="E1366" s="25"/>
      <c r="F1366" s="25"/>
      <c r="G1366" s="25"/>
      <c r="H1366" s="31"/>
      <c r="I1366" s="32"/>
      <c r="J1366" s="33"/>
      <c r="K1366" s="34" t="str">
        <f aca="false">IF(OR(H1366="",I1366=""),"",H1366*I1366*(1-N(J1366)))</f>
        <v/>
      </c>
      <c r="L1366" s="32"/>
      <c r="M1366" s="34" t="str">
        <f aca="false">IF(OR(H1366="",L1366=""),"",H1366*L1366)</f>
        <v/>
      </c>
      <c r="N1366" s="34" t="str">
        <f aca="false">IF(OR(K1366="",M1366=""),"",K1366-M1366)</f>
        <v/>
      </c>
      <c r="O1366" s="35" t="str">
        <f aca="false">IF(OR(N1366="",K1366=""),"",IF(K1366=0,"",N1366/K1366))</f>
        <v/>
      </c>
      <c r="P1366" s="25"/>
      <c r="Q1366" s="25"/>
      <c r="R1366" s="25"/>
      <c r="S1366" s="36" t="str">
        <f aca="false">IF(A1366="","",YEAR(A1366)+IF(AND(FYStart&gt;1,MONTH(A1366)&gt;=FYStart),1,0))</f>
        <v/>
      </c>
      <c r="T1366" s="36" t="str">
        <f aca="false">IF(A1366="","",MOD(MONTH(A1366)-FYStart,12)+1)</f>
        <v/>
      </c>
      <c r="U1366" s="37" t="str">
        <f aca="false">IF(A1366="","",TEXT(A1366,"mmm"))</f>
        <v/>
      </c>
      <c r="V1366" s="37" t="str">
        <f aca="false">IF(Q1366="","",IFERROR(INDEX(Settings!$I$11:$I$15,MATCH(Q1366,Settings!$H$11:$H$15,0)),"No"))</f>
        <v/>
      </c>
      <c r="W1366" s="37" t="str">
        <f aca="false">IF(Q1366="","",IFERROR(INDEX(Settings!$J$11:$J$15,MATCH(Q1366,Settings!$H$11:$H$15,0)),"No"))</f>
        <v/>
      </c>
    </row>
    <row r="1367" customFormat="false" ht="15" hidden="false" customHeight="false" outlineLevel="0" collapsed="false">
      <c r="A1367" s="30"/>
      <c r="B1367" s="25"/>
      <c r="C1367" s="25"/>
      <c r="D1367" s="25"/>
      <c r="E1367" s="25"/>
      <c r="F1367" s="25"/>
      <c r="G1367" s="25"/>
      <c r="H1367" s="31"/>
      <c r="I1367" s="32"/>
      <c r="J1367" s="33"/>
      <c r="K1367" s="34" t="str">
        <f aca="false">IF(OR(H1367="",I1367=""),"",H1367*I1367*(1-N(J1367)))</f>
        <v/>
      </c>
      <c r="L1367" s="32"/>
      <c r="M1367" s="34" t="str">
        <f aca="false">IF(OR(H1367="",L1367=""),"",H1367*L1367)</f>
        <v/>
      </c>
      <c r="N1367" s="34" t="str">
        <f aca="false">IF(OR(K1367="",M1367=""),"",K1367-M1367)</f>
        <v/>
      </c>
      <c r="O1367" s="35" t="str">
        <f aca="false">IF(OR(N1367="",K1367=""),"",IF(K1367=0,"",N1367/K1367))</f>
        <v/>
      </c>
      <c r="P1367" s="25"/>
      <c r="Q1367" s="25"/>
      <c r="R1367" s="25"/>
      <c r="S1367" s="36" t="str">
        <f aca="false">IF(A1367="","",YEAR(A1367)+IF(AND(FYStart&gt;1,MONTH(A1367)&gt;=FYStart),1,0))</f>
        <v/>
      </c>
      <c r="T1367" s="36" t="str">
        <f aca="false">IF(A1367="","",MOD(MONTH(A1367)-FYStart,12)+1)</f>
        <v/>
      </c>
      <c r="U1367" s="37" t="str">
        <f aca="false">IF(A1367="","",TEXT(A1367,"mmm"))</f>
        <v/>
      </c>
      <c r="V1367" s="37" t="str">
        <f aca="false">IF(Q1367="","",IFERROR(INDEX(Settings!$I$11:$I$15,MATCH(Q1367,Settings!$H$11:$H$15,0)),"No"))</f>
        <v/>
      </c>
      <c r="W1367" s="37" t="str">
        <f aca="false">IF(Q1367="","",IFERROR(INDEX(Settings!$J$11:$J$15,MATCH(Q1367,Settings!$H$11:$H$15,0)),"No"))</f>
        <v/>
      </c>
    </row>
    <row r="1368" customFormat="false" ht="15" hidden="false" customHeight="false" outlineLevel="0" collapsed="false">
      <c r="A1368" s="30"/>
      <c r="B1368" s="25"/>
      <c r="C1368" s="25"/>
      <c r="D1368" s="25"/>
      <c r="E1368" s="25"/>
      <c r="F1368" s="25"/>
      <c r="G1368" s="25"/>
      <c r="H1368" s="31"/>
      <c r="I1368" s="32"/>
      <c r="J1368" s="33"/>
      <c r="K1368" s="34" t="str">
        <f aca="false">IF(OR(H1368="",I1368=""),"",H1368*I1368*(1-N(J1368)))</f>
        <v/>
      </c>
      <c r="L1368" s="32"/>
      <c r="M1368" s="34" t="str">
        <f aca="false">IF(OR(H1368="",L1368=""),"",H1368*L1368)</f>
        <v/>
      </c>
      <c r="N1368" s="34" t="str">
        <f aca="false">IF(OR(K1368="",M1368=""),"",K1368-M1368)</f>
        <v/>
      </c>
      <c r="O1368" s="35" t="str">
        <f aca="false">IF(OR(N1368="",K1368=""),"",IF(K1368=0,"",N1368/K1368))</f>
        <v/>
      </c>
      <c r="P1368" s="25"/>
      <c r="Q1368" s="25"/>
      <c r="R1368" s="25"/>
      <c r="S1368" s="36" t="str">
        <f aca="false">IF(A1368="","",YEAR(A1368)+IF(AND(FYStart&gt;1,MONTH(A1368)&gt;=FYStart),1,0))</f>
        <v/>
      </c>
      <c r="T1368" s="36" t="str">
        <f aca="false">IF(A1368="","",MOD(MONTH(A1368)-FYStart,12)+1)</f>
        <v/>
      </c>
      <c r="U1368" s="37" t="str">
        <f aca="false">IF(A1368="","",TEXT(A1368,"mmm"))</f>
        <v/>
      </c>
      <c r="V1368" s="37" t="str">
        <f aca="false">IF(Q1368="","",IFERROR(INDEX(Settings!$I$11:$I$15,MATCH(Q1368,Settings!$H$11:$H$15,0)),"No"))</f>
        <v/>
      </c>
      <c r="W1368" s="37" t="str">
        <f aca="false">IF(Q1368="","",IFERROR(INDEX(Settings!$J$11:$J$15,MATCH(Q1368,Settings!$H$11:$H$15,0)),"No"))</f>
        <v/>
      </c>
    </row>
    <row r="1369" customFormat="false" ht="15" hidden="false" customHeight="false" outlineLevel="0" collapsed="false">
      <c r="A1369" s="30"/>
      <c r="B1369" s="25"/>
      <c r="C1369" s="25"/>
      <c r="D1369" s="25"/>
      <c r="E1369" s="25"/>
      <c r="F1369" s="25"/>
      <c r="G1369" s="25"/>
      <c r="H1369" s="31"/>
      <c r="I1369" s="32"/>
      <c r="J1369" s="33"/>
      <c r="K1369" s="34" t="str">
        <f aca="false">IF(OR(H1369="",I1369=""),"",H1369*I1369*(1-N(J1369)))</f>
        <v/>
      </c>
      <c r="L1369" s="32"/>
      <c r="M1369" s="34" t="str">
        <f aca="false">IF(OR(H1369="",L1369=""),"",H1369*L1369)</f>
        <v/>
      </c>
      <c r="N1369" s="34" t="str">
        <f aca="false">IF(OR(K1369="",M1369=""),"",K1369-M1369)</f>
        <v/>
      </c>
      <c r="O1369" s="35" t="str">
        <f aca="false">IF(OR(N1369="",K1369=""),"",IF(K1369=0,"",N1369/K1369))</f>
        <v/>
      </c>
      <c r="P1369" s="25"/>
      <c r="Q1369" s="25"/>
      <c r="R1369" s="25"/>
      <c r="S1369" s="36" t="str">
        <f aca="false">IF(A1369="","",YEAR(A1369)+IF(AND(FYStart&gt;1,MONTH(A1369)&gt;=FYStart),1,0))</f>
        <v/>
      </c>
      <c r="T1369" s="36" t="str">
        <f aca="false">IF(A1369="","",MOD(MONTH(A1369)-FYStart,12)+1)</f>
        <v/>
      </c>
      <c r="U1369" s="37" t="str">
        <f aca="false">IF(A1369="","",TEXT(A1369,"mmm"))</f>
        <v/>
      </c>
      <c r="V1369" s="37" t="str">
        <f aca="false">IF(Q1369="","",IFERROR(INDEX(Settings!$I$11:$I$15,MATCH(Q1369,Settings!$H$11:$H$15,0)),"No"))</f>
        <v/>
      </c>
      <c r="W1369" s="37" t="str">
        <f aca="false">IF(Q1369="","",IFERROR(INDEX(Settings!$J$11:$J$15,MATCH(Q1369,Settings!$H$11:$H$15,0)),"No"))</f>
        <v/>
      </c>
    </row>
    <row r="1370" customFormat="false" ht="15" hidden="false" customHeight="false" outlineLevel="0" collapsed="false">
      <c r="A1370" s="30"/>
      <c r="B1370" s="25"/>
      <c r="C1370" s="25"/>
      <c r="D1370" s="25"/>
      <c r="E1370" s="25"/>
      <c r="F1370" s="25"/>
      <c r="G1370" s="25"/>
      <c r="H1370" s="31"/>
      <c r="I1370" s="32"/>
      <c r="J1370" s="33"/>
      <c r="K1370" s="34" t="str">
        <f aca="false">IF(OR(H1370="",I1370=""),"",H1370*I1370*(1-N(J1370)))</f>
        <v/>
      </c>
      <c r="L1370" s="32"/>
      <c r="M1370" s="34" t="str">
        <f aca="false">IF(OR(H1370="",L1370=""),"",H1370*L1370)</f>
        <v/>
      </c>
      <c r="N1370" s="34" t="str">
        <f aca="false">IF(OR(K1370="",M1370=""),"",K1370-M1370)</f>
        <v/>
      </c>
      <c r="O1370" s="35" t="str">
        <f aca="false">IF(OR(N1370="",K1370=""),"",IF(K1370=0,"",N1370/K1370))</f>
        <v/>
      </c>
      <c r="P1370" s="25"/>
      <c r="Q1370" s="25"/>
      <c r="R1370" s="25"/>
      <c r="S1370" s="36" t="str">
        <f aca="false">IF(A1370="","",YEAR(A1370)+IF(AND(FYStart&gt;1,MONTH(A1370)&gt;=FYStart),1,0))</f>
        <v/>
      </c>
      <c r="T1370" s="36" t="str">
        <f aca="false">IF(A1370="","",MOD(MONTH(A1370)-FYStart,12)+1)</f>
        <v/>
      </c>
      <c r="U1370" s="37" t="str">
        <f aca="false">IF(A1370="","",TEXT(A1370,"mmm"))</f>
        <v/>
      </c>
      <c r="V1370" s="37" t="str">
        <f aca="false">IF(Q1370="","",IFERROR(INDEX(Settings!$I$11:$I$15,MATCH(Q1370,Settings!$H$11:$H$15,0)),"No"))</f>
        <v/>
      </c>
      <c r="W1370" s="37" t="str">
        <f aca="false">IF(Q1370="","",IFERROR(INDEX(Settings!$J$11:$J$15,MATCH(Q1370,Settings!$H$11:$H$15,0)),"No"))</f>
        <v/>
      </c>
    </row>
    <row r="1371" customFormat="false" ht="15" hidden="false" customHeight="false" outlineLevel="0" collapsed="false">
      <c r="A1371" s="30"/>
      <c r="B1371" s="25"/>
      <c r="C1371" s="25"/>
      <c r="D1371" s="25"/>
      <c r="E1371" s="25"/>
      <c r="F1371" s="25"/>
      <c r="G1371" s="25"/>
      <c r="H1371" s="31"/>
      <c r="I1371" s="32"/>
      <c r="J1371" s="33"/>
      <c r="K1371" s="34" t="str">
        <f aca="false">IF(OR(H1371="",I1371=""),"",H1371*I1371*(1-N(J1371)))</f>
        <v/>
      </c>
      <c r="L1371" s="32"/>
      <c r="M1371" s="34" t="str">
        <f aca="false">IF(OR(H1371="",L1371=""),"",H1371*L1371)</f>
        <v/>
      </c>
      <c r="N1371" s="34" t="str">
        <f aca="false">IF(OR(K1371="",M1371=""),"",K1371-M1371)</f>
        <v/>
      </c>
      <c r="O1371" s="35" t="str">
        <f aca="false">IF(OR(N1371="",K1371=""),"",IF(K1371=0,"",N1371/K1371))</f>
        <v/>
      </c>
      <c r="P1371" s="25"/>
      <c r="Q1371" s="25"/>
      <c r="R1371" s="25"/>
      <c r="S1371" s="36" t="str">
        <f aca="false">IF(A1371="","",YEAR(A1371)+IF(AND(FYStart&gt;1,MONTH(A1371)&gt;=FYStart),1,0))</f>
        <v/>
      </c>
      <c r="T1371" s="36" t="str">
        <f aca="false">IF(A1371="","",MOD(MONTH(A1371)-FYStart,12)+1)</f>
        <v/>
      </c>
      <c r="U1371" s="37" t="str">
        <f aca="false">IF(A1371="","",TEXT(A1371,"mmm"))</f>
        <v/>
      </c>
      <c r="V1371" s="37" t="str">
        <f aca="false">IF(Q1371="","",IFERROR(INDEX(Settings!$I$11:$I$15,MATCH(Q1371,Settings!$H$11:$H$15,0)),"No"))</f>
        <v/>
      </c>
      <c r="W1371" s="37" t="str">
        <f aca="false">IF(Q1371="","",IFERROR(INDEX(Settings!$J$11:$J$15,MATCH(Q1371,Settings!$H$11:$H$15,0)),"No"))</f>
        <v/>
      </c>
    </row>
    <row r="1372" customFormat="false" ht="15" hidden="false" customHeight="false" outlineLevel="0" collapsed="false">
      <c r="A1372" s="30"/>
      <c r="B1372" s="25"/>
      <c r="C1372" s="25"/>
      <c r="D1372" s="25"/>
      <c r="E1372" s="25"/>
      <c r="F1372" s="25"/>
      <c r="G1372" s="25"/>
      <c r="H1372" s="31"/>
      <c r="I1372" s="32"/>
      <c r="J1372" s="33"/>
      <c r="K1372" s="34" t="str">
        <f aca="false">IF(OR(H1372="",I1372=""),"",H1372*I1372*(1-N(J1372)))</f>
        <v/>
      </c>
      <c r="L1372" s="32"/>
      <c r="M1372" s="34" t="str">
        <f aca="false">IF(OR(H1372="",L1372=""),"",H1372*L1372)</f>
        <v/>
      </c>
      <c r="N1372" s="34" t="str">
        <f aca="false">IF(OR(K1372="",M1372=""),"",K1372-M1372)</f>
        <v/>
      </c>
      <c r="O1372" s="35" t="str">
        <f aca="false">IF(OR(N1372="",K1372=""),"",IF(K1372=0,"",N1372/K1372))</f>
        <v/>
      </c>
      <c r="P1372" s="25"/>
      <c r="Q1372" s="25"/>
      <c r="R1372" s="25"/>
      <c r="S1372" s="36" t="str">
        <f aca="false">IF(A1372="","",YEAR(A1372)+IF(AND(FYStart&gt;1,MONTH(A1372)&gt;=FYStart),1,0))</f>
        <v/>
      </c>
      <c r="T1372" s="36" t="str">
        <f aca="false">IF(A1372="","",MOD(MONTH(A1372)-FYStart,12)+1)</f>
        <v/>
      </c>
      <c r="U1372" s="37" t="str">
        <f aca="false">IF(A1372="","",TEXT(A1372,"mmm"))</f>
        <v/>
      </c>
      <c r="V1372" s="37" t="str">
        <f aca="false">IF(Q1372="","",IFERROR(INDEX(Settings!$I$11:$I$15,MATCH(Q1372,Settings!$H$11:$H$15,0)),"No"))</f>
        <v/>
      </c>
      <c r="W1372" s="37" t="str">
        <f aca="false">IF(Q1372="","",IFERROR(INDEX(Settings!$J$11:$J$15,MATCH(Q1372,Settings!$H$11:$H$15,0)),"No"))</f>
        <v/>
      </c>
    </row>
    <row r="1373" customFormat="false" ht="15" hidden="false" customHeight="false" outlineLevel="0" collapsed="false">
      <c r="A1373" s="30"/>
      <c r="B1373" s="25"/>
      <c r="C1373" s="25"/>
      <c r="D1373" s="25"/>
      <c r="E1373" s="25"/>
      <c r="F1373" s="25"/>
      <c r="G1373" s="25"/>
      <c r="H1373" s="31"/>
      <c r="I1373" s="32"/>
      <c r="J1373" s="33"/>
      <c r="K1373" s="34" t="str">
        <f aca="false">IF(OR(H1373="",I1373=""),"",H1373*I1373*(1-N(J1373)))</f>
        <v/>
      </c>
      <c r="L1373" s="32"/>
      <c r="M1373" s="34" t="str">
        <f aca="false">IF(OR(H1373="",L1373=""),"",H1373*L1373)</f>
        <v/>
      </c>
      <c r="N1373" s="34" t="str">
        <f aca="false">IF(OR(K1373="",M1373=""),"",K1373-M1373)</f>
        <v/>
      </c>
      <c r="O1373" s="35" t="str">
        <f aca="false">IF(OR(N1373="",K1373=""),"",IF(K1373=0,"",N1373/K1373))</f>
        <v/>
      </c>
      <c r="P1373" s="25"/>
      <c r="Q1373" s="25"/>
      <c r="R1373" s="25"/>
      <c r="S1373" s="36" t="str">
        <f aca="false">IF(A1373="","",YEAR(A1373)+IF(AND(FYStart&gt;1,MONTH(A1373)&gt;=FYStart),1,0))</f>
        <v/>
      </c>
      <c r="T1373" s="36" t="str">
        <f aca="false">IF(A1373="","",MOD(MONTH(A1373)-FYStart,12)+1)</f>
        <v/>
      </c>
      <c r="U1373" s="37" t="str">
        <f aca="false">IF(A1373="","",TEXT(A1373,"mmm"))</f>
        <v/>
      </c>
      <c r="V1373" s="37" t="str">
        <f aca="false">IF(Q1373="","",IFERROR(INDEX(Settings!$I$11:$I$15,MATCH(Q1373,Settings!$H$11:$H$15,0)),"No"))</f>
        <v/>
      </c>
      <c r="W1373" s="37" t="str">
        <f aca="false">IF(Q1373="","",IFERROR(INDEX(Settings!$J$11:$J$15,MATCH(Q1373,Settings!$H$11:$H$15,0)),"No"))</f>
        <v/>
      </c>
    </row>
    <row r="1374" customFormat="false" ht="15" hidden="false" customHeight="false" outlineLevel="0" collapsed="false">
      <c r="A1374" s="30"/>
      <c r="B1374" s="25"/>
      <c r="C1374" s="25"/>
      <c r="D1374" s="25"/>
      <c r="E1374" s="25"/>
      <c r="F1374" s="25"/>
      <c r="G1374" s="25"/>
      <c r="H1374" s="31"/>
      <c r="I1374" s="32"/>
      <c r="J1374" s="33"/>
      <c r="K1374" s="34" t="str">
        <f aca="false">IF(OR(H1374="",I1374=""),"",H1374*I1374*(1-N(J1374)))</f>
        <v/>
      </c>
      <c r="L1374" s="32"/>
      <c r="M1374" s="34" t="str">
        <f aca="false">IF(OR(H1374="",L1374=""),"",H1374*L1374)</f>
        <v/>
      </c>
      <c r="N1374" s="34" t="str">
        <f aca="false">IF(OR(K1374="",M1374=""),"",K1374-M1374)</f>
        <v/>
      </c>
      <c r="O1374" s="35" t="str">
        <f aca="false">IF(OR(N1374="",K1374=""),"",IF(K1374=0,"",N1374/K1374))</f>
        <v/>
      </c>
      <c r="P1374" s="25"/>
      <c r="Q1374" s="25"/>
      <c r="R1374" s="25"/>
      <c r="S1374" s="36" t="str">
        <f aca="false">IF(A1374="","",YEAR(A1374)+IF(AND(FYStart&gt;1,MONTH(A1374)&gt;=FYStart),1,0))</f>
        <v/>
      </c>
      <c r="T1374" s="36" t="str">
        <f aca="false">IF(A1374="","",MOD(MONTH(A1374)-FYStart,12)+1)</f>
        <v/>
      </c>
      <c r="U1374" s="37" t="str">
        <f aca="false">IF(A1374="","",TEXT(A1374,"mmm"))</f>
        <v/>
      </c>
      <c r="V1374" s="37" t="str">
        <f aca="false">IF(Q1374="","",IFERROR(INDEX(Settings!$I$11:$I$15,MATCH(Q1374,Settings!$H$11:$H$15,0)),"No"))</f>
        <v/>
      </c>
      <c r="W1374" s="37" t="str">
        <f aca="false">IF(Q1374="","",IFERROR(INDEX(Settings!$J$11:$J$15,MATCH(Q1374,Settings!$H$11:$H$15,0)),"No"))</f>
        <v/>
      </c>
    </row>
    <row r="1375" customFormat="false" ht="15" hidden="false" customHeight="false" outlineLevel="0" collapsed="false">
      <c r="A1375" s="30"/>
      <c r="B1375" s="25"/>
      <c r="C1375" s="25"/>
      <c r="D1375" s="25"/>
      <c r="E1375" s="25"/>
      <c r="F1375" s="25"/>
      <c r="G1375" s="25"/>
      <c r="H1375" s="31"/>
      <c r="I1375" s="32"/>
      <c r="J1375" s="33"/>
      <c r="K1375" s="34" t="str">
        <f aca="false">IF(OR(H1375="",I1375=""),"",H1375*I1375*(1-N(J1375)))</f>
        <v/>
      </c>
      <c r="L1375" s="32"/>
      <c r="M1375" s="34" t="str">
        <f aca="false">IF(OR(H1375="",L1375=""),"",H1375*L1375)</f>
        <v/>
      </c>
      <c r="N1375" s="34" t="str">
        <f aca="false">IF(OR(K1375="",M1375=""),"",K1375-M1375)</f>
        <v/>
      </c>
      <c r="O1375" s="35" t="str">
        <f aca="false">IF(OR(N1375="",K1375=""),"",IF(K1375=0,"",N1375/K1375))</f>
        <v/>
      </c>
      <c r="P1375" s="25"/>
      <c r="Q1375" s="25"/>
      <c r="R1375" s="25"/>
      <c r="S1375" s="36" t="str">
        <f aca="false">IF(A1375="","",YEAR(A1375)+IF(AND(FYStart&gt;1,MONTH(A1375)&gt;=FYStart),1,0))</f>
        <v/>
      </c>
      <c r="T1375" s="36" t="str">
        <f aca="false">IF(A1375="","",MOD(MONTH(A1375)-FYStart,12)+1)</f>
        <v/>
      </c>
      <c r="U1375" s="37" t="str">
        <f aca="false">IF(A1375="","",TEXT(A1375,"mmm"))</f>
        <v/>
      </c>
      <c r="V1375" s="37" t="str">
        <f aca="false">IF(Q1375="","",IFERROR(INDEX(Settings!$I$11:$I$15,MATCH(Q1375,Settings!$H$11:$H$15,0)),"No"))</f>
        <v/>
      </c>
      <c r="W1375" s="37" t="str">
        <f aca="false">IF(Q1375="","",IFERROR(INDEX(Settings!$J$11:$J$15,MATCH(Q1375,Settings!$H$11:$H$15,0)),"No"))</f>
        <v/>
      </c>
    </row>
    <row r="1376" customFormat="false" ht="15" hidden="false" customHeight="false" outlineLevel="0" collapsed="false">
      <c r="A1376" s="30"/>
      <c r="B1376" s="25"/>
      <c r="C1376" s="25"/>
      <c r="D1376" s="25"/>
      <c r="E1376" s="25"/>
      <c r="F1376" s="25"/>
      <c r="G1376" s="25"/>
      <c r="H1376" s="31"/>
      <c r="I1376" s="32"/>
      <c r="J1376" s="33"/>
      <c r="K1376" s="34" t="str">
        <f aca="false">IF(OR(H1376="",I1376=""),"",H1376*I1376*(1-N(J1376)))</f>
        <v/>
      </c>
      <c r="L1376" s="32"/>
      <c r="M1376" s="34" t="str">
        <f aca="false">IF(OR(H1376="",L1376=""),"",H1376*L1376)</f>
        <v/>
      </c>
      <c r="N1376" s="34" t="str">
        <f aca="false">IF(OR(K1376="",M1376=""),"",K1376-M1376)</f>
        <v/>
      </c>
      <c r="O1376" s="35" t="str">
        <f aca="false">IF(OR(N1376="",K1376=""),"",IF(K1376=0,"",N1376/K1376))</f>
        <v/>
      </c>
      <c r="P1376" s="25"/>
      <c r="Q1376" s="25"/>
      <c r="R1376" s="25"/>
      <c r="S1376" s="36" t="str">
        <f aca="false">IF(A1376="","",YEAR(A1376)+IF(AND(FYStart&gt;1,MONTH(A1376)&gt;=FYStart),1,0))</f>
        <v/>
      </c>
      <c r="T1376" s="36" t="str">
        <f aca="false">IF(A1376="","",MOD(MONTH(A1376)-FYStart,12)+1)</f>
        <v/>
      </c>
      <c r="U1376" s="37" t="str">
        <f aca="false">IF(A1376="","",TEXT(A1376,"mmm"))</f>
        <v/>
      </c>
      <c r="V1376" s="37" t="str">
        <f aca="false">IF(Q1376="","",IFERROR(INDEX(Settings!$I$11:$I$15,MATCH(Q1376,Settings!$H$11:$H$15,0)),"No"))</f>
        <v/>
      </c>
      <c r="W1376" s="37" t="str">
        <f aca="false">IF(Q1376="","",IFERROR(INDEX(Settings!$J$11:$J$15,MATCH(Q1376,Settings!$H$11:$H$15,0)),"No"))</f>
        <v/>
      </c>
    </row>
    <row r="1377" customFormat="false" ht="15" hidden="false" customHeight="false" outlineLevel="0" collapsed="false">
      <c r="A1377" s="30"/>
      <c r="B1377" s="25"/>
      <c r="C1377" s="25"/>
      <c r="D1377" s="25"/>
      <c r="E1377" s="25"/>
      <c r="F1377" s="25"/>
      <c r="G1377" s="25"/>
      <c r="H1377" s="31"/>
      <c r="I1377" s="32"/>
      <c r="J1377" s="33"/>
      <c r="K1377" s="34" t="str">
        <f aca="false">IF(OR(H1377="",I1377=""),"",H1377*I1377*(1-N(J1377)))</f>
        <v/>
      </c>
      <c r="L1377" s="32"/>
      <c r="M1377" s="34" t="str">
        <f aca="false">IF(OR(H1377="",L1377=""),"",H1377*L1377)</f>
        <v/>
      </c>
      <c r="N1377" s="34" t="str">
        <f aca="false">IF(OR(K1377="",M1377=""),"",K1377-M1377)</f>
        <v/>
      </c>
      <c r="O1377" s="35" t="str">
        <f aca="false">IF(OR(N1377="",K1377=""),"",IF(K1377=0,"",N1377/K1377))</f>
        <v/>
      </c>
      <c r="P1377" s="25"/>
      <c r="Q1377" s="25"/>
      <c r="R1377" s="25"/>
      <c r="S1377" s="36" t="str">
        <f aca="false">IF(A1377="","",YEAR(A1377)+IF(AND(FYStart&gt;1,MONTH(A1377)&gt;=FYStart),1,0))</f>
        <v/>
      </c>
      <c r="T1377" s="36" t="str">
        <f aca="false">IF(A1377="","",MOD(MONTH(A1377)-FYStart,12)+1)</f>
        <v/>
      </c>
      <c r="U1377" s="37" t="str">
        <f aca="false">IF(A1377="","",TEXT(A1377,"mmm"))</f>
        <v/>
      </c>
      <c r="V1377" s="37" t="str">
        <f aca="false">IF(Q1377="","",IFERROR(INDEX(Settings!$I$11:$I$15,MATCH(Q1377,Settings!$H$11:$H$15,0)),"No"))</f>
        <v/>
      </c>
      <c r="W1377" s="37" t="str">
        <f aca="false">IF(Q1377="","",IFERROR(INDEX(Settings!$J$11:$J$15,MATCH(Q1377,Settings!$H$11:$H$15,0)),"No"))</f>
        <v/>
      </c>
    </row>
    <row r="1378" customFormat="false" ht="15" hidden="false" customHeight="false" outlineLevel="0" collapsed="false">
      <c r="A1378" s="30"/>
      <c r="B1378" s="25"/>
      <c r="C1378" s="25"/>
      <c r="D1378" s="25"/>
      <c r="E1378" s="25"/>
      <c r="F1378" s="25"/>
      <c r="G1378" s="25"/>
      <c r="H1378" s="31"/>
      <c r="I1378" s="32"/>
      <c r="J1378" s="33"/>
      <c r="K1378" s="34" t="str">
        <f aca="false">IF(OR(H1378="",I1378=""),"",H1378*I1378*(1-N(J1378)))</f>
        <v/>
      </c>
      <c r="L1378" s="32"/>
      <c r="M1378" s="34" t="str">
        <f aca="false">IF(OR(H1378="",L1378=""),"",H1378*L1378)</f>
        <v/>
      </c>
      <c r="N1378" s="34" t="str">
        <f aca="false">IF(OR(K1378="",M1378=""),"",K1378-M1378)</f>
        <v/>
      </c>
      <c r="O1378" s="35" t="str">
        <f aca="false">IF(OR(N1378="",K1378=""),"",IF(K1378=0,"",N1378/K1378))</f>
        <v/>
      </c>
      <c r="P1378" s="25"/>
      <c r="Q1378" s="25"/>
      <c r="R1378" s="25"/>
      <c r="S1378" s="36" t="str">
        <f aca="false">IF(A1378="","",YEAR(A1378)+IF(AND(FYStart&gt;1,MONTH(A1378)&gt;=FYStart),1,0))</f>
        <v/>
      </c>
      <c r="T1378" s="36" t="str">
        <f aca="false">IF(A1378="","",MOD(MONTH(A1378)-FYStart,12)+1)</f>
        <v/>
      </c>
      <c r="U1378" s="37" t="str">
        <f aca="false">IF(A1378="","",TEXT(A1378,"mmm"))</f>
        <v/>
      </c>
      <c r="V1378" s="37" t="str">
        <f aca="false">IF(Q1378="","",IFERROR(INDEX(Settings!$I$11:$I$15,MATCH(Q1378,Settings!$H$11:$H$15,0)),"No"))</f>
        <v/>
      </c>
      <c r="W1378" s="37" t="str">
        <f aca="false">IF(Q1378="","",IFERROR(INDEX(Settings!$J$11:$J$15,MATCH(Q1378,Settings!$H$11:$H$15,0)),"No"))</f>
        <v/>
      </c>
    </row>
    <row r="1379" customFormat="false" ht="15" hidden="false" customHeight="false" outlineLevel="0" collapsed="false">
      <c r="A1379" s="30"/>
      <c r="B1379" s="25"/>
      <c r="C1379" s="25"/>
      <c r="D1379" s="25"/>
      <c r="E1379" s="25"/>
      <c r="F1379" s="25"/>
      <c r="G1379" s="25"/>
      <c r="H1379" s="31"/>
      <c r="I1379" s="32"/>
      <c r="J1379" s="33"/>
      <c r="K1379" s="34" t="str">
        <f aca="false">IF(OR(H1379="",I1379=""),"",H1379*I1379*(1-N(J1379)))</f>
        <v/>
      </c>
      <c r="L1379" s="32"/>
      <c r="M1379" s="34" t="str">
        <f aca="false">IF(OR(H1379="",L1379=""),"",H1379*L1379)</f>
        <v/>
      </c>
      <c r="N1379" s="34" t="str">
        <f aca="false">IF(OR(K1379="",M1379=""),"",K1379-M1379)</f>
        <v/>
      </c>
      <c r="O1379" s="35" t="str">
        <f aca="false">IF(OR(N1379="",K1379=""),"",IF(K1379=0,"",N1379/K1379))</f>
        <v/>
      </c>
      <c r="P1379" s="25"/>
      <c r="Q1379" s="25"/>
      <c r="R1379" s="25"/>
      <c r="S1379" s="36" t="str">
        <f aca="false">IF(A1379="","",YEAR(A1379)+IF(AND(FYStart&gt;1,MONTH(A1379)&gt;=FYStart),1,0))</f>
        <v/>
      </c>
      <c r="T1379" s="36" t="str">
        <f aca="false">IF(A1379="","",MOD(MONTH(A1379)-FYStart,12)+1)</f>
        <v/>
      </c>
      <c r="U1379" s="37" t="str">
        <f aca="false">IF(A1379="","",TEXT(A1379,"mmm"))</f>
        <v/>
      </c>
      <c r="V1379" s="37" t="str">
        <f aca="false">IF(Q1379="","",IFERROR(INDEX(Settings!$I$11:$I$15,MATCH(Q1379,Settings!$H$11:$H$15,0)),"No"))</f>
        <v/>
      </c>
      <c r="W1379" s="37" t="str">
        <f aca="false">IF(Q1379="","",IFERROR(INDEX(Settings!$J$11:$J$15,MATCH(Q1379,Settings!$H$11:$H$15,0)),"No"))</f>
        <v/>
      </c>
    </row>
    <row r="1380" customFormat="false" ht="15" hidden="false" customHeight="false" outlineLevel="0" collapsed="false">
      <c r="A1380" s="30"/>
      <c r="B1380" s="25"/>
      <c r="C1380" s="25"/>
      <c r="D1380" s="25"/>
      <c r="E1380" s="25"/>
      <c r="F1380" s="25"/>
      <c r="G1380" s="25"/>
      <c r="H1380" s="31"/>
      <c r="I1380" s="32"/>
      <c r="J1380" s="33"/>
      <c r="K1380" s="34" t="str">
        <f aca="false">IF(OR(H1380="",I1380=""),"",H1380*I1380*(1-N(J1380)))</f>
        <v/>
      </c>
      <c r="L1380" s="32"/>
      <c r="M1380" s="34" t="str">
        <f aca="false">IF(OR(H1380="",L1380=""),"",H1380*L1380)</f>
        <v/>
      </c>
      <c r="N1380" s="34" t="str">
        <f aca="false">IF(OR(K1380="",M1380=""),"",K1380-M1380)</f>
        <v/>
      </c>
      <c r="O1380" s="35" t="str">
        <f aca="false">IF(OR(N1380="",K1380=""),"",IF(K1380=0,"",N1380/K1380))</f>
        <v/>
      </c>
      <c r="P1380" s="25"/>
      <c r="Q1380" s="25"/>
      <c r="R1380" s="25"/>
      <c r="S1380" s="36" t="str">
        <f aca="false">IF(A1380="","",YEAR(A1380)+IF(AND(FYStart&gt;1,MONTH(A1380)&gt;=FYStart),1,0))</f>
        <v/>
      </c>
      <c r="T1380" s="36" t="str">
        <f aca="false">IF(A1380="","",MOD(MONTH(A1380)-FYStart,12)+1)</f>
        <v/>
      </c>
      <c r="U1380" s="37" t="str">
        <f aca="false">IF(A1380="","",TEXT(A1380,"mmm"))</f>
        <v/>
      </c>
      <c r="V1380" s="37" t="str">
        <f aca="false">IF(Q1380="","",IFERROR(INDEX(Settings!$I$11:$I$15,MATCH(Q1380,Settings!$H$11:$H$15,0)),"No"))</f>
        <v/>
      </c>
      <c r="W1380" s="37" t="str">
        <f aca="false">IF(Q1380="","",IFERROR(INDEX(Settings!$J$11:$J$15,MATCH(Q1380,Settings!$H$11:$H$15,0)),"No"))</f>
        <v/>
      </c>
    </row>
    <row r="1381" customFormat="false" ht="15" hidden="false" customHeight="false" outlineLevel="0" collapsed="false">
      <c r="A1381" s="30"/>
      <c r="B1381" s="25"/>
      <c r="C1381" s="25"/>
      <c r="D1381" s="25"/>
      <c r="E1381" s="25"/>
      <c r="F1381" s="25"/>
      <c r="G1381" s="25"/>
      <c r="H1381" s="31"/>
      <c r="I1381" s="32"/>
      <c r="J1381" s="33"/>
      <c r="K1381" s="34" t="str">
        <f aca="false">IF(OR(H1381="",I1381=""),"",H1381*I1381*(1-N(J1381)))</f>
        <v/>
      </c>
      <c r="L1381" s="32"/>
      <c r="M1381" s="34" t="str">
        <f aca="false">IF(OR(H1381="",L1381=""),"",H1381*L1381)</f>
        <v/>
      </c>
      <c r="N1381" s="34" t="str">
        <f aca="false">IF(OR(K1381="",M1381=""),"",K1381-M1381)</f>
        <v/>
      </c>
      <c r="O1381" s="35" t="str">
        <f aca="false">IF(OR(N1381="",K1381=""),"",IF(K1381=0,"",N1381/K1381))</f>
        <v/>
      </c>
      <c r="P1381" s="25"/>
      <c r="Q1381" s="25"/>
      <c r="R1381" s="25"/>
      <c r="S1381" s="36" t="str">
        <f aca="false">IF(A1381="","",YEAR(A1381)+IF(AND(FYStart&gt;1,MONTH(A1381)&gt;=FYStart),1,0))</f>
        <v/>
      </c>
      <c r="T1381" s="36" t="str">
        <f aca="false">IF(A1381="","",MOD(MONTH(A1381)-FYStart,12)+1)</f>
        <v/>
      </c>
      <c r="U1381" s="37" t="str">
        <f aca="false">IF(A1381="","",TEXT(A1381,"mmm"))</f>
        <v/>
      </c>
      <c r="V1381" s="37" t="str">
        <f aca="false">IF(Q1381="","",IFERROR(INDEX(Settings!$I$11:$I$15,MATCH(Q1381,Settings!$H$11:$H$15,0)),"No"))</f>
        <v/>
      </c>
      <c r="W1381" s="37" t="str">
        <f aca="false">IF(Q1381="","",IFERROR(INDEX(Settings!$J$11:$J$15,MATCH(Q1381,Settings!$H$11:$H$15,0)),"No"))</f>
        <v/>
      </c>
    </row>
    <row r="1382" customFormat="false" ht="15" hidden="false" customHeight="false" outlineLevel="0" collapsed="false">
      <c r="A1382" s="30"/>
      <c r="B1382" s="25"/>
      <c r="C1382" s="25"/>
      <c r="D1382" s="25"/>
      <c r="E1382" s="25"/>
      <c r="F1382" s="25"/>
      <c r="G1382" s="25"/>
      <c r="H1382" s="31"/>
      <c r="I1382" s="32"/>
      <c r="J1382" s="33"/>
      <c r="K1382" s="34" t="str">
        <f aca="false">IF(OR(H1382="",I1382=""),"",H1382*I1382*(1-N(J1382)))</f>
        <v/>
      </c>
      <c r="L1382" s="32"/>
      <c r="M1382" s="34" t="str">
        <f aca="false">IF(OR(H1382="",L1382=""),"",H1382*L1382)</f>
        <v/>
      </c>
      <c r="N1382" s="34" t="str">
        <f aca="false">IF(OR(K1382="",M1382=""),"",K1382-M1382)</f>
        <v/>
      </c>
      <c r="O1382" s="35" t="str">
        <f aca="false">IF(OR(N1382="",K1382=""),"",IF(K1382=0,"",N1382/K1382))</f>
        <v/>
      </c>
      <c r="P1382" s="25"/>
      <c r="Q1382" s="25"/>
      <c r="R1382" s="25"/>
      <c r="S1382" s="36" t="str">
        <f aca="false">IF(A1382="","",YEAR(A1382)+IF(AND(FYStart&gt;1,MONTH(A1382)&gt;=FYStart),1,0))</f>
        <v/>
      </c>
      <c r="T1382" s="36" t="str">
        <f aca="false">IF(A1382="","",MOD(MONTH(A1382)-FYStart,12)+1)</f>
        <v/>
      </c>
      <c r="U1382" s="37" t="str">
        <f aca="false">IF(A1382="","",TEXT(A1382,"mmm"))</f>
        <v/>
      </c>
      <c r="V1382" s="37" t="str">
        <f aca="false">IF(Q1382="","",IFERROR(INDEX(Settings!$I$11:$I$15,MATCH(Q1382,Settings!$H$11:$H$15,0)),"No"))</f>
        <v/>
      </c>
      <c r="W1382" s="37" t="str">
        <f aca="false">IF(Q1382="","",IFERROR(INDEX(Settings!$J$11:$J$15,MATCH(Q1382,Settings!$H$11:$H$15,0)),"No"))</f>
        <v/>
      </c>
    </row>
    <row r="1383" customFormat="false" ht="15" hidden="false" customHeight="false" outlineLevel="0" collapsed="false">
      <c r="A1383" s="30"/>
      <c r="B1383" s="25"/>
      <c r="C1383" s="25"/>
      <c r="D1383" s="25"/>
      <c r="E1383" s="25"/>
      <c r="F1383" s="25"/>
      <c r="G1383" s="25"/>
      <c r="H1383" s="31"/>
      <c r="I1383" s="32"/>
      <c r="J1383" s="33"/>
      <c r="K1383" s="34" t="str">
        <f aca="false">IF(OR(H1383="",I1383=""),"",H1383*I1383*(1-N(J1383)))</f>
        <v/>
      </c>
      <c r="L1383" s="32"/>
      <c r="M1383" s="34" t="str">
        <f aca="false">IF(OR(H1383="",L1383=""),"",H1383*L1383)</f>
        <v/>
      </c>
      <c r="N1383" s="34" t="str">
        <f aca="false">IF(OR(K1383="",M1383=""),"",K1383-M1383)</f>
        <v/>
      </c>
      <c r="O1383" s="35" t="str">
        <f aca="false">IF(OR(N1383="",K1383=""),"",IF(K1383=0,"",N1383/K1383))</f>
        <v/>
      </c>
      <c r="P1383" s="25"/>
      <c r="Q1383" s="25"/>
      <c r="R1383" s="25"/>
      <c r="S1383" s="36" t="str">
        <f aca="false">IF(A1383="","",YEAR(A1383)+IF(AND(FYStart&gt;1,MONTH(A1383)&gt;=FYStart),1,0))</f>
        <v/>
      </c>
      <c r="T1383" s="36" t="str">
        <f aca="false">IF(A1383="","",MOD(MONTH(A1383)-FYStart,12)+1)</f>
        <v/>
      </c>
      <c r="U1383" s="37" t="str">
        <f aca="false">IF(A1383="","",TEXT(A1383,"mmm"))</f>
        <v/>
      </c>
      <c r="V1383" s="37" t="str">
        <f aca="false">IF(Q1383="","",IFERROR(INDEX(Settings!$I$11:$I$15,MATCH(Q1383,Settings!$H$11:$H$15,0)),"No"))</f>
        <v/>
      </c>
      <c r="W1383" s="37" t="str">
        <f aca="false">IF(Q1383="","",IFERROR(INDEX(Settings!$J$11:$J$15,MATCH(Q1383,Settings!$H$11:$H$15,0)),"No"))</f>
        <v/>
      </c>
    </row>
    <row r="1384" customFormat="false" ht="15" hidden="false" customHeight="false" outlineLevel="0" collapsed="false">
      <c r="A1384" s="30"/>
      <c r="B1384" s="25"/>
      <c r="C1384" s="25"/>
      <c r="D1384" s="25"/>
      <c r="E1384" s="25"/>
      <c r="F1384" s="25"/>
      <c r="G1384" s="25"/>
      <c r="H1384" s="31"/>
      <c r="I1384" s="32"/>
      <c r="J1384" s="33"/>
      <c r="K1384" s="34" t="str">
        <f aca="false">IF(OR(H1384="",I1384=""),"",H1384*I1384*(1-N(J1384)))</f>
        <v/>
      </c>
      <c r="L1384" s="32"/>
      <c r="M1384" s="34" t="str">
        <f aca="false">IF(OR(H1384="",L1384=""),"",H1384*L1384)</f>
        <v/>
      </c>
      <c r="N1384" s="34" t="str">
        <f aca="false">IF(OR(K1384="",M1384=""),"",K1384-M1384)</f>
        <v/>
      </c>
      <c r="O1384" s="35" t="str">
        <f aca="false">IF(OR(N1384="",K1384=""),"",IF(K1384=0,"",N1384/K1384))</f>
        <v/>
      </c>
      <c r="P1384" s="25"/>
      <c r="Q1384" s="25"/>
      <c r="R1384" s="25"/>
      <c r="S1384" s="36" t="str">
        <f aca="false">IF(A1384="","",YEAR(A1384)+IF(AND(FYStart&gt;1,MONTH(A1384)&gt;=FYStart),1,0))</f>
        <v/>
      </c>
      <c r="T1384" s="36" t="str">
        <f aca="false">IF(A1384="","",MOD(MONTH(A1384)-FYStart,12)+1)</f>
        <v/>
      </c>
      <c r="U1384" s="37" t="str">
        <f aca="false">IF(A1384="","",TEXT(A1384,"mmm"))</f>
        <v/>
      </c>
      <c r="V1384" s="37" t="str">
        <f aca="false">IF(Q1384="","",IFERROR(INDEX(Settings!$I$11:$I$15,MATCH(Q1384,Settings!$H$11:$H$15,0)),"No"))</f>
        <v/>
      </c>
      <c r="W1384" s="37" t="str">
        <f aca="false">IF(Q1384="","",IFERROR(INDEX(Settings!$J$11:$J$15,MATCH(Q1384,Settings!$H$11:$H$15,0)),"No"))</f>
        <v/>
      </c>
    </row>
    <row r="1385" customFormat="false" ht="15" hidden="false" customHeight="false" outlineLevel="0" collapsed="false">
      <c r="A1385" s="30"/>
      <c r="B1385" s="25"/>
      <c r="C1385" s="25"/>
      <c r="D1385" s="25"/>
      <c r="E1385" s="25"/>
      <c r="F1385" s="25"/>
      <c r="G1385" s="25"/>
      <c r="H1385" s="31"/>
      <c r="I1385" s="32"/>
      <c r="J1385" s="33"/>
      <c r="K1385" s="34" t="str">
        <f aca="false">IF(OR(H1385="",I1385=""),"",H1385*I1385*(1-N(J1385)))</f>
        <v/>
      </c>
      <c r="L1385" s="32"/>
      <c r="M1385" s="34" t="str">
        <f aca="false">IF(OR(H1385="",L1385=""),"",H1385*L1385)</f>
        <v/>
      </c>
      <c r="N1385" s="34" t="str">
        <f aca="false">IF(OR(K1385="",M1385=""),"",K1385-M1385)</f>
        <v/>
      </c>
      <c r="O1385" s="35" t="str">
        <f aca="false">IF(OR(N1385="",K1385=""),"",IF(K1385=0,"",N1385/K1385))</f>
        <v/>
      </c>
      <c r="P1385" s="25"/>
      <c r="Q1385" s="25"/>
      <c r="R1385" s="25"/>
      <c r="S1385" s="36" t="str">
        <f aca="false">IF(A1385="","",YEAR(A1385)+IF(AND(FYStart&gt;1,MONTH(A1385)&gt;=FYStart),1,0))</f>
        <v/>
      </c>
      <c r="T1385" s="36" t="str">
        <f aca="false">IF(A1385="","",MOD(MONTH(A1385)-FYStart,12)+1)</f>
        <v/>
      </c>
      <c r="U1385" s="37" t="str">
        <f aca="false">IF(A1385="","",TEXT(A1385,"mmm"))</f>
        <v/>
      </c>
      <c r="V1385" s="37" t="str">
        <f aca="false">IF(Q1385="","",IFERROR(INDEX(Settings!$I$11:$I$15,MATCH(Q1385,Settings!$H$11:$H$15,0)),"No"))</f>
        <v/>
      </c>
      <c r="W1385" s="37" t="str">
        <f aca="false">IF(Q1385="","",IFERROR(INDEX(Settings!$J$11:$J$15,MATCH(Q1385,Settings!$H$11:$H$15,0)),"No"))</f>
        <v/>
      </c>
    </row>
    <row r="1386" customFormat="false" ht="15" hidden="false" customHeight="false" outlineLevel="0" collapsed="false">
      <c r="A1386" s="30"/>
      <c r="B1386" s="25"/>
      <c r="C1386" s="25"/>
      <c r="D1386" s="25"/>
      <c r="E1386" s="25"/>
      <c r="F1386" s="25"/>
      <c r="G1386" s="25"/>
      <c r="H1386" s="31"/>
      <c r="I1386" s="32"/>
      <c r="J1386" s="33"/>
      <c r="K1386" s="34" t="str">
        <f aca="false">IF(OR(H1386="",I1386=""),"",H1386*I1386*(1-N(J1386)))</f>
        <v/>
      </c>
      <c r="L1386" s="32"/>
      <c r="M1386" s="34" t="str">
        <f aca="false">IF(OR(H1386="",L1386=""),"",H1386*L1386)</f>
        <v/>
      </c>
      <c r="N1386" s="34" t="str">
        <f aca="false">IF(OR(K1386="",M1386=""),"",K1386-M1386)</f>
        <v/>
      </c>
      <c r="O1386" s="35" t="str">
        <f aca="false">IF(OR(N1386="",K1386=""),"",IF(K1386=0,"",N1386/K1386))</f>
        <v/>
      </c>
      <c r="P1386" s="25"/>
      <c r="Q1386" s="25"/>
      <c r="R1386" s="25"/>
      <c r="S1386" s="36" t="str">
        <f aca="false">IF(A1386="","",YEAR(A1386)+IF(AND(FYStart&gt;1,MONTH(A1386)&gt;=FYStart),1,0))</f>
        <v/>
      </c>
      <c r="T1386" s="36" t="str">
        <f aca="false">IF(A1386="","",MOD(MONTH(A1386)-FYStart,12)+1)</f>
        <v/>
      </c>
      <c r="U1386" s="37" t="str">
        <f aca="false">IF(A1386="","",TEXT(A1386,"mmm"))</f>
        <v/>
      </c>
      <c r="V1386" s="37" t="str">
        <f aca="false">IF(Q1386="","",IFERROR(INDEX(Settings!$I$11:$I$15,MATCH(Q1386,Settings!$H$11:$H$15,0)),"No"))</f>
        <v/>
      </c>
      <c r="W1386" s="37" t="str">
        <f aca="false">IF(Q1386="","",IFERROR(INDEX(Settings!$J$11:$J$15,MATCH(Q1386,Settings!$H$11:$H$15,0)),"No"))</f>
        <v/>
      </c>
    </row>
    <row r="1387" customFormat="false" ht="15" hidden="false" customHeight="false" outlineLevel="0" collapsed="false">
      <c r="A1387" s="30"/>
      <c r="B1387" s="25"/>
      <c r="C1387" s="25"/>
      <c r="D1387" s="25"/>
      <c r="E1387" s="25"/>
      <c r="F1387" s="25"/>
      <c r="G1387" s="25"/>
      <c r="H1387" s="31"/>
      <c r="I1387" s="32"/>
      <c r="J1387" s="33"/>
      <c r="K1387" s="34" t="str">
        <f aca="false">IF(OR(H1387="",I1387=""),"",H1387*I1387*(1-N(J1387)))</f>
        <v/>
      </c>
      <c r="L1387" s="32"/>
      <c r="M1387" s="34" t="str">
        <f aca="false">IF(OR(H1387="",L1387=""),"",H1387*L1387)</f>
        <v/>
      </c>
      <c r="N1387" s="34" t="str">
        <f aca="false">IF(OR(K1387="",M1387=""),"",K1387-M1387)</f>
        <v/>
      </c>
      <c r="O1387" s="35" t="str">
        <f aca="false">IF(OR(N1387="",K1387=""),"",IF(K1387=0,"",N1387/K1387))</f>
        <v/>
      </c>
      <c r="P1387" s="25"/>
      <c r="Q1387" s="25"/>
      <c r="R1387" s="25"/>
      <c r="S1387" s="36" t="str">
        <f aca="false">IF(A1387="","",YEAR(A1387)+IF(AND(FYStart&gt;1,MONTH(A1387)&gt;=FYStart),1,0))</f>
        <v/>
      </c>
      <c r="T1387" s="36" t="str">
        <f aca="false">IF(A1387="","",MOD(MONTH(A1387)-FYStart,12)+1)</f>
        <v/>
      </c>
      <c r="U1387" s="37" t="str">
        <f aca="false">IF(A1387="","",TEXT(A1387,"mmm"))</f>
        <v/>
      </c>
      <c r="V1387" s="37" t="str">
        <f aca="false">IF(Q1387="","",IFERROR(INDEX(Settings!$I$11:$I$15,MATCH(Q1387,Settings!$H$11:$H$15,0)),"No"))</f>
        <v/>
      </c>
      <c r="W1387" s="37" t="str">
        <f aca="false">IF(Q1387="","",IFERROR(INDEX(Settings!$J$11:$J$15,MATCH(Q1387,Settings!$H$11:$H$15,0)),"No"))</f>
        <v/>
      </c>
    </row>
    <row r="1388" customFormat="false" ht="15" hidden="false" customHeight="false" outlineLevel="0" collapsed="false">
      <c r="A1388" s="30"/>
      <c r="B1388" s="25"/>
      <c r="C1388" s="25"/>
      <c r="D1388" s="25"/>
      <c r="E1388" s="25"/>
      <c r="F1388" s="25"/>
      <c r="G1388" s="25"/>
      <c r="H1388" s="31"/>
      <c r="I1388" s="32"/>
      <c r="J1388" s="33"/>
      <c r="K1388" s="34" t="str">
        <f aca="false">IF(OR(H1388="",I1388=""),"",H1388*I1388*(1-N(J1388)))</f>
        <v/>
      </c>
      <c r="L1388" s="32"/>
      <c r="M1388" s="34" t="str">
        <f aca="false">IF(OR(H1388="",L1388=""),"",H1388*L1388)</f>
        <v/>
      </c>
      <c r="N1388" s="34" t="str">
        <f aca="false">IF(OR(K1388="",M1388=""),"",K1388-M1388)</f>
        <v/>
      </c>
      <c r="O1388" s="35" t="str">
        <f aca="false">IF(OR(N1388="",K1388=""),"",IF(K1388=0,"",N1388/K1388))</f>
        <v/>
      </c>
      <c r="P1388" s="25"/>
      <c r="Q1388" s="25"/>
      <c r="R1388" s="25"/>
      <c r="S1388" s="36" t="str">
        <f aca="false">IF(A1388="","",YEAR(A1388)+IF(AND(FYStart&gt;1,MONTH(A1388)&gt;=FYStart),1,0))</f>
        <v/>
      </c>
      <c r="T1388" s="36" t="str">
        <f aca="false">IF(A1388="","",MOD(MONTH(A1388)-FYStart,12)+1)</f>
        <v/>
      </c>
      <c r="U1388" s="37" t="str">
        <f aca="false">IF(A1388="","",TEXT(A1388,"mmm"))</f>
        <v/>
      </c>
      <c r="V1388" s="37" t="str">
        <f aca="false">IF(Q1388="","",IFERROR(INDEX(Settings!$I$11:$I$15,MATCH(Q1388,Settings!$H$11:$H$15,0)),"No"))</f>
        <v/>
      </c>
      <c r="W1388" s="37" t="str">
        <f aca="false">IF(Q1388="","",IFERROR(INDEX(Settings!$J$11:$J$15,MATCH(Q1388,Settings!$H$11:$H$15,0)),"No"))</f>
        <v/>
      </c>
    </row>
    <row r="1389" customFormat="false" ht="15" hidden="false" customHeight="false" outlineLevel="0" collapsed="false">
      <c r="A1389" s="30"/>
      <c r="B1389" s="25"/>
      <c r="C1389" s="25"/>
      <c r="D1389" s="25"/>
      <c r="E1389" s="25"/>
      <c r="F1389" s="25"/>
      <c r="G1389" s="25"/>
      <c r="H1389" s="31"/>
      <c r="I1389" s="32"/>
      <c r="J1389" s="33"/>
      <c r="K1389" s="34" t="str">
        <f aca="false">IF(OR(H1389="",I1389=""),"",H1389*I1389*(1-N(J1389)))</f>
        <v/>
      </c>
      <c r="L1389" s="32"/>
      <c r="M1389" s="34" t="str">
        <f aca="false">IF(OR(H1389="",L1389=""),"",H1389*L1389)</f>
        <v/>
      </c>
      <c r="N1389" s="34" t="str">
        <f aca="false">IF(OR(K1389="",M1389=""),"",K1389-M1389)</f>
        <v/>
      </c>
      <c r="O1389" s="35" t="str">
        <f aca="false">IF(OR(N1389="",K1389=""),"",IF(K1389=0,"",N1389/K1389))</f>
        <v/>
      </c>
      <c r="P1389" s="25"/>
      <c r="Q1389" s="25"/>
      <c r="R1389" s="25"/>
      <c r="S1389" s="36" t="str">
        <f aca="false">IF(A1389="","",YEAR(A1389)+IF(AND(FYStart&gt;1,MONTH(A1389)&gt;=FYStart),1,0))</f>
        <v/>
      </c>
      <c r="T1389" s="36" t="str">
        <f aca="false">IF(A1389="","",MOD(MONTH(A1389)-FYStart,12)+1)</f>
        <v/>
      </c>
      <c r="U1389" s="37" t="str">
        <f aca="false">IF(A1389="","",TEXT(A1389,"mmm"))</f>
        <v/>
      </c>
      <c r="V1389" s="37" t="str">
        <f aca="false">IF(Q1389="","",IFERROR(INDEX(Settings!$I$11:$I$15,MATCH(Q1389,Settings!$H$11:$H$15,0)),"No"))</f>
        <v/>
      </c>
      <c r="W1389" s="37" t="str">
        <f aca="false">IF(Q1389="","",IFERROR(INDEX(Settings!$J$11:$J$15,MATCH(Q1389,Settings!$H$11:$H$15,0)),"No"))</f>
        <v/>
      </c>
    </row>
    <row r="1390" customFormat="false" ht="15" hidden="false" customHeight="false" outlineLevel="0" collapsed="false">
      <c r="A1390" s="30"/>
      <c r="B1390" s="25"/>
      <c r="C1390" s="25"/>
      <c r="D1390" s="25"/>
      <c r="E1390" s="25"/>
      <c r="F1390" s="25"/>
      <c r="G1390" s="25"/>
      <c r="H1390" s="31"/>
      <c r="I1390" s="32"/>
      <c r="J1390" s="33"/>
      <c r="K1390" s="34" t="str">
        <f aca="false">IF(OR(H1390="",I1390=""),"",H1390*I1390*(1-N(J1390)))</f>
        <v/>
      </c>
      <c r="L1390" s="32"/>
      <c r="M1390" s="34" t="str">
        <f aca="false">IF(OR(H1390="",L1390=""),"",H1390*L1390)</f>
        <v/>
      </c>
      <c r="N1390" s="34" t="str">
        <f aca="false">IF(OR(K1390="",M1390=""),"",K1390-M1390)</f>
        <v/>
      </c>
      <c r="O1390" s="35" t="str">
        <f aca="false">IF(OR(N1390="",K1390=""),"",IF(K1390=0,"",N1390/K1390))</f>
        <v/>
      </c>
      <c r="P1390" s="25"/>
      <c r="Q1390" s="25"/>
      <c r="R1390" s="25"/>
      <c r="S1390" s="36" t="str">
        <f aca="false">IF(A1390="","",YEAR(A1390)+IF(AND(FYStart&gt;1,MONTH(A1390)&gt;=FYStart),1,0))</f>
        <v/>
      </c>
      <c r="T1390" s="36" t="str">
        <f aca="false">IF(A1390="","",MOD(MONTH(A1390)-FYStart,12)+1)</f>
        <v/>
      </c>
      <c r="U1390" s="37" t="str">
        <f aca="false">IF(A1390="","",TEXT(A1390,"mmm"))</f>
        <v/>
      </c>
      <c r="V1390" s="37" t="str">
        <f aca="false">IF(Q1390="","",IFERROR(INDEX(Settings!$I$11:$I$15,MATCH(Q1390,Settings!$H$11:$H$15,0)),"No"))</f>
        <v/>
      </c>
      <c r="W1390" s="37" t="str">
        <f aca="false">IF(Q1390="","",IFERROR(INDEX(Settings!$J$11:$J$15,MATCH(Q1390,Settings!$H$11:$H$15,0)),"No"))</f>
        <v/>
      </c>
    </row>
    <row r="1391" customFormat="false" ht="15" hidden="false" customHeight="false" outlineLevel="0" collapsed="false">
      <c r="A1391" s="30"/>
      <c r="B1391" s="25"/>
      <c r="C1391" s="25"/>
      <c r="D1391" s="25"/>
      <c r="E1391" s="25"/>
      <c r="F1391" s="25"/>
      <c r="G1391" s="25"/>
      <c r="H1391" s="31"/>
      <c r="I1391" s="32"/>
      <c r="J1391" s="33"/>
      <c r="K1391" s="34" t="str">
        <f aca="false">IF(OR(H1391="",I1391=""),"",H1391*I1391*(1-N(J1391)))</f>
        <v/>
      </c>
      <c r="L1391" s="32"/>
      <c r="M1391" s="34" t="str">
        <f aca="false">IF(OR(H1391="",L1391=""),"",H1391*L1391)</f>
        <v/>
      </c>
      <c r="N1391" s="34" t="str">
        <f aca="false">IF(OR(K1391="",M1391=""),"",K1391-M1391)</f>
        <v/>
      </c>
      <c r="O1391" s="35" t="str">
        <f aca="false">IF(OR(N1391="",K1391=""),"",IF(K1391=0,"",N1391/K1391))</f>
        <v/>
      </c>
      <c r="P1391" s="25"/>
      <c r="Q1391" s="25"/>
      <c r="R1391" s="25"/>
      <c r="S1391" s="36" t="str">
        <f aca="false">IF(A1391="","",YEAR(A1391)+IF(AND(FYStart&gt;1,MONTH(A1391)&gt;=FYStart),1,0))</f>
        <v/>
      </c>
      <c r="T1391" s="36" t="str">
        <f aca="false">IF(A1391="","",MOD(MONTH(A1391)-FYStart,12)+1)</f>
        <v/>
      </c>
      <c r="U1391" s="37" t="str">
        <f aca="false">IF(A1391="","",TEXT(A1391,"mmm"))</f>
        <v/>
      </c>
      <c r="V1391" s="37" t="str">
        <f aca="false">IF(Q1391="","",IFERROR(INDEX(Settings!$I$11:$I$15,MATCH(Q1391,Settings!$H$11:$H$15,0)),"No"))</f>
        <v/>
      </c>
      <c r="W1391" s="37" t="str">
        <f aca="false">IF(Q1391="","",IFERROR(INDEX(Settings!$J$11:$J$15,MATCH(Q1391,Settings!$H$11:$H$15,0)),"No"))</f>
        <v/>
      </c>
    </row>
    <row r="1392" customFormat="false" ht="15" hidden="false" customHeight="false" outlineLevel="0" collapsed="false">
      <c r="A1392" s="30"/>
      <c r="B1392" s="25"/>
      <c r="C1392" s="25"/>
      <c r="D1392" s="25"/>
      <c r="E1392" s="25"/>
      <c r="F1392" s="25"/>
      <c r="G1392" s="25"/>
      <c r="H1392" s="31"/>
      <c r="I1392" s="32"/>
      <c r="J1392" s="33"/>
      <c r="K1392" s="34" t="str">
        <f aca="false">IF(OR(H1392="",I1392=""),"",H1392*I1392*(1-N(J1392)))</f>
        <v/>
      </c>
      <c r="L1392" s="32"/>
      <c r="M1392" s="34" t="str">
        <f aca="false">IF(OR(H1392="",L1392=""),"",H1392*L1392)</f>
        <v/>
      </c>
      <c r="N1392" s="34" t="str">
        <f aca="false">IF(OR(K1392="",M1392=""),"",K1392-M1392)</f>
        <v/>
      </c>
      <c r="O1392" s="35" t="str">
        <f aca="false">IF(OR(N1392="",K1392=""),"",IF(K1392=0,"",N1392/K1392))</f>
        <v/>
      </c>
      <c r="P1392" s="25"/>
      <c r="Q1392" s="25"/>
      <c r="R1392" s="25"/>
      <c r="S1392" s="36" t="str">
        <f aca="false">IF(A1392="","",YEAR(A1392)+IF(AND(FYStart&gt;1,MONTH(A1392)&gt;=FYStart),1,0))</f>
        <v/>
      </c>
      <c r="T1392" s="36" t="str">
        <f aca="false">IF(A1392="","",MOD(MONTH(A1392)-FYStart,12)+1)</f>
        <v/>
      </c>
      <c r="U1392" s="37" t="str">
        <f aca="false">IF(A1392="","",TEXT(A1392,"mmm"))</f>
        <v/>
      </c>
      <c r="V1392" s="37" t="str">
        <f aca="false">IF(Q1392="","",IFERROR(INDEX(Settings!$I$11:$I$15,MATCH(Q1392,Settings!$H$11:$H$15,0)),"No"))</f>
        <v/>
      </c>
      <c r="W1392" s="37" t="str">
        <f aca="false">IF(Q1392="","",IFERROR(INDEX(Settings!$J$11:$J$15,MATCH(Q1392,Settings!$H$11:$H$15,0)),"No"))</f>
        <v/>
      </c>
    </row>
    <row r="1393" customFormat="false" ht="15" hidden="false" customHeight="false" outlineLevel="0" collapsed="false">
      <c r="A1393" s="30"/>
      <c r="B1393" s="25"/>
      <c r="C1393" s="25"/>
      <c r="D1393" s="25"/>
      <c r="E1393" s="25"/>
      <c r="F1393" s="25"/>
      <c r="G1393" s="25"/>
      <c r="H1393" s="31"/>
      <c r="I1393" s="32"/>
      <c r="J1393" s="33"/>
      <c r="K1393" s="34" t="str">
        <f aca="false">IF(OR(H1393="",I1393=""),"",H1393*I1393*(1-N(J1393)))</f>
        <v/>
      </c>
      <c r="L1393" s="32"/>
      <c r="M1393" s="34" t="str">
        <f aca="false">IF(OR(H1393="",L1393=""),"",H1393*L1393)</f>
        <v/>
      </c>
      <c r="N1393" s="34" t="str">
        <f aca="false">IF(OR(K1393="",M1393=""),"",K1393-M1393)</f>
        <v/>
      </c>
      <c r="O1393" s="35" t="str">
        <f aca="false">IF(OR(N1393="",K1393=""),"",IF(K1393=0,"",N1393/K1393))</f>
        <v/>
      </c>
      <c r="P1393" s="25"/>
      <c r="Q1393" s="25"/>
      <c r="R1393" s="25"/>
      <c r="S1393" s="36" t="str">
        <f aca="false">IF(A1393="","",YEAR(A1393)+IF(AND(FYStart&gt;1,MONTH(A1393)&gt;=FYStart),1,0))</f>
        <v/>
      </c>
      <c r="T1393" s="36" t="str">
        <f aca="false">IF(A1393="","",MOD(MONTH(A1393)-FYStart,12)+1)</f>
        <v/>
      </c>
      <c r="U1393" s="37" t="str">
        <f aca="false">IF(A1393="","",TEXT(A1393,"mmm"))</f>
        <v/>
      </c>
      <c r="V1393" s="37" t="str">
        <f aca="false">IF(Q1393="","",IFERROR(INDEX(Settings!$I$11:$I$15,MATCH(Q1393,Settings!$H$11:$H$15,0)),"No"))</f>
        <v/>
      </c>
      <c r="W1393" s="37" t="str">
        <f aca="false">IF(Q1393="","",IFERROR(INDEX(Settings!$J$11:$J$15,MATCH(Q1393,Settings!$H$11:$H$15,0)),"No"))</f>
        <v/>
      </c>
    </row>
    <row r="1394" customFormat="false" ht="15" hidden="false" customHeight="false" outlineLevel="0" collapsed="false">
      <c r="A1394" s="30"/>
      <c r="B1394" s="25"/>
      <c r="C1394" s="25"/>
      <c r="D1394" s="25"/>
      <c r="E1394" s="25"/>
      <c r="F1394" s="25"/>
      <c r="G1394" s="25"/>
      <c r="H1394" s="31"/>
      <c r="I1394" s="32"/>
      <c r="J1394" s="33"/>
      <c r="K1394" s="34" t="str">
        <f aca="false">IF(OR(H1394="",I1394=""),"",H1394*I1394*(1-N(J1394)))</f>
        <v/>
      </c>
      <c r="L1394" s="32"/>
      <c r="M1394" s="34" t="str">
        <f aca="false">IF(OR(H1394="",L1394=""),"",H1394*L1394)</f>
        <v/>
      </c>
      <c r="N1394" s="34" t="str">
        <f aca="false">IF(OR(K1394="",M1394=""),"",K1394-M1394)</f>
        <v/>
      </c>
      <c r="O1394" s="35" t="str">
        <f aca="false">IF(OR(N1394="",K1394=""),"",IF(K1394=0,"",N1394/K1394))</f>
        <v/>
      </c>
      <c r="P1394" s="25"/>
      <c r="Q1394" s="25"/>
      <c r="R1394" s="25"/>
      <c r="S1394" s="36" t="str">
        <f aca="false">IF(A1394="","",YEAR(A1394)+IF(AND(FYStart&gt;1,MONTH(A1394)&gt;=FYStart),1,0))</f>
        <v/>
      </c>
      <c r="T1394" s="36" t="str">
        <f aca="false">IF(A1394="","",MOD(MONTH(A1394)-FYStart,12)+1)</f>
        <v/>
      </c>
      <c r="U1394" s="37" t="str">
        <f aca="false">IF(A1394="","",TEXT(A1394,"mmm"))</f>
        <v/>
      </c>
      <c r="V1394" s="37" t="str">
        <f aca="false">IF(Q1394="","",IFERROR(INDEX(Settings!$I$11:$I$15,MATCH(Q1394,Settings!$H$11:$H$15,0)),"No"))</f>
        <v/>
      </c>
      <c r="W1394" s="37" t="str">
        <f aca="false">IF(Q1394="","",IFERROR(INDEX(Settings!$J$11:$J$15,MATCH(Q1394,Settings!$H$11:$H$15,0)),"No"))</f>
        <v/>
      </c>
    </row>
    <row r="1395" customFormat="false" ht="15" hidden="false" customHeight="false" outlineLevel="0" collapsed="false">
      <c r="A1395" s="30"/>
      <c r="B1395" s="25"/>
      <c r="C1395" s="25"/>
      <c r="D1395" s="25"/>
      <c r="E1395" s="25"/>
      <c r="F1395" s="25"/>
      <c r="G1395" s="25"/>
      <c r="H1395" s="31"/>
      <c r="I1395" s="32"/>
      <c r="J1395" s="33"/>
      <c r="K1395" s="34" t="str">
        <f aca="false">IF(OR(H1395="",I1395=""),"",H1395*I1395*(1-N(J1395)))</f>
        <v/>
      </c>
      <c r="L1395" s="32"/>
      <c r="M1395" s="34" t="str">
        <f aca="false">IF(OR(H1395="",L1395=""),"",H1395*L1395)</f>
        <v/>
      </c>
      <c r="N1395" s="34" t="str">
        <f aca="false">IF(OR(K1395="",M1395=""),"",K1395-M1395)</f>
        <v/>
      </c>
      <c r="O1395" s="35" t="str">
        <f aca="false">IF(OR(N1395="",K1395=""),"",IF(K1395=0,"",N1395/K1395))</f>
        <v/>
      </c>
      <c r="P1395" s="25"/>
      <c r="Q1395" s="25"/>
      <c r="R1395" s="25"/>
      <c r="S1395" s="36" t="str">
        <f aca="false">IF(A1395="","",YEAR(A1395)+IF(AND(FYStart&gt;1,MONTH(A1395)&gt;=FYStart),1,0))</f>
        <v/>
      </c>
      <c r="T1395" s="36" t="str">
        <f aca="false">IF(A1395="","",MOD(MONTH(A1395)-FYStart,12)+1)</f>
        <v/>
      </c>
      <c r="U1395" s="37" t="str">
        <f aca="false">IF(A1395="","",TEXT(A1395,"mmm"))</f>
        <v/>
      </c>
      <c r="V1395" s="37" t="str">
        <f aca="false">IF(Q1395="","",IFERROR(INDEX(Settings!$I$11:$I$15,MATCH(Q1395,Settings!$H$11:$H$15,0)),"No"))</f>
        <v/>
      </c>
      <c r="W1395" s="37" t="str">
        <f aca="false">IF(Q1395="","",IFERROR(INDEX(Settings!$J$11:$J$15,MATCH(Q1395,Settings!$H$11:$H$15,0)),"No"))</f>
        <v/>
      </c>
    </row>
    <row r="1396" customFormat="false" ht="15" hidden="false" customHeight="false" outlineLevel="0" collapsed="false">
      <c r="A1396" s="30"/>
      <c r="B1396" s="25"/>
      <c r="C1396" s="25"/>
      <c r="D1396" s="25"/>
      <c r="E1396" s="25"/>
      <c r="F1396" s="25"/>
      <c r="G1396" s="25"/>
      <c r="H1396" s="31"/>
      <c r="I1396" s="32"/>
      <c r="J1396" s="33"/>
      <c r="K1396" s="34" t="str">
        <f aca="false">IF(OR(H1396="",I1396=""),"",H1396*I1396*(1-N(J1396)))</f>
        <v/>
      </c>
      <c r="L1396" s="32"/>
      <c r="M1396" s="34" t="str">
        <f aca="false">IF(OR(H1396="",L1396=""),"",H1396*L1396)</f>
        <v/>
      </c>
      <c r="N1396" s="34" t="str">
        <f aca="false">IF(OR(K1396="",M1396=""),"",K1396-M1396)</f>
        <v/>
      </c>
      <c r="O1396" s="35" t="str">
        <f aca="false">IF(OR(N1396="",K1396=""),"",IF(K1396=0,"",N1396/K1396))</f>
        <v/>
      </c>
      <c r="P1396" s="25"/>
      <c r="Q1396" s="25"/>
      <c r="R1396" s="25"/>
      <c r="S1396" s="36" t="str">
        <f aca="false">IF(A1396="","",YEAR(A1396)+IF(AND(FYStart&gt;1,MONTH(A1396)&gt;=FYStart),1,0))</f>
        <v/>
      </c>
      <c r="T1396" s="36" t="str">
        <f aca="false">IF(A1396="","",MOD(MONTH(A1396)-FYStart,12)+1)</f>
        <v/>
      </c>
      <c r="U1396" s="37" t="str">
        <f aca="false">IF(A1396="","",TEXT(A1396,"mmm"))</f>
        <v/>
      </c>
      <c r="V1396" s="37" t="str">
        <f aca="false">IF(Q1396="","",IFERROR(INDEX(Settings!$I$11:$I$15,MATCH(Q1396,Settings!$H$11:$H$15,0)),"No"))</f>
        <v/>
      </c>
      <c r="W1396" s="37" t="str">
        <f aca="false">IF(Q1396="","",IFERROR(INDEX(Settings!$J$11:$J$15,MATCH(Q1396,Settings!$H$11:$H$15,0)),"No"))</f>
        <v/>
      </c>
    </row>
    <row r="1397" customFormat="false" ht="15" hidden="false" customHeight="false" outlineLevel="0" collapsed="false">
      <c r="A1397" s="30"/>
      <c r="B1397" s="25"/>
      <c r="C1397" s="25"/>
      <c r="D1397" s="25"/>
      <c r="E1397" s="25"/>
      <c r="F1397" s="25"/>
      <c r="G1397" s="25"/>
      <c r="H1397" s="31"/>
      <c r="I1397" s="32"/>
      <c r="J1397" s="33"/>
      <c r="K1397" s="34" t="str">
        <f aca="false">IF(OR(H1397="",I1397=""),"",H1397*I1397*(1-N(J1397)))</f>
        <v/>
      </c>
      <c r="L1397" s="32"/>
      <c r="M1397" s="34" t="str">
        <f aca="false">IF(OR(H1397="",L1397=""),"",H1397*L1397)</f>
        <v/>
      </c>
      <c r="N1397" s="34" t="str">
        <f aca="false">IF(OR(K1397="",M1397=""),"",K1397-M1397)</f>
        <v/>
      </c>
      <c r="O1397" s="35" t="str">
        <f aca="false">IF(OR(N1397="",K1397=""),"",IF(K1397=0,"",N1397/K1397))</f>
        <v/>
      </c>
      <c r="P1397" s="25"/>
      <c r="Q1397" s="25"/>
      <c r="R1397" s="25"/>
      <c r="S1397" s="36" t="str">
        <f aca="false">IF(A1397="","",YEAR(A1397)+IF(AND(FYStart&gt;1,MONTH(A1397)&gt;=FYStart),1,0))</f>
        <v/>
      </c>
      <c r="T1397" s="36" t="str">
        <f aca="false">IF(A1397="","",MOD(MONTH(A1397)-FYStart,12)+1)</f>
        <v/>
      </c>
      <c r="U1397" s="37" t="str">
        <f aca="false">IF(A1397="","",TEXT(A1397,"mmm"))</f>
        <v/>
      </c>
      <c r="V1397" s="37" t="str">
        <f aca="false">IF(Q1397="","",IFERROR(INDEX(Settings!$I$11:$I$15,MATCH(Q1397,Settings!$H$11:$H$15,0)),"No"))</f>
        <v/>
      </c>
      <c r="W1397" s="37" t="str">
        <f aca="false">IF(Q1397="","",IFERROR(INDEX(Settings!$J$11:$J$15,MATCH(Q1397,Settings!$H$11:$H$15,0)),"No"))</f>
        <v/>
      </c>
    </row>
    <row r="1398" customFormat="false" ht="15" hidden="false" customHeight="false" outlineLevel="0" collapsed="false">
      <c r="A1398" s="30"/>
      <c r="B1398" s="25"/>
      <c r="C1398" s="25"/>
      <c r="D1398" s="25"/>
      <c r="E1398" s="25"/>
      <c r="F1398" s="25"/>
      <c r="G1398" s="25"/>
      <c r="H1398" s="31"/>
      <c r="I1398" s="32"/>
      <c r="J1398" s="33"/>
      <c r="K1398" s="34" t="str">
        <f aca="false">IF(OR(H1398="",I1398=""),"",H1398*I1398*(1-N(J1398)))</f>
        <v/>
      </c>
      <c r="L1398" s="32"/>
      <c r="M1398" s="34" t="str">
        <f aca="false">IF(OR(H1398="",L1398=""),"",H1398*L1398)</f>
        <v/>
      </c>
      <c r="N1398" s="34" t="str">
        <f aca="false">IF(OR(K1398="",M1398=""),"",K1398-M1398)</f>
        <v/>
      </c>
      <c r="O1398" s="35" t="str">
        <f aca="false">IF(OR(N1398="",K1398=""),"",IF(K1398=0,"",N1398/K1398))</f>
        <v/>
      </c>
      <c r="P1398" s="25"/>
      <c r="Q1398" s="25"/>
      <c r="R1398" s="25"/>
      <c r="S1398" s="36" t="str">
        <f aca="false">IF(A1398="","",YEAR(A1398)+IF(AND(FYStart&gt;1,MONTH(A1398)&gt;=FYStart),1,0))</f>
        <v/>
      </c>
      <c r="T1398" s="36" t="str">
        <f aca="false">IF(A1398="","",MOD(MONTH(A1398)-FYStart,12)+1)</f>
        <v/>
      </c>
      <c r="U1398" s="37" t="str">
        <f aca="false">IF(A1398="","",TEXT(A1398,"mmm"))</f>
        <v/>
      </c>
      <c r="V1398" s="37" t="str">
        <f aca="false">IF(Q1398="","",IFERROR(INDEX(Settings!$I$11:$I$15,MATCH(Q1398,Settings!$H$11:$H$15,0)),"No"))</f>
        <v/>
      </c>
      <c r="W1398" s="37" t="str">
        <f aca="false">IF(Q1398="","",IFERROR(INDEX(Settings!$J$11:$J$15,MATCH(Q1398,Settings!$H$11:$H$15,0)),"No"))</f>
        <v/>
      </c>
    </row>
    <row r="1399" customFormat="false" ht="15" hidden="false" customHeight="false" outlineLevel="0" collapsed="false">
      <c r="A1399" s="30"/>
      <c r="B1399" s="25"/>
      <c r="C1399" s="25"/>
      <c r="D1399" s="25"/>
      <c r="E1399" s="25"/>
      <c r="F1399" s="25"/>
      <c r="G1399" s="25"/>
      <c r="H1399" s="31"/>
      <c r="I1399" s="32"/>
      <c r="J1399" s="33"/>
      <c r="K1399" s="34" t="str">
        <f aca="false">IF(OR(H1399="",I1399=""),"",H1399*I1399*(1-N(J1399)))</f>
        <v/>
      </c>
      <c r="L1399" s="32"/>
      <c r="M1399" s="34" t="str">
        <f aca="false">IF(OR(H1399="",L1399=""),"",H1399*L1399)</f>
        <v/>
      </c>
      <c r="N1399" s="34" t="str">
        <f aca="false">IF(OR(K1399="",M1399=""),"",K1399-M1399)</f>
        <v/>
      </c>
      <c r="O1399" s="35" t="str">
        <f aca="false">IF(OR(N1399="",K1399=""),"",IF(K1399=0,"",N1399/K1399))</f>
        <v/>
      </c>
      <c r="P1399" s="25"/>
      <c r="Q1399" s="25"/>
      <c r="R1399" s="25"/>
      <c r="S1399" s="36" t="str">
        <f aca="false">IF(A1399="","",YEAR(A1399)+IF(AND(FYStart&gt;1,MONTH(A1399)&gt;=FYStart),1,0))</f>
        <v/>
      </c>
      <c r="T1399" s="36" t="str">
        <f aca="false">IF(A1399="","",MOD(MONTH(A1399)-FYStart,12)+1)</f>
        <v/>
      </c>
      <c r="U1399" s="37" t="str">
        <f aca="false">IF(A1399="","",TEXT(A1399,"mmm"))</f>
        <v/>
      </c>
      <c r="V1399" s="37" t="str">
        <f aca="false">IF(Q1399="","",IFERROR(INDEX(Settings!$I$11:$I$15,MATCH(Q1399,Settings!$H$11:$H$15,0)),"No"))</f>
        <v/>
      </c>
      <c r="W1399" s="37" t="str">
        <f aca="false">IF(Q1399="","",IFERROR(INDEX(Settings!$J$11:$J$15,MATCH(Q1399,Settings!$H$11:$H$15,0)),"No"))</f>
        <v/>
      </c>
    </row>
    <row r="1400" customFormat="false" ht="15" hidden="false" customHeight="false" outlineLevel="0" collapsed="false">
      <c r="A1400" s="30"/>
      <c r="B1400" s="25"/>
      <c r="C1400" s="25"/>
      <c r="D1400" s="25"/>
      <c r="E1400" s="25"/>
      <c r="F1400" s="25"/>
      <c r="G1400" s="25"/>
      <c r="H1400" s="31"/>
      <c r="I1400" s="32"/>
      <c r="J1400" s="33"/>
      <c r="K1400" s="34" t="str">
        <f aca="false">IF(OR(H1400="",I1400=""),"",H1400*I1400*(1-N(J1400)))</f>
        <v/>
      </c>
      <c r="L1400" s="32"/>
      <c r="M1400" s="34" t="str">
        <f aca="false">IF(OR(H1400="",L1400=""),"",H1400*L1400)</f>
        <v/>
      </c>
      <c r="N1400" s="34" t="str">
        <f aca="false">IF(OR(K1400="",M1400=""),"",K1400-M1400)</f>
        <v/>
      </c>
      <c r="O1400" s="35" t="str">
        <f aca="false">IF(OR(N1400="",K1400=""),"",IF(K1400=0,"",N1400/K1400))</f>
        <v/>
      </c>
      <c r="P1400" s="25"/>
      <c r="Q1400" s="25"/>
      <c r="R1400" s="25"/>
      <c r="S1400" s="36" t="str">
        <f aca="false">IF(A1400="","",YEAR(A1400)+IF(AND(FYStart&gt;1,MONTH(A1400)&gt;=FYStart),1,0))</f>
        <v/>
      </c>
      <c r="T1400" s="36" t="str">
        <f aca="false">IF(A1400="","",MOD(MONTH(A1400)-FYStart,12)+1)</f>
        <v/>
      </c>
      <c r="U1400" s="37" t="str">
        <f aca="false">IF(A1400="","",TEXT(A1400,"mmm"))</f>
        <v/>
      </c>
      <c r="V1400" s="37" t="str">
        <f aca="false">IF(Q1400="","",IFERROR(INDEX(Settings!$I$11:$I$15,MATCH(Q1400,Settings!$H$11:$H$15,0)),"No"))</f>
        <v/>
      </c>
      <c r="W1400" s="37" t="str">
        <f aca="false">IF(Q1400="","",IFERROR(INDEX(Settings!$J$11:$J$15,MATCH(Q1400,Settings!$H$11:$H$15,0)),"No"))</f>
        <v/>
      </c>
    </row>
    <row r="1401" customFormat="false" ht="15" hidden="false" customHeight="false" outlineLevel="0" collapsed="false">
      <c r="A1401" s="30"/>
      <c r="B1401" s="25"/>
      <c r="C1401" s="25"/>
      <c r="D1401" s="25"/>
      <c r="E1401" s="25"/>
      <c r="F1401" s="25"/>
      <c r="G1401" s="25"/>
      <c r="H1401" s="31"/>
      <c r="I1401" s="32"/>
      <c r="J1401" s="33"/>
      <c r="K1401" s="34" t="str">
        <f aca="false">IF(OR(H1401="",I1401=""),"",H1401*I1401*(1-N(J1401)))</f>
        <v/>
      </c>
      <c r="L1401" s="32"/>
      <c r="M1401" s="34" t="str">
        <f aca="false">IF(OR(H1401="",L1401=""),"",H1401*L1401)</f>
        <v/>
      </c>
      <c r="N1401" s="34" t="str">
        <f aca="false">IF(OR(K1401="",M1401=""),"",K1401-M1401)</f>
        <v/>
      </c>
      <c r="O1401" s="35" t="str">
        <f aca="false">IF(OR(N1401="",K1401=""),"",IF(K1401=0,"",N1401/K1401))</f>
        <v/>
      </c>
      <c r="P1401" s="25"/>
      <c r="Q1401" s="25"/>
      <c r="R1401" s="25"/>
      <c r="S1401" s="36" t="str">
        <f aca="false">IF(A1401="","",YEAR(A1401)+IF(AND(FYStart&gt;1,MONTH(A1401)&gt;=FYStart),1,0))</f>
        <v/>
      </c>
      <c r="T1401" s="36" t="str">
        <f aca="false">IF(A1401="","",MOD(MONTH(A1401)-FYStart,12)+1)</f>
        <v/>
      </c>
      <c r="U1401" s="37" t="str">
        <f aca="false">IF(A1401="","",TEXT(A1401,"mmm"))</f>
        <v/>
      </c>
      <c r="V1401" s="37" t="str">
        <f aca="false">IF(Q1401="","",IFERROR(INDEX(Settings!$I$11:$I$15,MATCH(Q1401,Settings!$H$11:$H$15,0)),"No"))</f>
        <v/>
      </c>
      <c r="W1401" s="37" t="str">
        <f aca="false">IF(Q1401="","",IFERROR(INDEX(Settings!$J$11:$J$15,MATCH(Q1401,Settings!$H$11:$H$15,0)),"No"))</f>
        <v/>
      </c>
    </row>
    <row r="1402" customFormat="false" ht="15" hidden="false" customHeight="false" outlineLevel="0" collapsed="false">
      <c r="A1402" s="30"/>
      <c r="B1402" s="25"/>
      <c r="C1402" s="25"/>
      <c r="D1402" s="25"/>
      <c r="E1402" s="25"/>
      <c r="F1402" s="25"/>
      <c r="G1402" s="25"/>
      <c r="H1402" s="31"/>
      <c r="I1402" s="32"/>
      <c r="J1402" s="33"/>
      <c r="K1402" s="34" t="str">
        <f aca="false">IF(OR(H1402="",I1402=""),"",H1402*I1402*(1-N(J1402)))</f>
        <v/>
      </c>
      <c r="L1402" s="32"/>
      <c r="M1402" s="34" t="str">
        <f aca="false">IF(OR(H1402="",L1402=""),"",H1402*L1402)</f>
        <v/>
      </c>
      <c r="N1402" s="34" t="str">
        <f aca="false">IF(OR(K1402="",M1402=""),"",K1402-M1402)</f>
        <v/>
      </c>
      <c r="O1402" s="35" t="str">
        <f aca="false">IF(OR(N1402="",K1402=""),"",IF(K1402=0,"",N1402/K1402))</f>
        <v/>
      </c>
      <c r="P1402" s="25"/>
      <c r="Q1402" s="25"/>
      <c r="R1402" s="25"/>
      <c r="S1402" s="36" t="str">
        <f aca="false">IF(A1402="","",YEAR(A1402)+IF(AND(FYStart&gt;1,MONTH(A1402)&gt;=FYStart),1,0))</f>
        <v/>
      </c>
      <c r="T1402" s="36" t="str">
        <f aca="false">IF(A1402="","",MOD(MONTH(A1402)-FYStart,12)+1)</f>
        <v/>
      </c>
      <c r="U1402" s="37" t="str">
        <f aca="false">IF(A1402="","",TEXT(A1402,"mmm"))</f>
        <v/>
      </c>
      <c r="V1402" s="37" t="str">
        <f aca="false">IF(Q1402="","",IFERROR(INDEX(Settings!$I$11:$I$15,MATCH(Q1402,Settings!$H$11:$H$15,0)),"No"))</f>
        <v/>
      </c>
      <c r="W1402" s="37" t="str">
        <f aca="false">IF(Q1402="","",IFERROR(INDEX(Settings!$J$11:$J$15,MATCH(Q1402,Settings!$H$11:$H$15,0)),"No"))</f>
        <v/>
      </c>
    </row>
    <row r="1403" customFormat="false" ht="15" hidden="false" customHeight="false" outlineLevel="0" collapsed="false">
      <c r="A1403" s="30"/>
      <c r="B1403" s="25"/>
      <c r="C1403" s="25"/>
      <c r="D1403" s="25"/>
      <c r="E1403" s="25"/>
      <c r="F1403" s="25"/>
      <c r="G1403" s="25"/>
      <c r="H1403" s="31"/>
      <c r="I1403" s="32"/>
      <c r="J1403" s="33"/>
      <c r="K1403" s="34" t="str">
        <f aca="false">IF(OR(H1403="",I1403=""),"",H1403*I1403*(1-N(J1403)))</f>
        <v/>
      </c>
      <c r="L1403" s="32"/>
      <c r="M1403" s="34" t="str">
        <f aca="false">IF(OR(H1403="",L1403=""),"",H1403*L1403)</f>
        <v/>
      </c>
      <c r="N1403" s="34" t="str">
        <f aca="false">IF(OR(K1403="",M1403=""),"",K1403-M1403)</f>
        <v/>
      </c>
      <c r="O1403" s="35" t="str">
        <f aca="false">IF(OR(N1403="",K1403=""),"",IF(K1403=0,"",N1403/K1403))</f>
        <v/>
      </c>
      <c r="P1403" s="25"/>
      <c r="Q1403" s="25"/>
      <c r="R1403" s="25"/>
      <c r="S1403" s="36" t="str">
        <f aca="false">IF(A1403="","",YEAR(A1403)+IF(AND(FYStart&gt;1,MONTH(A1403)&gt;=FYStart),1,0))</f>
        <v/>
      </c>
      <c r="T1403" s="36" t="str">
        <f aca="false">IF(A1403="","",MOD(MONTH(A1403)-FYStart,12)+1)</f>
        <v/>
      </c>
      <c r="U1403" s="37" t="str">
        <f aca="false">IF(A1403="","",TEXT(A1403,"mmm"))</f>
        <v/>
      </c>
      <c r="V1403" s="37" t="str">
        <f aca="false">IF(Q1403="","",IFERROR(INDEX(Settings!$I$11:$I$15,MATCH(Q1403,Settings!$H$11:$H$15,0)),"No"))</f>
        <v/>
      </c>
      <c r="W1403" s="37" t="str">
        <f aca="false">IF(Q1403="","",IFERROR(INDEX(Settings!$J$11:$J$15,MATCH(Q1403,Settings!$H$11:$H$15,0)),"No"))</f>
        <v/>
      </c>
    </row>
    <row r="1404" customFormat="false" ht="15" hidden="false" customHeight="false" outlineLevel="0" collapsed="false">
      <c r="A1404" s="30"/>
      <c r="B1404" s="25"/>
      <c r="C1404" s="25"/>
      <c r="D1404" s="25"/>
      <c r="E1404" s="25"/>
      <c r="F1404" s="25"/>
      <c r="G1404" s="25"/>
      <c r="H1404" s="31"/>
      <c r="I1404" s="32"/>
      <c r="J1404" s="33"/>
      <c r="K1404" s="34" t="str">
        <f aca="false">IF(OR(H1404="",I1404=""),"",H1404*I1404*(1-N(J1404)))</f>
        <v/>
      </c>
      <c r="L1404" s="32"/>
      <c r="M1404" s="34" t="str">
        <f aca="false">IF(OR(H1404="",L1404=""),"",H1404*L1404)</f>
        <v/>
      </c>
      <c r="N1404" s="34" t="str">
        <f aca="false">IF(OR(K1404="",M1404=""),"",K1404-M1404)</f>
        <v/>
      </c>
      <c r="O1404" s="35" t="str">
        <f aca="false">IF(OR(N1404="",K1404=""),"",IF(K1404=0,"",N1404/K1404))</f>
        <v/>
      </c>
      <c r="P1404" s="25"/>
      <c r="Q1404" s="25"/>
      <c r="R1404" s="25"/>
      <c r="S1404" s="36" t="str">
        <f aca="false">IF(A1404="","",YEAR(A1404)+IF(AND(FYStart&gt;1,MONTH(A1404)&gt;=FYStart),1,0))</f>
        <v/>
      </c>
      <c r="T1404" s="36" t="str">
        <f aca="false">IF(A1404="","",MOD(MONTH(A1404)-FYStart,12)+1)</f>
        <v/>
      </c>
      <c r="U1404" s="37" t="str">
        <f aca="false">IF(A1404="","",TEXT(A1404,"mmm"))</f>
        <v/>
      </c>
      <c r="V1404" s="37" t="str">
        <f aca="false">IF(Q1404="","",IFERROR(INDEX(Settings!$I$11:$I$15,MATCH(Q1404,Settings!$H$11:$H$15,0)),"No"))</f>
        <v/>
      </c>
      <c r="W1404" s="37" t="str">
        <f aca="false">IF(Q1404="","",IFERROR(INDEX(Settings!$J$11:$J$15,MATCH(Q1404,Settings!$H$11:$H$15,0)),"No"))</f>
        <v/>
      </c>
    </row>
    <row r="1405" customFormat="false" ht="15" hidden="false" customHeight="false" outlineLevel="0" collapsed="false">
      <c r="A1405" s="30"/>
      <c r="B1405" s="25"/>
      <c r="C1405" s="25"/>
      <c r="D1405" s="25"/>
      <c r="E1405" s="25"/>
      <c r="F1405" s="25"/>
      <c r="G1405" s="25"/>
      <c r="H1405" s="31"/>
      <c r="I1405" s="32"/>
      <c r="J1405" s="33"/>
      <c r="K1405" s="34" t="str">
        <f aca="false">IF(OR(H1405="",I1405=""),"",H1405*I1405*(1-N(J1405)))</f>
        <v/>
      </c>
      <c r="L1405" s="32"/>
      <c r="M1405" s="34" t="str">
        <f aca="false">IF(OR(H1405="",L1405=""),"",H1405*L1405)</f>
        <v/>
      </c>
      <c r="N1405" s="34" t="str">
        <f aca="false">IF(OR(K1405="",M1405=""),"",K1405-M1405)</f>
        <v/>
      </c>
      <c r="O1405" s="35" t="str">
        <f aca="false">IF(OR(N1405="",K1405=""),"",IF(K1405=0,"",N1405/K1405))</f>
        <v/>
      </c>
      <c r="P1405" s="25"/>
      <c r="Q1405" s="25"/>
      <c r="R1405" s="25"/>
      <c r="S1405" s="36" t="str">
        <f aca="false">IF(A1405="","",YEAR(A1405)+IF(AND(FYStart&gt;1,MONTH(A1405)&gt;=FYStart),1,0))</f>
        <v/>
      </c>
      <c r="T1405" s="36" t="str">
        <f aca="false">IF(A1405="","",MOD(MONTH(A1405)-FYStart,12)+1)</f>
        <v/>
      </c>
      <c r="U1405" s="37" t="str">
        <f aca="false">IF(A1405="","",TEXT(A1405,"mmm"))</f>
        <v/>
      </c>
      <c r="V1405" s="37" t="str">
        <f aca="false">IF(Q1405="","",IFERROR(INDEX(Settings!$I$11:$I$15,MATCH(Q1405,Settings!$H$11:$H$15,0)),"No"))</f>
        <v/>
      </c>
      <c r="W1405" s="37" t="str">
        <f aca="false">IF(Q1405="","",IFERROR(INDEX(Settings!$J$11:$J$15,MATCH(Q1405,Settings!$H$11:$H$15,0)),"No"))</f>
        <v/>
      </c>
    </row>
    <row r="1406" customFormat="false" ht="15" hidden="false" customHeight="false" outlineLevel="0" collapsed="false">
      <c r="A1406" s="30"/>
      <c r="B1406" s="25"/>
      <c r="C1406" s="25"/>
      <c r="D1406" s="25"/>
      <c r="E1406" s="25"/>
      <c r="F1406" s="25"/>
      <c r="G1406" s="25"/>
      <c r="H1406" s="31"/>
      <c r="I1406" s="32"/>
      <c r="J1406" s="33"/>
      <c r="K1406" s="34" t="str">
        <f aca="false">IF(OR(H1406="",I1406=""),"",H1406*I1406*(1-N(J1406)))</f>
        <v/>
      </c>
      <c r="L1406" s="32"/>
      <c r="M1406" s="34" t="str">
        <f aca="false">IF(OR(H1406="",L1406=""),"",H1406*L1406)</f>
        <v/>
      </c>
      <c r="N1406" s="34" t="str">
        <f aca="false">IF(OR(K1406="",M1406=""),"",K1406-M1406)</f>
        <v/>
      </c>
      <c r="O1406" s="35" t="str">
        <f aca="false">IF(OR(N1406="",K1406=""),"",IF(K1406=0,"",N1406/K1406))</f>
        <v/>
      </c>
      <c r="P1406" s="25"/>
      <c r="Q1406" s="25"/>
      <c r="R1406" s="25"/>
      <c r="S1406" s="36" t="str">
        <f aca="false">IF(A1406="","",YEAR(A1406)+IF(AND(FYStart&gt;1,MONTH(A1406)&gt;=FYStart),1,0))</f>
        <v/>
      </c>
      <c r="T1406" s="36" t="str">
        <f aca="false">IF(A1406="","",MOD(MONTH(A1406)-FYStart,12)+1)</f>
        <v/>
      </c>
      <c r="U1406" s="37" t="str">
        <f aca="false">IF(A1406="","",TEXT(A1406,"mmm"))</f>
        <v/>
      </c>
      <c r="V1406" s="37" t="str">
        <f aca="false">IF(Q1406="","",IFERROR(INDEX(Settings!$I$11:$I$15,MATCH(Q1406,Settings!$H$11:$H$15,0)),"No"))</f>
        <v/>
      </c>
      <c r="W1406" s="37" t="str">
        <f aca="false">IF(Q1406="","",IFERROR(INDEX(Settings!$J$11:$J$15,MATCH(Q1406,Settings!$H$11:$H$15,0)),"No"))</f>
        <v/>
      </c>
    </row>
    <row r="1407" customFormat="false" ht="15" hidden="false" customHeight="false" outlineLevel="0" collapsed="false">
      <c r="A1407" s="30"/>
      <c r="B1407" s="25"/>
      <c r="C1407" s="25"/>
      <c r="D1407" s="25"/>
      <c r="E1407" s="25"/>
      <c r="F1407" s="25"/>
      <c r="G1407" s="25"/>
      <c r="H1407" s="31"/>
      <c r="I1407" s="32"/>
      <c r="J1407" s="33"/>
      <c r="K1407" s="34" t="str">
        <f aca="false">IF(OR(H1407="",I1407=""),"",H1407*I1407*(1-N(J1407)))</f>
        <v/>
      </c>
      <c r="L1407" s="32"/>
      <c r="M1407" s="34" t="str">
        <f aca="false">IF(OR(H1407="",L1407=""),"",H1407*L1407)</f>
        <v/>
      </c>
      <c r="N1407" s="34" t="str">
        <f aca="false">IF(OR(K1407="",M1407=""),"",K1407-M1407)</f>
        <v/>
      </c>
      <c r="O1407" s="35" t="str">
        <f aca="false">IF(OR(N1407="",K1407=""),"",IF(K1407=0,"",N1407/K1407))</f>
        <v/>
      </c>
      <c r="P1407" s="25"/>
      <c r="Q1407" s="25"/>
      <c r="R1407" s="25"/>
      <c r="S1407" s="36" t="str">
        <f aca="false">IF(A1407="","",YEAR(A1407)+IF(AND(FYStart&gt;1,MONTH(A1407)&gt;=FYStart),1,0))</f>
        <v/>
      </c>
      <c r="T1407" s="36" t="str">
        <f aca="false">IF(A1407="","",MOD(MONTH(A1407)-FYStart,12)+1)</f>
        <v/>
      </c>
      <c r="U1407" s="37" t="str">
        <f aca="false">IF(A1407="","",TEXT(A1407,"mmm"))</f>
        <v/>
      </c>
      <c r="V1407" s="37" t="str">
        <f aca="false">IF(Q1407="","",IFERROR(INDEX(Settings!$I$11:$I$15,MATCH(Q1407,Settings!$H$11:$H$15,0)),"No"))</f>
        <v/>
      </c>
      <c r="W1407" s="37" t="str">
        <f aca="false">IF(Q1407="","",IFERROR(INDEX(Settings!$J$11:$J$15,MATCH(Q1407,Settings!$H$11:$H$15,0)),"No"))</f>
        <v/>
      </c>
    </row>
    <row r="1408" customFormat="false" ht="15" hidden="false" customHeight="false" outlineLevel="0" collapsed="false">
      <c r="A1408" s="30"/>
      <c r="B1408" s="25"/>
      <c r="C1408" s="25"/>
      <c r="D1408" s="25"/>
      <c r="E1408" s="25"/>
      <c r="F1408" s="25"/>
      <c r="G1408" s="25"/>
      <c r="H1408" s="31"/>
      <c r="I1408" s="32"/>
      <c r="J1408" s="33"/>
      <c r="K1408" s="34" t="str">
        <f aca="false">IF(OR(H1408="",I1408=""),"",H1408*I1408*(1-N(J1408)))</f>
        <v/>
      </c>
      <c r="L1408" s="32"/>
      <c r="M1408" s="34" t="str">
        <f aca="false">IF(OR(H1408="",L1408=""),"",H1408*L1408)</f>
        <v/>
      </c>
      <c r="N1408" s="34" t="str">
        <f aca="false">IF(OR(K1408="",M1408=""),"",K1408-M1408)</f>
        <v/>
      </c>
      <c r="O1408" s="35" t="str">
        <f aca="false">IF(OR(N1408="",K1408=""),"",IF(K1408=0,"",N1408/K1408))</f>
        <v/>
      </c>
      <c r="P1408" s="25"/>
      <c r="Q1408" s="25"/>
      <c r="R1408" s="25"/>
      <c r="S1408" s="36" t="str">
        <f aca="false">IF(A1408="","",YEAR(A1408)+IF(AND(FYStart&gt;1,MONTH(A1408)&gt;=FYStart),1,0))</f>
        <v/>
      </c>
      <c r="T1408" s="36" t="str">
        <f aca="false">IF(A1408="","",MOD(MONTH(A1408)-FYStart,12)+1)</f>
        <v/>
      </c>
      <c r="U1408" s="37" t="str">
        <f aca="false">IF(A1408="","",TEXT(A1408,"mmm"))</f>
        <v/>
      </c>
      <c r="V1408" s="37" t="str">
        <f aca="false">IF(Q1408="","",IFERROR(INDEX(Settings!$I$11:$I$15,MATCH(Q1408,Settings!$H$11:$H$15,0)),"No"))</f>
        <v/>
      </c>
      <c r="W1408" s="37" t="str">
        <f aca="false">IF(Q1408="","",IFERROR(INDEX(Settings!$J$11:$J$15,MATCH(Q1408,Settings!$H$11:$H$15,0)),"No"))</f>
        <v/>
      </c>
    </row>
    <row r="1409" customFormat="false" ht="15" hidden="false" customHeight="false" outlineLevel="0" collapsed="false">
      <c r="A1409" s="30"/>
      <c r="B1409" s="25"/>
      <c r="C1409" s="25"/>
      <c r="D1409" s="25"/>
      <c r="E1409" s="25"/>
      <c r="F1409" s="25"/>
      <c r="G1409" s="25"/>
      <c r="H1409" s="31"/>
      <c r="I1409" s="32"/>
      <c r="J1409" s="33"/>
      <c r="K1409" s="34" t="str">
        <f aca="false">IF(OR(H1409="",I1409=""),"",H1409*I1409*(1-N(J1409)))</f>
        <v/>
      </c>
      <c r="L1409" s="32"/>
      <c r="M1409" s="34" t="str">
        <f aca="false">IF(OR(H1409="",L1409=""),"",H1409*L1409)</f>
        <v/>
      </c>
      <c r="N1409" s="34" t="str">
        <f aca="false">IF(OR(K1409="",M1409=""),"",K1409-M1409)</f>
        <v/>
      </c>
      <c r="O1409" s="35" t="str">
        <f aca="false">IF(OR(N1409="",K1409=""),"",IF(K1409=0,"",N1409/K1409))</f>
        <v/>
      </c>
      <c r="P1409" s="25"/>
      <c r="Q1409" s="25"/>
      <c r="R1409" s="25"/>
      <c r="S1409" s="36" t="str">
        <f aca="false">IF(A1409="","",YEAR(A1409)+IF(AND(FYStart&gt;1,MONTH(A1409)&gt;=FYStart),1,0))</f>
        <v/>
      </c>
      <c r="T1409" s="36" t="str">
        <f aca="false">IF(A1409="","",MOD(MONTH(A1409)-FYStart,12)+1)</f>
        <v/>
      </c>
      <c r="U1409" s="37" t="str">
        <f aca="false">IF(A1409="","",TEXT(A1409,"mmm"))</f>
        <v/>
      </c>
      <c r="V1409" s="37" t="str">
        <f aca="false">IF(Q1409="","",IFERROR(INDEX(Settings!$I$11:$I$15,MATCH(Q1409,Settings!$H$11:$H$15,0)),"No"))</f>
        <v/>
      </c>
      <c r="W1409" s="37" t="str">
        <f aca="false">IF(Q1409="","",IFERROR(INDEX(Settings!$J$11:$J$15,MATCH(Q1409,Settings!$H$11:$H$15,0)),"No"))</f>
        <v/>
      </c>
    </row>
    <row r="1410" customFormat="false" ht="15" hidden="false" customHeight="false" outlineLevel="0" collapsed="false">
      <c r="A1410" s="30"/>
      <c r="B1410" s="25"/>
      <c r="C1410" s="25"/>
      <c r="D1410" s="25"/>
      <c r="E1410" s="25"/>
      <c r="F1410" s="25"/>
      <c r="G1410" s="25"/>
      <c r="H1410" s="31"/>
      <c r="I1410" s="32"/>
      <c r="J1410" s="33"/>
      <c r="K1410" s="34" t="str">
        <f aca="false">IF(OR(H1410="",I1410=""),"",H1410*I1410*(1-N(J1410)))</f>
        <v/>
      </c>
      <c r="L1410" s="32"/>
      <c r="M1410" s="34" t="str">
        <f aca="false">IF(OR(H1410="",L1410=""),"",H1410*L1410)</f>
        <v/>
      </c>
      <c r="N1410" s="34" t="str">
        <f aca="false">IF(OR(K1410="",M1410=""),"",K1410-M1410)</f>
        <v/>
      </c>
      <c r="O1410" s="35" t="str">
        <f aca="false">IF(OR(N1410="",K1410=""),"",IF(K1410=0,"",N1410/K1410))</f>
        <v/>
      </c>
      <c r="P1410" s="25"/>
      <c r="Q1410" s="25"/>
      <c r="R1410" s="25"/>
      <c r="S1410" s="36" t="str">
        <f aca="false">IF(A1410="","",YEAR(A1410)+IF(AND(FYStart&gt;1,MONTH(A1410)&gt;=FYStart),1,0))</f>
        <v/>
      </c>
      <c r="T1410" s="36" t="str">
        <f aca="false">IF(A1410="","",MOD(MONTH(A1410)-FYStart,12)+1)</f>
        <v/>
      </c>
      <c r="U1410" s="37" t="str">
        <f aca="false">IF(A1410="","",TEXT(A1410,"mmm"))</f>
        <v/>
      </c>
      <c r="V1410" s="37" t="str">
        <f aca="false">IF(Q1410="","",IFERROR(INDEX(Settings!$I$11:$I$15,MATCH(Q1410,Settings!$H$11:$H$15,0)),"No"))</f>
        <v/>
      </c>
      <c r="W1410" s="37" t="str">
        <f aca="false">IF(Q1410="","",IFERROR(INDEX(Settings!$J$11:$J$15,MATCH(Q1410,Settings!$H$11:$H$15,0)),"No"))</f>
        <v/>
      </c>
    </row>
    <row r="1411" customFormat="false" ht="15" hidden="false" customHeight="false" outlineLevel="0" collapsed="false">
      <c r="A1411" s="30"/>
      <c r="B1411" s="25"/>
      <c r="C1411" s="25"/>
      <c r="D1411" s="25"/>
      <c r="E1411" s="25"/>
      <c r="F1411" s="25"/>
      <c r="G1411" s="25"/>
      <c r="H1411" s="31"/>
      <c r="I1411" s="32"/>
      <c r="J1411" s="33"/>
      <c r="K1411" s="34" t="str">
        <f aca="false">IF(OR(H1411="",I1411=""),"",H1411*I1411*(1-N(J1411)))</f>
        <v/>
      </c>
      <c r="L1411" s="32"/>
      <c r="M1411" s="34" t="str">
        <f aca="false">IF(OR(H1411="",L1411=""),"",H1411*L1411)</f>
        <v/>
      </c>
      <c r="N1411" s="34" t="str">
        <f aca="false">IF(OR(K1411="",M1411=""),"",K1411-M1411)</f>
        <v/>
      </c>
      <c r="O1411" s="35" t="str">
        <f aca="false">IF(OR(N1411="",K1411=""),"",IF(K1411=0,"",N1411/K1411))</f>
        <v/>
      </c>
      <c r="P1411" s="25"/>
      <c r="Q1411" s="25"/>
      <c r="R1411" s="25"/>
      <c r="S1411" s="36" t="str">
        <f aca="false">IF(A1411="","",YEAR(A1411)+IF(AND(FYStart&gt;1,MONTH(A1411)&gt;=FYStart),1,0))</f>
        <v/>
      </c>
      <c r="T1411" s="36" t="str">
        <f aca="false">IF(A1411="","",MOD(MONTH(A1411)-FYStart,12)+1)</f>
        <v/>
      </c>
      <c r="U1411" s="37" t="str">
        <f aca="false">IF(A1411="","",TEXT(A1411,"mmm"))</f>
        <v/>
      </c>
      <c r="V1411" s="37" t="str">
        <f aca="false">IF(Q1411="","",IFERROR(INDEX(Settings!$I$11:$I$15,MATCH(Q1411,Settings!$H$11:$H$15,0)),"No"))</f>
        <v/>
      </c>
      <c r="W1411" s="37" t="str">
        <f aca="false">IF(Q1411="","",IFERROR(INDEX(Settings!$J$11:$J$15,MATCH(Q1411,Settings!$H$11:$H$15,0)),"No"))</f>
        <v/>
      </c>
    </row>
    <row r="1412" customFormat="false" ht="15" hidden="false" customHeight="false" outlineLevel="0" collapsed="false">
      <c r="A1412" s="30"/>
      <c r="B1412" s="25"/>
      <c r="C1412" s="25"/>
      <c r="D1412" s="25"/>
      <c r="E1412" s="25"/>
      <c r="F1412" s="25"/>
      <c r="G1412" s="25"/>
      <c r="H1412" s="31"/>
      <c r="I1412" s="32"/>
      <c r="J1412" s="33"/>
      <c r="K1412" s="34" t="str">
        <f aca="false">IF(OR(H1412="",I1412=""),"",H1412*I1412*(1-N(J1412)))</f>
        <v/>
      </c>
      <c r="L1412" s="32"/>
      <c r="M1412" s="34" t="str">
        <f aca="false">IF(OR(H1412="",L1412=""),"",H1412*L1412)</f>
        <v/>
      </c>
      <c r="N1412" s="34" t="str">
        <f aca="false">IF(OR(K1412="",M1412=""),"",K1412-M1412)</f>
        <v/>
      </c>
      <c r="O1412" s="35" t="str">
        <f aca="false">IF(OR(N1412="",K1412=""),"",IF(K1412=0,"",N1412/K1412))</f>
        <v/>
      </c>
      <c r="P1412" s="25"/>
      <c r="Q1412" s="25"/>
      <c r="R1412" s="25"/>
      <c r="S1412" s="36" t="str">
        <f aca="false">IF(A1412="","",YEAR(A1412)+IF(AND(FYStart&gt;1,MONTH(A1412)&gt;=FYStart),1,0))</f>
        <v/>
      </c>
      <c r="T1412" s="36" t="str">
        <f aca="false">IF(A1412="","",MOD(MONTH(A1412)-FYStart,12)+1)</f>
        <v/>
      </c>
      <c r="U1412" s="37" t="str">
        <f aca="false">IF(A1412="","",TEXT(A1412,"mmm"))</f>
        <v/>
      </c>
      <c r="V1412" s="37" t="str">
        <f aca="false">IF(Q1412="","",IFERROR(INDEX(Settings!$I$11:$I$15,MATCH(Q1412,Settings!$H$11:$H$15,0)),"No"))</f>
        <v/>
      </c>
      <c r="W1412" s="37" t="str">
        <f aca="false">IF(Q1412="","",IFERROR(INDEX(Settings!$J$11:$J$15,MATCH(Q1412,Settings!$H$11:$H$15,0)),"No"))</f>
        <v/>
      </c>
    </row>
    <row r="1413" customFormat="false" ht="15" hidden="false" customHeight="false" outlineLevel="0" collapsed="false">
      <c r="A1413" s="30"/>
      <c r="B1413" s="25"/>
      <c r="C1413" s="25"/>
      <c r="D1413" s="25"/>
      <c r="E1413" s="25"/>
      <c r="F1413" s="25"/>
      <c r="G1413" s="25"/>
      <c r="H1413" s="31"/>
      <c r="I1413" s="32"/>
      <c r="J1413" s="33"/>
      <c r="K1413" s="34" t="str">
        <f aca="false">IF(OR(H1413="",I1413=""),"",H1413*I1413*(1-N(J1413)))</f>
        <v/>
      </c>
      <c r="L1413" s="32"/>
      <c r="M1413" s="34" t="str">
        <f aca="false">IF(OR(H1413="",L1413=""),"",H1413*L1413)</f>
        <v/>
      </c>
      <c r="N1413" s="34" t="str">
        <f aca="false">IF(OR(K1413="",M1413=""),"",K1413-M1413)</f>
        <v/>
      </c>
      <c r="O1413" s="35" t="str">
        <f aca="false">IF(OR(N1413="",K1413=""),"",IF(K1413=0,"",N1413/K1413))</f>
        <v/>
      </c>
      <c r="P1413" s="25"/>
      <c r="Q1413" s="25"/>
      <c r="R1413" s="25"/>
      <c r="S1413" s="36" t="str">
        <f aca="false">IF(A1413="","",YEAR(A1413)+IF(AND(FYStart&gt;1,MONTH(A1413)&gt;=FYStart),1,0))</f>
        <v/>
      </c>
      <c r="T1413" s="36" t="str">
        <f aca="false">IF(A1413="","",MOD(MONTH(A1413)-FYStart,12)+1)</f>
        <v/>
      </c>
      <c r="U1413" s="37" t="str">
        <f aca="false">IF(A1413="","",TEXT(A1413,"mmm"))</f>
        <v/>
      </c>
      <c r="V1413" s="37" t="str">
        <f aca="false">IF(Q1413="","",IFERROR(INDEX(Settings!$I$11:$I$15,MATCH(Q1413,Settings!$H$11:$H$15,0)),"No"))</f>
        <v/>
      </c>
      <c r="W1413" s="37" t="str">
        <f aca="false">IF(Q1413="","",IFERROR(INDEX(Settings!$J$11:$J$15,MATCH(Q1413,Settings!$H$11:$H$15,0)),"No"))</f>
        <v/>
      </c>
    </row>
    <row r="1414" customFormat="false" ht="15" hidden="false" customHeight="false" outlineLevel="0" collapsed="false">
      <c r="A1414" s="30"/>
      <c r="B1414" s="25"/>
      <c r="C1414" s="25"/>
      <c r="D1414" s="25"/>
      <c r="E1414" s="25"/>
      <c r="F1414" s="25"/>
      <c r="G1414" s="25"/>
      <c r="H1414" s="31"/>
      <c r="I1414" s="32"/>
      <c r="J1414" s="33"/>
      <c r="K1414" s="34" t="str">
        <f aca="false">IF(OR(H1414="",I1414=""),"",H1414*I1414*(1-N(J1414)))</f>
        <v/>
      </c>
      <c r="L1414" s="32"/>
      <c r="M1414" s="34" t="str">
        <f aca="false">IF(OR(H1414="",L1414=""),"",H1414*L1414)</f>
        <v/>
      </c>
      <c r="N1414" s="34" t="str">
        <f aca="false">IF(OR(K1414="",M1414=""),"",K1414-M1414)</f>
        <v/>
      </c>
      <c r="O1414" s="35" t="str">
        <f aca="false">IF(OR(N1414="",K1414=""),"",IF(K1414=0,"",N1414/K1414))</f>
        <v/>
      </c>
      <c r="P1414" s="25"/>
      <c r="Q1414" s="25"/>
      <c r="R1414" s="25"/>
      <c r="S1414" s="36" t="str">
        <f aca="false">IF(A1414="","",YEAR(A1414)+IF(AND(FYStart&gt;1,MONTH(A1414)&gt;=FYStart),1,0))</f>
        <v/>
      </c>
      <c r="T1414" s="36" t="str">
        <f aca="false">IF(A1414="","",MOD(MONTH(A1414)-FYStart,12)+1)</f>
        <v/>
      </c>
      <c r="U1414" s="37" t="str">
        <f aca="false">IF(A1414="","",TEXT(A1414,"mmm"))</f>
        <v/>
      </c>
      <c r="V1414" s="37" t="str">
        <f aca="false">IF(Q1414="","",IFERROR(INDEX(Settings!$I$11:$I$15,MATCH(Q1414,Settings!$H$11:$H$15,0)),"No"))</f>
        <v/>
      </c>
      <c r="W1414" s="37" t="str">
        <f aca="false">IF(Q1414="","",IFERROR(INDEX(Settings!$J$11:$J$15,MATCH(Q1414,Settings!$H$11:$H$15,0)),"No"))</f>
        <v/>
      </c>
    </row>
    <row r="1415" customFormat="false" ht="15" hidden="false" customHeight="false" outlineLevel="0" collapsed="false">
      <c r="A1415" s="30"/>
      <c r="B1415" s="25"/>
      <c r="C1415" s="25"/>
      <c r="D1415" s="25"/>
      <c r="E1415" s="25"/>
      <c r="F1415" s="25"/>
      <c r="G1415" s="25"/>
      <c r="H1415" s="31"/>
      <c r="I1415" s="32"/>
      <c r="J1415" s="33"/>
      <c r="K1415" s="34" t="str">
        <f aca="false">IF(OR(H1415="",I1415=""),"",H1415*I1415*(1-N(J1415)))</f>
        <v/>
      </c>
      <c r="L1415" s="32"/>
      <c r="M1415" s="34" t="str">
        <f aca="false">IF(OR(H1415="",L1415=""),"",H1415*L1415)</f>
        <v/>
      </c>
      <c r="N1415" s="34" t="str">
        <f aca="false">IF(OR(K1415="",M1415=""),"",K1415-M1415)</f>
        <v/>
      </c>
      <c r="O1415" s="35" t="str">
        <f aca="false">IF(OR(N1415="",K1415=""),"",IF(K1415=0,"",N1415/K1415))</f>
        <v/>
      </c>
      <c r="P1415" s="25"/>
      <c r="Q1415" s="25"/>
      <c r="R1415" s="25"/>
      <c r="S1415" s="36" t="str">
        <f aca="false">IF(A1415="","",YEAR(A1415)+IF(AND(FYStart&gt;1,MONTH(A1415)&gt;=FYStart),1,0))</f>
        <v/>
      </c>
      <c r="T1415" s="36" t="str">
        <f aca="false">IF(A1415="","",MOD(MONTH(A1415)-FYStart,12)+1)</f>
        <v/>
      </c>
      <c r="U1415" s="37" t="str">
        <f aca="false">IF(A1415="","",TEXT(A1415,"mmm"))</f>
        <v/>
      </c>
      <c r="V1415" s="37" t="str">
        <f aca="false">IF(Q1415="","",IFERROR(INDEX(Settings!$I$11:$I$15,MATCH(Q1415,Settings!$H$11:$H$15,0)),"No"))</f>
        <v/>
      </c>
      <c r="W1415" s="37" t="str">
        <f aca="false">IF(Q1415="","",IFERROR(INDEX(Settings!$J$11:$J$15,MATCH(Q1415,Settings!$H$11:$H$15,0)),"No"))</f>
        <v/>
      </c>
    </row>
    <row r="1416" customFormat="false" ht="15" hidden="false" customHeight="false" outlineLevel="0" collapsed="false">
      <c r="A1416" s="30"/>
      <c r="B1416" s="25"/>
      <c r="C1416" s="25"/>
      <c r="D1416" s="25"/>
      <c r="E1416" s="25"/>
      <c r="F1416" s="25"/>
      <c r="G1416" s="25"/>
      <c r="H1416" s="31"/>
      <c r="I1416" s="32"/>
      <c r="J1416" s="33"/>
      <c r="K1416" s="34" t="str">
        <f aca="false">IF(OR(H1416="",I1416=""),"",H1416*I1416*(1-N(J1416)))</f>
        <v/>
      </c>
      <c r="L1416" s="32"/>
      <c r="M1416" s="34" t="str">
        <f aca="false">IF(OR(H1416="",L1416=""),"",H1416*L1416)</f>
        <v/>
      </c>
      <c r="N1416" s="34" t="str">
        <f aca="false">IF(OR(K1416="",M1416=""),"",K1416-M1416)</f>
        <v/>
      </c>
      <c r="O1416" s="35" t="str">
        <f aca="false">IF(OR(N1416="",K1416=""),"",IF(K1416=0,"",N1416/K1416))</f>
        <v/>
      </c>
      <c r="P1416" s="25"/>
      <c r="Q1416" s="25"/>
      <c r="R1416" s="25"/>
      <c r="S1416" s="36" t="str">
        <f aca="false">IF(A1416="","",YEAR(A1416)+IF(AND(FYStart&gt;1,MONTH(A1416)&gt;=FYStart),1,0))</f>
        <v/>
      </c>
      <c r="T1416" s="36" t="str">
        <f aca="false">IF(A1416="","",MOD(MONTH(A1416)-FYStart,12)+1)</f>
        <v/>
      </c>
      <c r="U1416" s="37" t="str">
        <f aca="false">IF(A1416="","",TEXT(A1416,"mmm"))</f>
        <v/>
      </c>
      <c r="V1416" s="37" t="str">
        <f aca="false">IF(Q1416="","",IFERROR(INDEX(Settings!$I$11:$I$15,MATCH(Q1416,Settings!$H$11:$H$15,0)),"No"))</f>
        <v/>
      </c>
      <c r="W1416" s="37" t="str">
        <f aca="false">IF(Q1416="","",IFERROR(INDEX(Settings!$J$11:$J$15,MATCH(Q1416,Settings!$H$11:$H$15,0)),"No"))</f>
        <v/>
      </c>
    </row>
    <row r="1417" customFormat="false" ht="15" hidden="false" customHeight="false" outlineLevel="0" collapsed="false">
      <c r="A1417" s="30"/>
      <c r="B1417" s="25"/>
      <c r="C1417" s="25"/>
      <c r="D1417" s="25"/>
      <c r="E1417" s="25"/>
      <c r="F1417" s="25"/>
      <c r="G1417" s="25"/>
      <c r="H1417" s="31"/>
      <c r="I1417" s="32"/>
      <c r="J1417" s="33"/>
      <c r="K1417" s="34" t="str">
        <f aca="false">IF(OR(H1417="",I1417=""),"",H1417*I1417*(1-N(J1417)))</f>
        <v/>
      </c>
      <c r="L1417" s="32"/>
      <c r="M1417" s="34" t="str">
        <f aca="false">IF(OR(H1417="",L1417=""),"",H1417*L1417)</f>
        <v/>
      </c>
      <c r="N1417" s="34" t="str">
        <f aca="false">IF(OR(K1417="",M1417=""),"",K1417-M1417)</f>
        <v/>
      </c>
      <c r="O1417" s="35" t="str">
        <f aca="false">IF(OR(N1417="",K1417=""),"",IF(K1417=0,"",N1417/K1417))</f>
        <v/>
      </c>
      <c r="P1417" s="25"/>
      <c r="Q1417" s="25"/>
      <c r="R1417" s="25"/>
      <c r="S1417" s="36" t="str">
        <f aca="false">IF(A1417="","",YEAR(A1417)+IF(AND(FYStart&gt;1,MONTH(A1417)&gt;=FYStart),1,0))</f>
        <v/>
      </c>
      <c r="T1417" s="36" t="str">
        <f aca="false">IF(A1417="","",MOD(MONTH(A1417)-FYStart,12)+1)</f>
        <v/>
      </c>
      <c r="U1417" s="37" t="str">
        <f aca="false">IF(A1417="","",TEXT(A1417,"mmm"))</f>
        <v/>
      </c>
      <c r="V1417" s="37" t="str">
        <f aca="false">IF(Q1417="","",IFERROR(INDEX(Settings!$I$11:$I$15,MATCH(Q1417,Settings!$H$11:$H$15,0)),"No"))</f>
        <v/>
      </c>
      <c r="W1417" s="37" t="str">
        <f aca="false">IF(Q1417="","",IFERROR(INDEX(Settings!$J$11:$J$15,MATCH(Q1417,Settings!$H$11:$H$15,0)),"No"))</f>
        <v/>
      </c>
    </row>
    <row r="1418" customFormat="false" ht="15" hidden="false" customHeight="false" outlineLevel="0" collapsed="false">
      <c r="A1418" s="30"/>
      <c r="B1418" s="25"/>
      <c r="C1418" s="25"/>
      <c r="D1418" s="25"/>
      <c r="E1418" s="25"/>
      <c r="F1418" s="25"/>
      <c r="G1418" s="25"/>
      <c r="H1418" s="31"/>
      <c r="I1418" s="32"/>
      <c r="J1418" s="33"/>
      <c r="K1418" s="34" t="str">
        <f aca="false">IF(OR(H1418="",I1418=""),"",H1418*I1418*(1-N(J1418)))</f>
        <v/>
      </c>
      <c r="L1418" s="32"/>
      <c r="M1418" s="34" t="str">
        <f aca="false">IF(OR(H1418="",L1418=""),"",H1418*L1418)</f>
        <v/>
      </c>
      <c r="N1418" s="34" t="str">
        <f aca="false">IF(OR(K1418="",M1418=""),"",K1418-M1418)</f>
        <v/>
      </c>
      <c r="O1418" s="35" t="str">
        <f aca="false">IF(OR(N1418="",K1418=""),"",IF(K1418=0,"",N1418/K1418))</f>
        <v/>
      </c>
      <c r="P1418" s="25"/>
      <c r="Q1418" s="25"/>
      <c r="R1418" s="25"/>
      <c r="S1418" s="36" t="str">
        <f aca="false">IF(A1418="","",YEAR(A1418)+IF(AND(FYStart&gt;1,MONTH(A1418)&gt;=FYStart),1,0))</f>
        <v/>
      </c>
      <c r="T1418" s="36" t="str">
        <f aca="false">IF(A1418="","",MOD(MONTH(A1418)-FYStart,12)+1)</f>
        <v/>
      </c>
      <c r="U1418" s="37" t="str">
        <f aca="false">IF(A1418="","",TEXT(A1418,"mmm"))</f>
        <v/>
      </c>
      <c r="V1418" s="37" t="str">
        <f aca="false">IF(Q1418="","",IFERROR(INDEX(Settings!$I$11:$I$15,MATCH(Q1418,Settings!$H$11:$H$15,0)),"No"))</f>
        <v/>
      </c>
      <c r="W1418" s="37" t="str">
        <f aca="false">IF(Q1418="","",IFERROR(INDEX(Settings!$J$11:$J$15,MATCH(Q1418,Settings!$H$11:$H$15,0)),"No"))</f>
        <v/>
      </c>
    </row>
    <row r="1419" customFormat="false" ht="15" hidden="false" customHeight="false" outlineLevel="0" collapsed="false">
      <c r="A1419" s="30"/>
      <c r="B1419" s="25"/>
      <c r="C1419" s="25"/>
      <c r="D1419" s="25"/>
      <c r="E1419" s="25"/>
      <c r="F1419" s="25"/>
      <c r="G1419" s="25"/>
      <c r="H1419" s="31"/>
      <c r="I1419" s="32"/>
      <c r="J1419" s="33"/>
      <c r="K1419" s="34" t="str">
        <f aca="false">IF(OR(H1419="",I1419=""),"",H1419*I1419*(1-N(J1419)))</f>
        <v/>
      </c>
      <c r="L1419" s="32"/>
      <c r="M1419" s="34" t="str">
        <f aca="false">IF(OR(H1419="",L1419=""),"",H1419*L1419)</f>
        <v/>
      </c>
      <c r="N1419" s="34" t="str">
        <f aca="false">IF(OR(K1419="",M1419=""),"",K1419-M1419)</f>
        <v/>
      </c>
      <c r="O1419" s="35" t="str">
        <f aca="false">IF(OR(N1419="",K1419=""),"",IF(K1419=0,"",N1419/K1419))</f>
        <v/>
      </c>
      <c r="P1419" s="25"/>
      <c r="Q1419" s="25"/>
      <c r="R1419" s="25"/>
      <c r="S1419" s="36" t="str">
        <f aca="false">IF(A1419="","",YEAR(A1419)+IF(AND(FYStart&gt;1,MONTH(A1419)&gt;=FYStart),1,0))</f>
        <v/>
      </c>
      <c r="T1419" s="36" t="str">
        <f aca="false">IF(A1419="","",MOD(MONTH(A1419)-FYStart,12)+1)</f>
        <v/>
      </c>
      <c r="U1419" s="37" t="str">
        <f aca="false">IF(A1419="","",TEXT(A1419,"mmm"))</f>
        <v/>
      </c>
      <c r="V1419" s="37" t="str">
        <f aca="false">IF(Q1419="","",IFERROR(INDEX(Settings!$I$11:$I$15,MATCH(Q1419,Settings!$H$11:$H$15,0)),"No"))</f>
        <v/>
      </c>
      <c r="W1419" s="37" t="str">
        <f aca="false">IF(Q1419="","",IFERROR(INDEX(Settings!$J$11:$J$15,MATCH(Q1419,Settings!$H$11:$H$15,0)),"No"))</f>
        <v/>
      </c>
    </row>
    <row r="1420" customFormat="false" ht="15" hidden="false" customHeight="false" outlineLevel="0" collapsed="false">
      <c r="A1420" s="30"/>
      <c r="B1420" s="25"/>
      <c r="C1420" s="25"/>
      <c r="D1420" s="25"/>
      <c r="E1420" s="25"/>
      <c r="F1420" s="25"/>
      <c r="G1420" s="25"/>
      <c r="H1420" s="31"/>
      <c r="I1420" s="32"/>
      <c r="J1420" s="33"/>
      <c r="K1420" s="34" t="str">
        <f aca="false">IF(OR(H1420="",I1420=""),"",H1420*I1420*(1-N(J1420)))</f>
        <v/>
      </c>
      <c r="L1420" s="32"/>
      <c r="M1420" s="34" t="str">
        <f aca="false">IF(OR(H1420="",L1420=""),"",H1420*L1420)</f>
        <v/>
      </c>
      <c r="N1420" s="34" t="str">
        <f aca="false">IF(OR(K1420="",M1420=""),"",K1420-M1420)</f>
        <v/>
      </c>
      <c r="O1420" s="35" t="str">
        <f aca="false">IF(OR(N1420="",K1420=""),"",IF(K1420=0,"",N1420/K1420))</f>
        <v/>
      </c>
      <c r="P1420" s="25"/>
      <c r="Q1420" s="25"/>
      <c r="R1420" s="25"/>
      <c r="S1420" s="36" t="str">
        <f aca="false">IF(A1420="","",YEAR(A1420)+IF(AND(FYStart&gt;1,MONTH(A1420)&gt;=FYStart),1,0))</f>
        <v/>
      </c>
      <c r="T1420" s="36" t="str">
        <f aca="false">IF(A1420="","",MOD(MONTH(A1420)-FYStart,12)+1)</f>
        <v/>
      </c>
      <c r="U1420" s="37" t="str">
        <f aca="false">IF(A1420="","",TEXT(A1420,"mmm"))</f>
        <v/>
      </c>
      <c r="V1420" s="37" t="str">
        <f aca="false">IF(Q1420="","",IFERROR(INDEX(Settings!$I$11:$I$15,MATCH(Q1420,Settings!$H$11:$H$15,0)),"No"))</f>
        <v/>
      </c>
      <c r="W1420" s="37" t="str">
        <f aca="false">IF(Q1420="","",IFERROR(INDEX(Settings!$J$11:$J$15,MATCH(Q1420,Settings!$H$11:$H$15,0)),"No"))</f>
        <v/>
      </c>
    </row>
    <row r="1421" customFormat="false" ht="15" hidden="false" customHeight="false" outlineLevel="0" collapsed="false">
      <c r="A1421" s="30"/>
      <c r="B1421" s="25"/>
      <c r="C1421" s="25"/>
      <c r="D1421" s="25"/>
      <c r="E1421" s="25"/>
      <c r="F1421" s="25"/>
      <c r="G1421" s="25"/>
      <c r="H1421" s="31"/>
      <c r="I1421" s="32"/>
      <c r="J1421" s="33"/>
      <c r="K1421" s="34" t="str">
        <f aca="false">IF(OR(H1421="",I1421=""),"",H1421*I1421*(1-N(J1421)))</f>
        <v/>
      </c>
      <c r="L1421" s="32"/>
      <c r="M1421" s="34" t="str">
        <f aca="false">IF(OR(H1421="",L1421=""),"",H1421*L1421)</f>
        <v/>
      </c>
      <c r="N1421" s="34" t="str">
        <f aca="false">IF(OR(K1421="",M1421=""),"",K1421-M1421)</f>
        <v/>
      </c>
      <c r="O1421" s="35" t="str">
        <f aca="false">IF(OR(N1421="",K1421=""),"",IF(K1421=0,"",N1421/K1421))</f>
        <v/>
      </c>
      <c r="P1421" s="25"/>
      <c r="Q1421" s="25"/>
      <c r="R1421" s="25"/>
      <c r="S1421" s="36" t="str">
        <f aca="false">IF(A1421="","",YEAR(A1421)+IF(AND(FYStart&gt;1,MONTH(A1421)&gt;=FYStart),1,0))</f>
        <v/>
      </c>
      <c r="T1421" s="36" t="str">
        <f aca="false">IF(A1421="","",MOD(MONTH(A1421)-FYStart,12)+1)</f>
        <v/>
      </c>
      <c r="U1421" s="37" t="str">
        <f aca="false">IF(A1421="","",TEXT(A1421,"mmm"))</f>
        <v/>
      </c>
      <c r="V1421" s="37" t="str">
        <f aca="false">IF(Q1421="","",IFERROR(INDEX(Settings!$I$11:$I$15,MATCH(Q1421,Settings!$H$11:$H$15,0)),"No"))</f>
        <v/>
      </c>
      <c r="W1421" s="37" t="str">
        <f aca="false">IF(Q1421="","",IFERROR(INDEX(Settings!$J$11:$J$15,MATCH(Q1421,Settings!$H$11:$H$15,0)),"No"))</f>
        <v/>
      </c>
    </row>
    <row r="1422" customFormat="false" ht="15" hidden="false" customHeight="false" outlineLevel="0" collapsed="false">
      <c r="A1422" s="30"/>
      <c r="B1422" s="25"/>
      <c r="C1422" s="25"/>
      <c r="D1422" s="25"/>
      <c r="E1422" s="25"/>
      <c r="F1422" s="25"/>
      <c r="G1422" s="25"/>
      <c r="H1422" s="31"/>
      <c r="I1422" s="32"/>
      <c r="J1422" s="33"/>
      <c r="K1422" s="34" t="str">
        <f aca="false">IF(OR(H1422="",I1422=""),"",H1422*I1422*(1-N(J1422)))</f>
        <v/>
      </c>
      <c r="L1422" s="32"/>
      <c r="M1422" s="34" t="str">
        <f aca="false">IF(OR(H1422="",L1422=""),"",H1422*L1422)</f>
        <v/>
      </c>
      <c r="N1422" s="34" t="str">
        <f aca="false">IF(OR(K1422="",M1422=""),"",K1422-M1422)</f>
        <v/>
      </c>
      <c r="O1422" s="35" t="str">
        <f aca="false">IF(OR(N1422="",K1422=""),"",IF(K1422=0,"",N1422/K1422))</f>
        <v/>
      </c>
      <c r="P1422" s="25"/>
      <c r="Q1422" s="25"/>
      <c r="R1422" s="25"/>
      <c r="S1422" s="36" t="str">
        <f aca="false">IF(A1422="","",YEAR(A1422)+IF(AND(FYStart&gt;1,MONTH(A1422)&gt;=FYStart),1,0))</f>
        <v/>
      </c>
      <c r="T1422" s="36" t="str">
        <f aca="false">IF(A1422="","",MOD(MONTH(A1422)-FYStart,12)+1)</f>
        <v/>
      </c>
      <c r="U1422" s="37" t="str">
        <f aca="false">IF(A1422="","",TEXT(A1422,"mmm"))</f>
        <v/>
      </c>
      <c r="V1422" s="37" t="str">
        <f aca="false">IF(Q1422="","",IFERROR(INDEX(Settings!$I$11:$I$15,MATCH(Q1422,Settings!$H$11:$H$15,0)),"No"))</f>
        <v/>
      </c>
      <c r="W1422" s="37" t="str">
        <f aca="false">IF(Q1422="","",IFERROR(INDEX(Settings!$J$11:$J$15,MATCH(Q1422,Settings!$H$11:$H$15,0)),"No"))</f>
        <v/>
      </c>
    </row>
    <row r="1423" customFormat="false" ht="15" hidden="false" customHeight="false" outlineLevel="0" collapsed="false">
      <c r="A1423" s="30"/>
      <c r="B1423" s="25"/>
      <c r="C1423" s="25"/>
      <c r="D1423" s="25"/>
      <c r="E1423" s="25"/>
      <c r="F1423" s="25"/>
      <c r="G1423" s="25"/>
      <c r="H1423" s="31"/>
      <c r="I1423" s="32"/>
      <c r="J1423" s="33"/>
      <c r="K1423" s="34" t="str">
        <f aca="false">IF(OR(H1423="",I1423=""),"",H1423*I1423*(1-N(J1423)))</f>
        <v/>
      </c>
      <c r="L1423" s="32"/>
      <c r="M1423" s="34" t="str">
        <f aca="false">IF(OR(H1423="",L1423=""),"",H1423*L1423)</f>
        <v/>
      </c>
      <c r="N1423" s="34" t="str">
        <f aca="false">IF(OR(K1423="",M1423=""),"",K1423-M1423)</f>
        <v/>
      </c>
      <c r="O1423" s="35" t="str">
        <f aca="false">IF(OR(N1423="",K1423=""),"",IF(K1423=0,"",N1423/K1423))</f>
        <v/>
      </c>
      <c r="P1423" s="25"/>
      <c r="Q1423" s="25"/>
      <c r="R1423" s="25"/>
      <c r="S1423" s="36" t="str">
        <f aca="false">IF(A1423="","",YEAR(A1423)+IF(AND(FYStart&gt;1,MONTH(A1423)&gt;=FYStart),1,0))</f>
        <v/>
      </c>
      <c r="T1423" s="36" t="str">
        <f aca="false">IF(A1423="","",MOD(MONTH(A1423)-FYStart,12)+1)</f>
        <v/>
      </c>
      <c r="U1423" s="37" t="str">
        <f aca="false">IF(A1423="","",TEXT(A1423,"mmm"))</f>
        <v/>
      </c>
      <c r="V1423" s="37" t="str">
        <f aca="false">IF(Q1423="","",IFERROR(INDEX(Settings!$I$11:$I$15,MATCH(Q1423,Settings!$H$11:$H$15,0)),"No"))</f>
        <v/>
      </c>
      <c r="W1423" s="37" t="str">
        <f aca="false">IF(Q1423="","",IFERROR(INDEX(Settings!$J$11:$J$15,MATCH(Q1423,Settings!$H$11:$H$15,0)),"No"))</f>
        <v/>
      </c>
    </row>
    <row r="1424" customFormat="false" ht="15" hidden="false" customHeight="false" outlineLevel="0" collapsed="false">
      <c r="A1424" s="30"/>
      <c r="B1424" s="25"/>
      <c r="C1424" s="25"/>
      <c r="D1424" s="25"/>
      <c r="E1424" s="25"/>
      <c r="F1424" s="25"/>
      <c r="G1424" s="25"/>
      <c r="H1424" s="31"/>
      <c r="I1424" s="32"/>
      <c r="J1424" s="33"/>
      <c r="K1424" s="34" t="str">
        <f aca="false">IF(OR(H1424="",I1424=""),"",H1424*I1424*(1-N(J1424)))</f>
        <v/>
      </c>
      <c r="L1424" s="32"/>
      <c r="M1424" s="34" t="str">
        <f aca="false">IF(OR(H1424="",L1424=""),"",H1424*L1424)</f>
        <v/>
      </c>
      <c r="N1424" s="34" t="str">
        <f aca="false">IF(OR(K1424="",M1424=""),"",K1424-M1424)</f>
        <v/>
      </c>
      <c r="O1424" s="35" t="str">
        <f aca="false">IF(OR(N1424="",K1424=""),"",IF(K1424=0,"",N1424/K1424))</f>
        <v/>
      </c>
      <c r="P1424" s="25"/>
      <c r="Q1424" s="25"/>
      <c r="R1424" s="25"/>
      <c r="S1424" s="36" t="str">
        <f aca="false">IF(A1424="","",YEAR(A1424)+IF(AND(FYStart&gt;1,MONTH(A1424)&gt;=FYStart),1,0))</f>
        <v/>
      </c>
      <c r="T1424" s="36" t="str">
        <f aca="false">IF(A1424="","",MOD(MONTH(A1424)-FYStart,12)+1)</f>
        <v/>
      </c>
      <c r="U1424" s="37" t="str">
        <f aca="false">IF(A1424="","",TEXT(A1424,"mmm"))</f>
        <v/>
      </c>
      <c r="V1424" s="37" t="str">
        <f aca="false">IF(Q1424="","",IFERROR(INDEX(Settings!$I$11:$I$15,MATCH(Q1424,Settings!$H$11:$H$15,0)),"No"))</f>
        <v/>
      </c>
      <c r="W1424" s="37" t="str">
        <f aca="false">IF(Q1424="","",IFERROR(INDEX(Settings!$J$11:$J$15,MATCH(Q1424,Settings!$H$11:$H$15,0)),"No"))</f>
        <v/>
      </c>
    </row>
    <row r="1425" customFormat="false" ht="15" hidden="false" customHeight="false" outlineLevel="0" collapsed="false">
      <c r="A1425" s="30"/>
      <c r="B1425" s="25"/>
      <c r="C1425" s="25"/>
      <c r="D1425" s="25"/>
      <c r="E1425" s="25"/>
      <c r="F1425" s="25"/>
      <c r="G1425" s="25"/>
      <c r="H1425" s="31"/>
      <c r="I1425" s="32"/>
      <c r="J1425" s="33"/>
      <c r="K1425" s="34" t="str">
        <f aca="false">IF(OR(H1425="",I1425=""),"",H1425*I1425*(1-N(J1425)))</f>
        <v/>
      </c>
      <c r="L1425" s="32"/>
      <c r="M1425" s="34" t="str">
        <f aca="false">IF(OR(H1425="",L1425=""),"",H1425*L1425)</f>
        <v/>
      </c>
      <c r="N1425" s="34" t="str">
        <f aca="false">IF(OR(K1425="",M1425=""),"",K1425-M1425)</f>
        <v/>
      </c>
      <c r="O1425" s="35" t="str">
        <f aca="false">IF(OR(N1425="",K1425=""),"",IF(K1425=0,"",N1425/K1425))</f>
        <v/>
      </c>
      <c r="P1425" s="25"/>
      <c r="Q1425" s="25"/>
      <c r="R1425" s="25"/>
      <c r="S1425" s="36" t="str">
        <f aca="false">IF(A1425="","",YEAR(A1425)+IF(AND(FYStart&gt;1,MONTH(A1425)&gt;=FYStart),1,0))</f>
        <v/>
      </c>
      <c r="T1425" s="36" t="str">
        <f aca="false">IF(A1425="","",MOD(MONTH(A1425)-FYStart,12)+1)</f>
        <v/>
      </c>
      <c r="U1425" s="37" t="str">
        <f aca="false">IF(A1425="","",TEXT(A1425,"mmm"))</f>
        <v/>
      </c>
      <c r="V1425" s="37" t="str">
        <f aca="false">IF(Q1425="","",IFERROR(INDEX(Settings!$I$11:$I$15,MATCH(Q1425,Settings!$H$11:$H$15,0)),"No"))</f>
        <v/>
      </c>
      <c r="W1425" s="37" t="str">
        <f aca="false">IF(Q1425="","",IFERROR(INDEX(Settings!$J$11:$J$15,MATCH(Q1425,Settings!$H$11:$H$15,0)),"No"))</f>
        <v/>
      </c>
    </row>
    <row r="1426" customFormat="false" ht="15" hidden="false" customHeight="false" outlineLevel="0" collapsed="false">
      <c r="A1426" s="30"/>
      <c r="B1426" s="25"/>
      <c r="C1426" s="25"/>
      <c r="D1426" s="25"/>
      <c r="E1426" s="25"/>
      <c r="F1426" s="25"/>
      <c r="G1426" s="25"/>
      <c r="H1426" s="31"/>
      <c r="I1426" s="32"/>
      <c r="J1426" s="33"/>
      <c r="K1426" s="34" t="str">
        <f aca="false">IF(OR(H1426="",I1426=""),"",H1426*I1426*(1-N(J1426)))</f>
        <v/>
      </c>
      <c r="L1426" s="32"/>
      <c r="M1426" s="34" t="str">
        <f aca="false">IF(OR(H1426="",L1426=""),"",H1426*L1426)</f>
        <v/>
      </c>
      <c r="N1426" s="34" t="str">
        <f aca="false">IF(OR(K1426="",M1426=""),"",K1426-M1426)</f>
        <v/>
      </c>
      <c r="O1426" s="35" t="str">
        <f aca="false">IF(OR(N1426="",K1426=""),"",IF(K1426=0,"",N1426/K1426))</f>
        <v/>
      </c>
      <c r="P1426" s="25"/>
      <c r="Q1426" s="25"/>
      <c r="R1426" s="25"/>
      <c r="S1426" s="36" t="str">
        <f aca="false">IF(A1426="","",YEAR(A1426)+IF(AND(FYStart&gt;1,MONTH(A1426)&gt;=FYStart),1,0))</f>
        <v/>
      </c>
      <c r="T1426" s="36" t="str">
        <f aca="false">IF(A1426="","",MOD(MONTH(A1426)-FYStart,12)+1)</f>
        <v/>
      </c>
      <c r="U1426" s="37" t="str">
        <f aca="false">IF(A1426="","",TEXT(A1426,"mmm"))</f>
        <v/>
      </c>
      <c r="V1426" s="37" t="str">
        <f aca="false">IF(Q1426="","",IFERROR(INDEX(Settings!$I$11:$I$15,MATCH(Q1426,Settings!$H$11:$H$15,0)),"No"))</f>
        <v/>
      </c>
      <c r="W1426" s="37" t="str">
        <f aca="false">IF(Q1426="","",IFERROR(INDEX(Settings!$J$11:$J$15,MATCH(Q1426,Settings!$H$11:$H$15,0)),"No"))</f>
        <v/>
      </c>
    </row>
    <row r="1427" customFormat="false" ht="15" hidden="false" customHeight="false" outlineLevel="0" collapsed="false">
      <c r="A1427" s="30"/>
      <c r="B1427" s="25"/>
      <c r="C1427" s="25"/>
      <c r="D1427" s="25"/>
      <c r="E1427" s="25"/>
      <c r="F1427" s="25"/>
      <c r="G1427" s="25"/>
      <c r="H1427" s="31"/>
      <c r="I1427" s="32"/>
      <c r="J1427" s="33"/>
      <c r="K1427" s="34" t="str">
        <f aca="false">IF(OR(H1427="",I1427=""),"",H1427*I1427*(1-N(J1427)))</f>
        <v/>
      </c>
      <c r="L1427" s="32"/>
      <c r="M1427" s="34" t="str">
        <f aca="false">IF(OR(H1427="",L1427=""),"",H1427*L1427)</f>
        <v/>
      </c>
      <c r="N1427" s="34" t="str">
        <f aca="false">IF(OR(K1427="",M1427=""),"",K1427-M1427)</f>
        <v/>
      </c>
      <c r="O1427" s="35" t="str">
        <f aca="false">IF(OR(N1427="",K1427=""),"",IF(K1427=0,"",N1427/K1427))</f>
        <v/>
      </c>
      <c r="P1427" s="25"/>
      <c r="Q1427" s="25"/>
      <c r="R1427" s="25"/>
      <c r="S1427" s="36" t="str">
        <f aca="false">IF(A1427="","",YEAR(A1427)+IF(AND(FYStart&gt;1,MONTH(A1427)&gt;=FYStart),1,0))</f>
        <v/>
      </c>
      <c r="T1427" s="36" t="str">
        <f aca="false">IF(A1427="","",MOD(MONTH(A1427)-FYStart,12)+1)</f>
        <v/>
      </c>
      <c r="U1427" s="37" t="str">
        <f aca="false">IF(A1427="","",TEXT(A1427,"mmm"))</f>
        <v/>
      </c>
      <c r="V1427" s="37" t="str">
        <f aca="false">IF(Q1427="","",IFERROR(INDEX(Settings!$I$11:$I$15,MATCH(Q1427,Settings!$H$11:$H$15,0)),"No"))</f>
        <v/>
      </c>
      <c r="W1427" s="37" t="str">
        <f aca="false">IF(Q1427="","",IFERROR(INDEX(Settings!$J$11:$J$15,MATCH(Q1427,Settings!$H$11:$H$15,0)),"No"))</f>
        <v/>
      </c>
    </row>
    <row r="1428" customFormat="false" ht="15" hidden="false" customHeight="false" outlineLevel="0" collapsed="false">
      <c r="A1428" s="30"/>
      <c r="B1428" s="25"/>
      <c r="C1428" s="25"/>
      <c r="D1428" s="25"/>
      <c r="E1428" s="25"/>
      <c r="F1428" s="25"/>
      <c r="G1428" s="25"/>
      <c r="H1428" s="31"/>
      <c r="I1428" s="32"/>
      <c r="J1428" s="33"/>
      <c r="K1428" s="34" t="str">
        <f aca="false">IF(OR(H1428="",I1428=""),"",H1428*I1428*(1-N(J1428)))</f>
        <v/>
      </c>
      <c r="L1428" s="32"/>
      <c r="M1428" s="34" t="str">
        <f aca="false">IF(OR(H1428="",L1428=""),"",H1428*L1428)</f>
        <v/>
      </c>
      <c r="N1428" s="34" t="str">
        <f aca="false">IF(OR(K1428="",M1428=""),"",K1428-M1428)</f>
        <v/>
      </c>
      <c r="O1428" s="35" t="str">
        <f aca="false">IF(OR(N1428="",K1428=""),"",IF(K1428=0,"",N1428/K1428))</f>
        <v/>
      </c>
      <c r="P1428" s="25"/>
      <c r="Q1428" s="25"/>
      <c r="R1428" s="25"/>
      <c r="S1428" s="36" t="str">
        <f aca="false">IF(A1428="","",YEAR(A1428)+IF(AND(FYStart&gt;1,MONTH(A1428)&gt;=FYStart),1,0))</f>
        <v/>
      </c>
      <c r="T1428" s="36" t="str">
        <f aca="false">IF(A1428="","",MOD(MONTH(A1428)-FYStart,12)+1)</f>
        <v/>
      </c>
      <c r="U1428" s="37" t="str">
        <f aca="false">IF(A1428="","",TEXT(A1428,"mmm"))</f>
        <v/>
      </c>
      <c r="V1428" s="37" t="str">
        <f aca="false">IF(Q1428="","",IFERROR(INDEX(Settings!$I$11:$I$15,MATCH(Q1428,Settings!$H$11:$H$15,0)),"No"))</f>
        <v/>
      </c>
      <c r="W1428" s="37" t="str">
        <f aca="false">IF(Q1428="","",IFERROR(INDEX(Settings!$J$11:$J$15,MATCH(Q1428,Settings!$H$11:$H$15,0)),"No"))</f>
        <v/>
      </c>
    </row>
    <row r="1429" customFormat="false" ht="15" hidden="false" customHeight="false" outlineLevel="0" collapsed="false">
      <c r="A1429" s="30"/>
      <c r="B1429" s="25"/>
      <c r="C1429" s="25"/>
      <c r="D1429" s="25"/>
      <c r="E1429" s="25"/>
      <c r="F1429" s="25"/>
      <c r="G1429" s="25"/>
      <c r="H1429" s="31"/>
      <c r="I1429" s="32"/>
      <c r="J1429" s="33"/>
      <c r="K1429" s="34" t="str">
        <f aca="false">IF(OR(H1429="",I1429=""),"",H1429*I1429*(1-N(J1429)))</f>
        <v/>
      </c>
      <c r="L1429" s="32"/>
      <c r="M1429" s="34" t="str">
        <f aca="false">IF(OR(H1429="",L1429=""),"",H1429*L1429)</f>
        <v/>
      </c>
      <c r="N1429" s="34" t="str">
        <f aca="false">IF(OR(K1429="",M1429=""),"",K1429-M1429)</f>
        <v/>
      </c>
      <c r="O1429" s="35" t="str">
        <f aca="false">IF(OR(N1429="",K1429=""),"",IF(K1429=0,"",N1429/K1429))</f>
        <v/>
      </c>
      <c r="P1429" s="25"/>
      <c r="Q1429" s="25"/>
      <c r="R1429" s="25"/>
      <c r="S1429" s="36" t="str">
        <f aca="false">IF(A1429="","",YEAR(A1429)+IF(AND(FYStart&gt;1,MONTH(A1429)&gt;=FYStart),1,0))</f>
        <v/>
      </c>
      <c r="T1429" s="36" t="str">
        <f aca="false">IF(A1429="","",MOD(MONTH(A1429)-FYStart,12)+1)</f>
        <v/>
      </c>
      <c r="U1429" s="37" t="str">
        <f aca="false">IF(A1429="","",TEXT(A1429,"mmm"))</f>
        <v/>
      </c>
      <c r="V1429" s="37" t="str">
        <f aca="false">IF(Q1429="","",IFERROR(INDEX(Settings!$I$11:$I$15,MATCH(Q1429,Settings!$H$11:$H$15,0)),"No"))</f>
        <v/>
      </c>
      <c r="W1429" s="37" t="str">
        <f aca="false">IF(Q1429="","",IFERROR(INDEX(Settings!$J$11:$J$15,MATCH(Q1429,Settings!$H$11:$H$15,0)),"No"))</f>
        <v/>
      </c>
    </row>
    <row r="1430" customFormat="false" ht="15" hidden="false" customHeight="false" outlineLevel="0" collapsed="false">
      <c r="A1430" s="30"/>
      <c r="B1430" s="25"/>
      <c r="C1430" s="25"/>
      <c r="D1430" s="25"/>
      <c r="E1430" s="25"/>
      <c r="F1430" s="25"/>
      <c r="G1430" s="25"/>
      <c r="H1430" s="31"/>
      <c r="I1430" s="32"/>
      <c r="J1430" s="33"/>
      <c r="K1430" s="34" t="str">
        <f aca="false">IF(OR(H1430="",I1430=""),"",H1430*I1430*(1-N(J1430)))</f>
        <v/>
      </c>
      <c r="L1430" s="32"/>
      <c r="M1430" s="34" t="str">
        <f aca="false">IF(OR(H1430="",L1430=""),"",H1430*L1430)</f>
        <v/>
      </c>
      <c r="N1430" s="34" t="str">
        <f aca="false">IF(OR(K1430="",M1430=""),"",K1430-M1430)</f>
        <v/>
      </c>
      <c r="O1430" s="35" t="str">
        <f aca="false">IF(OR(N1430="",K1430=""),"",IF(K1430=0,"",N1430/K1430))</f>
        <v/>
      </c>
      <c r="P1430" s="25"/>
      <c r="Q1430" s="25"/>
      <c r="R1430" s="25"/>
      <c r="S1430" s="36" t="str">
        <f aca="false">IF(A1430="","",YEAR(A1430)+IF(AND(FYStart&gt;1,MONTH(A1430)&gt;=FYStart),1,0))</f>
        <v/>
      </c>
      <c r="T1430" s="36" t="str">
        <f aca="false">IF(A1430="","",MOD(MONTH(A1430)-FYStart,12)+1)</f>
        <v/>
      </c>
      <c r="U1430" s="37" t="str">
        <f aca="false">IF(A1430="","",TEXT(A1430,"mmm"))</f>
        <v/>
      </c>
      <c r="V1430" s="37" t="str">
        <f aca="false">IF(Q1430="","",IFERROR(INDEX(Settings!$I$11:$I$15,MATCH(Q1430,Settings!$H$11:$H$15,0)),"No"))</f>
        <v/>
      </c>
      <c r="W1430" s="37" t="str">
        <f aca="false">IF(Q1430="","",IFERROR(INDEX(Settings!$J$11:$J$15,MATCH(Q1430,Settings!$H$11:$H$15,0)),"No"))</f>
        <v/>
      </c>
    </row>
    <row r="1431" customFormat="false" ht="15" hidden="false" customHeight="false" outlineLevel="0" collapsed="false">
      <c r="A1431" s="30"/>
      <c r="B1431" s="25"/>
      <c r="C1431" s="25"/>
      <c r="D1431" s="25"/>
      <c r="E1431" s="25"/>
      <c r="F1431" s="25"/>
      <c r="G1431" s="25"/>
      <c r="H1431" s="31"/>
      <c r="I1431" s="32"/>
      <c r="J1431" s="33"/>
      <c r="K1431" s="34" t="str">
        <f aca="false">IF(OR(H1431="",I1431=""),"",H1431*I1431*(1-N(J1431)))</f>
        <v/>
      </c>
      <c r="L1431" s="32"/>
      <c r="M1431" s="34" t="str">
        <f aca="false">IF(OR(H1431="",L1431=""),"",H1431*L1431)</f>
        <v/>
      </c>
      <c r="N1431" s="34" t="str">
        <f aca="false">IF(OR(K1431="",M1431=""),"",K1431-M1431)</f>
        <v/>
      </c>
      <c r="O1431" s="35" t="str">
        <f aca="false">IF(OR(N1431="",K1431=""),"",IF(K1431=0,"",N1431/K1431))</f>
        <v/>
      </c>
      <c r="P1431" s="25"/>
      <c r="Q1431" s="25"/>
      <c r="R1431" s="25"/>
      <c r="S1431" s="36" t="str">
        <f aca="false">IF(A1431="","",YEAR(A1431)+IF(AND(FYStart&gt;1,MONTH(A1431)&gt;=FYStart),1,0))</f>
        <v/>
      </c>
      <c r="T1431" s="36" t="str">
        <f aca="false">IF(A1431="","",MOD(MONTH(A1431)-FYStart,12)+1)</f>
        <v/>
      </c>
      <c r="U1431" s="37" t="str">
        <f aca="false">IF(A1431="","",TEXT(A1431,"mmm"))</f>
        <v/>
      </c>
      <c r="V1431" s="37" t="str">
        <f aca="false">IF(Q1431="","",IFERROR(INDEX(Settings!$I$11:$I$15,MATCH(Q1431,Settings!$H$11:$H$15,0)),"No"))</f>
        <v/>
      </c>
      <c r="W1431" s="37" t="str">
        <f aca="false">IF(Q1431="","",IFERROR(INDEX(Settings!$J$11:$J$15,MATCH(Q1431,Settings!$H$11:$H$15,0)),"No"))</f>
        <v/>
      </c>
    </row>
    <row r="1432" customFormat="false" ht="15" hidden="false" customHeight="false" outlineLevel="0" collapsed="false">
      <c r="A1432" s="30"/>
      <c r="B1432" s="25"/>
      <c r="C1432" s="25"/>
      <c r="D1432" s="25"/>
      <c r="E1432" s="25"/>
      <c r="F1432" s="25"/>
      <c r="G1432" s="25"/>
      <c r="H1432" s="31"/>
      <c r="I1432" s="32"/>
      <c r="J1432" s="33"/>
      <c r="K1432" s="34" t="str">
        <f aca="false">IF(OR(H1432="",I1432=""),"",H1432*I1432*(1-N(J1432)))</f>
        <v/>
      </c>
      <c r="L1432" s="32"/>
      <c r="M1432" s="34" t="str">
        <f aca="false">IF(OR(H1432="",L1432=""),"",H1432*L1432)</f>
        <v/>
      </c>
      <c r="N1432" s="34" t="str">
        <f aca="false">IF(OR(K1432="",M1432=""),"",K1432-M1432)</f>
        <v/>
      </c>
      <c r="O1432" s="35" t="str">
        <f aca="false">IF(OR(N1432="",K1432=""),"",IF(K1432=0,"",N1432/K1432))</f>
        <v/>
      </c>
      <c r="P1432" s="25"/>
      <c r="Q1432" s="25"/>
      <c r="R1432" s="25"/>
      <c r="S1432" s="36" t="str">
        <f aca="false">IF(A1432="","",YEAR(A1432)+IF(AND(FYStart&gt;1,MONTH(A1432)&gt;=FYStart),1,0))</f>
        <v/>
      </c>
      <c r="T1432" s="36" t="str">
        <f aca="false">IF(A1432="","",MOD(MONTH(A1432)-FYStart,12)+1)</f>
        <v/>
      </c>
      <c r="U1432" s="37" t="str">
        <f aca="false">IF(A1432="","",TEXT(A1432,"mmm"))</f>
        <v/>
      </c>
      <c r="V1432" s="37" t="str">
        <f aca="false">IF(Q1432="","",IFERROR(INDEX(Settings!$I$11:$I$15,MATCH(Q1432,Settings!$H$11:$H$15,0)),"No"))</f>
        <v/>
      </c>
      <c r="W1432" s="37" t="str">
        <f aca="false">IF(Q1432="","",IFERROR(INDEX(Settings!$J$11:$J$15,MATCH(Q1432,Settings!$H$11:$H$15,0)),"No"))</f>
        <v/>
      </c>
    </row>
    <row r="1433" customFormat="false" ht="15" hidden="false" customHeight="false" outlineLevel="0" collapsed="false">
      <c r="A1433" s="30"/>
      <c r="B1433" s="25"/>
      <c r="C1433" s="25"/>
      <c r="D1433" s="25"/>
      <c r="E1433" s="25"/>
      <c r="F1433" s="25"/>
      <c r="G1433" s="25"/>
      <c r="H1433" s="31"/>
      <c r="I1433" s="32"/>
      <c r="J1433" s="33"/>
      <c r="K1433" s="34" t="str">
        <f aca="false">IF(OR(H1433="",I1433=""),"",H1433*I1433*(1-N(J1433)))</f>
        <v/>
      </c>
      <c r="L1433" s="32"/>
      <c r="M1433" s="34" t="str">
        <f aca="false">IF(OR(H1433="",L1433=""),"",H1433*L1433)</f>
        <v/>
      </c>
      <c r="N1433" s="34" t="str">
        <f aca="false">IF(OR(K1433="",M1433=""),"",K1433-M1433)</f>
        <v/>
      </c>
      <c r="O1433" s="35" t="str">
        <f aca="false">IF(OR(N1433="",K1433=""),"",IF(K1433=0,"",N1433/K1433))</f>
        <v/>
      </c>
      <c r="P1433" s="25"/>
      <c r="Q1433" s="25"/>
      <c r="R1433" s="25"/>
      <c r="S1433" s="36" t="str">
        <f aca="false">IF(A1433="","",YEAR(A1433)+IF(AND(FYStart&gt;1,MONTH(A1433)&gt;=FYStart),1,0))</f>
        <v/>
      </c>
      <c r="T1433" s="36" t="str">
        <f aca="false">IF(A1433="","",MOD(MONTH(A1433)-FYStart,12)+1)</f>
        <v/>
      </c>
      <c r="U1433" s="37" t="str">
        <f aca="false">IF(A1433="","",TEXT(A1433,"mmm"))</f>
        <v/>
      </c>
      <c r="V1433" s="37" t="str">
        <f aca="false">IF(Q1433="","",IFERROR(INDEX(Settings!$I$11:$I$15,MATCH(Q1433,Settings!$H$11:$H$15,0)),"No"))</f>
        <v/>
      </c>
      <c r="W1433" s="37" t="str">
        <f aca="false">IF(Q1433="","",IFERROR(INDEX(Settings!$J$11:$J$15,MATCH(Q1433,Settings!$H$11:$H$15,0)),"No"))</f>
        <v/>
      </c>
    </row>
    <row r="1434" customFormat="false" ht="15" hidden="false" customHeight="false" outlineLevel="0" collapsed="false">
      <c r="A1434" s="30"/>
      <c r="B1434" s="25"/>
      <c r="C1434" s="25"/>
      <c r="D1434" s="25"/>
      <c r="E1434" s="25"/>
      <c r="F1434" s="25"/>
      <c r="G1434" s="25"/>
      <c r="H1434" s="31"/>
      <c r="I1434" s="32"/>
      <c r="J1434" s="33"/>
      <c r="K1434" s="34" t="str">
        <f aca="false">IF(OR(H1434="",I1434=""),"",H1434*I1434*(1-N(J1434)))</f>
        <v/>
      </c>
      <c r="L1434" s="32"/>
      <c r="M1434" s="34" t="str">
        <f aca="false">IF(OR(H1434="",L1434=""),"",H1434*L1434)</f>
        <v/>
      </c>
      <c r="N1434" s="34" t="str">
        <f aca="false">IF(OR(K1434="",M1434=""),"",K1434-M1434)</f>
        <v/>
      </c>
      <c r="O1434" s="35" t="str">
        <f aca="false">IF(OR(N1434="",K1434=""),"",IF(K1434=0,"",N1434/K1434))</f>
        <v/>
      </c>
      <c r="P1434" s="25"/>
      <c r="Q1434" s="25"/>
      <c r="R1434" s="25"/>
      <c r="S1434" s="36" t="str">
        <f aca="false">IF(A1434="","",YEAR(A1434)+IF(AND(FYStart&gt;1,MONTH(A1434)&gt;=FYStart),1,0))</f>
        <v/>
      </c>
      <c r="T1434" s="36" t="str">
        <f aca="false">IF(A1434="","",MOD(MONTH(A1434)-FYStart,12)+1)</f>
        <v/>
      </c>
      <c r="U1434" s="37" t="str">
        <f aca="false">IF(A1434="","",TEXT(A1434,"mmm"))</f>
        <v/>
      </c>
      <c r="V1434" s="37" t="str">
        <f aca="false">IF(Q1434="","",IFERROR(INDEX(Settings!$I$11:$I$15,MATCH(Q1434,Settings!$H$11:$H$15,0)),"No"))</f>
        <v/>
      </c>
      <c r="W1434" s="37" t="str">
        <f aca="false">IF(Q1434="","",IFERROR(INDEX(Settings!$J$11:$J$15,MATCH(Q1434,Settings!$H$11:$H$15,0)),"No"))</f>
        <v/>
      </c>
    </row>
    <row r="1435" customFormat="false" ht="15" hidden="false" customHeight="false" outlineLevel="0" collapsed="false">
      <c r="A1435" s="30"/>
      <c r="B1435" s="25"/>
      <c r="C1435" s="25"/>
      <c r="D1435" s="25"/>
      <c r="E1435" s="25"/>
      <c r="F1435" s="25"/>
      <c r="G1435" s="25"/>
      <c r="H1435" s="31"/>
      <c r="I1435" s="32"/>
      <c r="J1435" s="33"/>
      <c r="K1435" s="34" t="str">
        <f aca="false">IF(OR(H1435="",I1435=""),"",H1435*I1435*(1-N(J1435)))</f>
        <v/>
      </c>
      <c r="L1435" s="32"/>
      <c r="M1435" s="34" t="str">
        <f aca="false">IF(OR(H1435="",L1435=""),"",H1435*L1435)</f>
        <v/>
      </c>
      <c r="N1435" s="34" t="str">
        <f aca="false">IF(OR(K1435="",M1435=""),"",K1435-M1435)</f>
        <v/>
      </c>
      <c r="O1435" s="35" t="str">
        <f aca="false">IF(OR(N1435="",K1435=""),"",IF(K1435=0,"",N1435/K1435))</f>
        <v/>
      </c>
      <c r="P1435" s="25"/>
      <c r="Q1435" s="25"/>
      <c r="R1435" s="25"/>
      <c r="S1435" s="36" t="str">
        <f aca="false">IF(A1435="","",YEAR(A1435)+IF(AND(FYStart&gt;1,MONTH(A1435)&gt;=FYStart),1,0))</f>
        <v/>
      </c>
      <c r="T1435" s="36" t="str">
        <f aca="false">IF(A1435="","",MOD(MONTH(A1435)-FYStart,12)+1)</f>
        <v/>
      </c>
      <c r="U1435" s="37" t="str">
        <f aca="false">IF(A1435="","",TEXT(A1435,"mmm"))</f>
        <v/>
      </c>
      <c r="V1435" s="37" t="str">
        <f aca="false">IF(Q1435="","",IFERROR(INDEX(Settings!$I$11:$I$15,MATCH(Q1435,Settings!$H$11:$H$15,0)),"No"))</f>
        <v/>
      </c>
      <c r="W1435" s="37" t="str">
        <f aca="false">IF(Q1435="","",IFERROR(INDEX(Settings!$J$11:$J$15,MATCH(Q1435,Settings!$H$11:$H$15,0)),"No"))</f>
        <v/>
      </c>
    </row>
    <row r="1436" customFormat="false" ht="15" hidden="false" customHeight="false" outlineLevel="0" collapsed="false">
      <c r="A1436" s="30"/>
      <c r="B1436" s="25"/>
      <c r="C1436" s="25"/>
      <c r="D1436" s="25"/>
      <c r="E1436" s="25"/>
      <c r="F1436" s="25"/>
      <c r="G1436" s="25"/>
      <c r="H1436" s="31"/>
      <c r="I1436" s="32"/>
      <c r="J1436" s="33"/>
      <c r="K1436" s="34" t="str">
        <f aca="false">IF(OR(H1436="",I1436=""),"",H1436*I1436*(1-N(J1436)))</f>
        <v/>
      </c>
      <c r="L1436" s="32"/>
      <c r="M1436" s="34" t="str">
        <f aca="false">IF(OR(H1436="",L1436=""),"",H1436*L1436)</f>
        <v/>
      </c>
      <c r="N1436" s="34" t="str">
        <f aca="false">IF(OR(K1436="",M1436=""),"",K1436-M1436)</f>
        <v/>
      </c>
      <c r="O1436" s="35" t="str">
        <f aca="false">IF(OR(N1436="",K1436=""),"",IF(K1436=0,"",N1436/K1436))</f>
        <v/>
      </c>
      <c r="P1436" s="25"/>
      <c r="Q1436" s="25"/>
      <c r="R1436" s="25"/>
      <c r="S1436" s="36" t="str">
        <f aca="false">IF(A1436="","",YEAR(A1436)+IF(AND(FYStart&gt;1,MONTH(A1436)&gt;=FYStart),1,0))</f>
        <v/>
      </c>
      <c r="T1436" s="36" t="str">
        <f aca="false">IF(A1436="","",MOD(MONTH(A1436)-FYStart,12)+1)</f>
        <v/>
      </c>
      <c r="U1436" s="37" t="str">
        <f aca="false">IF(A1436="","",TEXT(A1436,"mmm"))</f>
        <v/>
      </c>
      <c r="V1436" s="37" t="str">
        <f aca="false">IF(Q1436="","",IFERROR(INDEX(Settings!$I$11:$I$15,MATCH(Q1436,Settings!$H$11:$H$15,0)),"No"))</f>
        <v/>
      </c>
      <c r="W1436" s="37" t="str">
        <f aca="false">IF(Q1436="","",IFERROR(INDEX(Settings!$J$11:$J$15,MATCH(Q1436,Settings!$H$11:$H$15,0)),"No"))</f>
        <v/>
      </c>
    </row>
    <row r="1437" customFormat="false" ht="15" hidden="false" customHeight="false" outlineLevel="0" collapsed="false">
      <c r="A1437" s="30"/>
      <c r="B1437" s="25"/>
      <c r="C1437" s="25"/>
      <c r="D1437" s="25"/>
      <c r="E1437" s="25"/>
      <c r="F1437" s="25"/>
      <c r="G1437" s="25"/>
      <c r="H1437" s="31"/>
      <c r="I1437" s="32"/>
      <c r="J1437" s="33"/>
      <c r="K1437" s="34" t="str">
        <f aca="false">IF(OR(H1437="",I1437=""),"",H1437*I1437*(1-N(J1437)))</f>
        <v/>
      </c>
      <c r="L1437" s="32"/>
      <c r="M1437" s="34" t="str">
        <f aca="false">IF(OR(H1437="",L1437=""),"",H1437*L1437)</f>
        <v/>
      </c>
      <c r="N1437" s="34" t="str">
        <f aca="false">IF(OR(K1437="",M1437=""),"",K1437-M1437)</f>
        <v/>
      </c>
      <c r="O1437" s="35" t="str">
        <f aca="false">IF(OR(N1437="",K1437=""),"",IF(K1437=0,"",N1437/K1437))</f>
        <v/>
      </c>
      <c r="P1437" s="25"/>
      <c r="Q1437" s="25"/>
      <c r="R1437" s="25"/>
      <c r="S1437" s="36" t="str">
        <f aca="false">IF(A1437="","",YEAR(A1437)+IF(AND(FYStart&gt;1,MONTH(A1437)&gt;=FYStart),1,0))</f>
        <v/>
      </c>
      <c r="T1437" s="36" t="str">
        <f aca="false">IF(A1437="","",MOD(MONTH(A1437)-FYStart,12)+1)</f>
        <v/>
      </c>
      <c r="U1437" s="37" t="str">
        <f aca="false">IF(A1437="","",TEXT(A1437,"mmm"))</f>
        <v/>
      </c>
      <c r="V1437" s="37" t="str">
        <f aca="false">IF(Q1437="","",IFERROR(INDEX(Settings!$I$11:$I$15,MATCH(Q1437,Settings!$H$11:$H$15,0)),"No"))</f>
        <v/>
      </c>
      <c r="W1437" s="37" t="str">
        <f aca="false">IF(Q1437="","",IFERROR(INDEX(Settings!$J$11:$J$15,MATCH(Q1437,Settings!$H$11:$H$15,0)),"No"))</f>
        <v/>
      </c>
    </row>
    <row r="1438" customFormat="false" ht="15" hidden="false" customHeight="false" outlineLevel="0" collapsed="false">
      <c r="A1438" s="30"/>
      <c r="B1438" s="25"/>
      <c r="C1438" s="25"/>
      <c r="D1438" s="25"/>
      <c r="E1438" s="25"/>
      <c r="F1438" s="25"/>
      <c r="G1438" s="25"/>
      <c r="H1438" s="31"/>
      <c r="I1438" s="32"/>
      <c r="J1438" s="33"/>
      <c r="K1438" s="34" t="str">
        <f aca="false">IF(OR(H1438="",I1438=""),"",H1438*I1438*(1-N(J1438)))</f>
        <v/>
      </c>
      <c r="L1438" s="32"/>
      <c r="M1438" s="34" t="str">
        <f aca="false">IF(OR(H1438="",L1438=""),"",H1438*L1438)</f>
        <v/>
      </c>
      <c r="N1438" s="34" t="str">
        <f aca="false">IF(OR(K1438="",M1438=""),"",K1438-M1438)</f>
        <v/>
      </c>
      <c r="O1438" s="35" t="str">
        <f aca="false">IF(OR(N1438="",K1438=""),"",IF(K1438=0,"",N1438/K1438))</f>
        <v/>
      </c>
      <c r="P1438" s="25"/>
      <c r="Q1438" s="25"/>
      <c r="R1438" s="25"/>
      <c r="S1438" s="36" t="str">
        <f aca="false">IF(A1438="","",YEAR(A1438)+IF(AND(FYStart&gt;1,MONTH(A1438)&gt;=FYStart),1,0))</f>
        <v/>
      </c>
      <c r="T1438" s="36" t="str">
        <f aca="false">IF(A1438="","",MOD(MONTH(A1438)-FYStart,12)+1)</f>
        <v/>
      </c>
      <c r="U1438" s="37" t="str">
        <f aca="false">IF(A1438="","",TEXT(A1438,"mmm"))</f>
        <v/>
      </c>
      <c r="V1438" s="37" t="str">
        <f aca="false">IF(Q1438="","",IFERROR(INDEX(Settings!$I$11:$I$15,MATCH(Q1438,Settings!$H$11:$H$15,0)),"No"))</f>
        <v/>
      </c>
      <c r="W1438" s="37" t="str">
        <f aca="false">IF(Q1438="","",IFERROR(INDEX(Settings!$J$11:$J$15,MATCH(Q1438,Settings!$H$11:$H$15,0)),"No"))</f>
        <v/>
      </c>
    </row>
    <row r="1439" customFormat="false" ht="15" hidden="false" customHeight="false" outlineLevel="0" collapsed="false">
      <c r="A1439" s="30"/>
      <c r="B1439" s="25"/>
      <c r="C1439" s="25"/>
      <c r="D1439" s="25"/>
      <c r="E1439" s="25"/>
      <c r="F1439" s="25"/>
      <c r="G1439" s="25"/>
      <c r="H1439" s="31"/>
      <c r="I1439" s="32"/>
      <c r="J1439" s="33"/>
      <c r="K1439" s="34" t="str">
        <f aca="false">IF(OR(H1439="",I1439=""),"",H1439*I1439*(1-N(J1439)))</f>
        <v/>
      </c>
      <c r="L1439" s="32"/>
      <c r="M1439" s="34" t="str">
        <f aca="false">IF(OR(H1439="",L1439=""),"",H1439*L1439)</f>
        <v/>
      </c>
      <c r="N1439" s="34" t="str">
        <f aca="false">IF(OR(K1439="",M1439=""),"",K1439-M1439)</f>
        <v/>
      </c>
      <c r="O1439" s="35" t="str">
        <f aca="false">IF(OR(N1439="",K1439=""),"",IF(K1439=0,"",N1439/K1439))</f>
        <v/>
      </c>
      <c r="P1439" s="25"/>
      <c r="Q1439" s="25"/>
      <c r="R1439" s="25"/>
      <c r="S1439" s="36" t="str">
        <f aca="false">IF(A1439="","",YEAR(A1439)+IF(AND(FYStart&gt;1,MONTH(A1439)&gt;=FYStart),1,0))</f>
        <v/>
      </c>
      <c r="T1439" s="36" t="str">
        <f aca="false">IF(A1439="","",MOD(MONTH(A1439)-FYStart,12)+1)</f>
        <v/>
      </c>
      <c r="U1439" s="37" t="str">
        <f aca="false">IF(A1439="","",TEXT(A1439,"mmm"))</f>
        <v/>
      </c>
      <c r="V1439" s="37" t="str">
        <f aca="false">IF(Q1439="","",IFERROR(INDEX(Settings!$I$11:$I$15,MATCH(Q1439,Settings!$H$11:$H$15,0)),"No"))</f>
        <v/>
      </c>
      <c r="W1439" s="37" t="str">
        <f aca="false">IF(Q1439="","",IFERROR(INDEX(Settings!$J$11:$J$15,MATCH(Q1439,Settings!$H$11:$H$15,0)),"No"))</f>
        <v/>
      </c>
    </row>
    <row r="1440" customFormat="false" ht="15" hidden="false" customHeight="false" outlineLevel="0" collapsed="false">
      <c r="A1440" s="30"/>
      <c r="B1440" s="25"/>
      <c r="C1440" s="25"/>
      <c r="D1440" s="25"/>
      <c r="E1440" s="25"/>
      <c r="F1440" s="25"/>
      <c r="G1440" s="25"/>
      <c r="H1440" s="31"/>
      <c r="I1440" s="32"/>
      <c r="J1440" s="33"/>
      <c r="K1440" s="34" t="str">
        <f aca="false">IF(OR(H1440="",I1440=""),"",H1440*I1440*(1-N(J1440)))</f>
        <v/>
      </c>
      <c r="L1440" s="32"/>
      <c r="M1440" s="34" t="str">
        <f aca="false">IF(OR(H1440="",L1440=""),"",H1440*L1440)</f>
        <v/>
      </c>
      <c r="N1440" s="34" t="str">
        <f aca="false">IF(OR(K1440="",M1440=""),"",K1440-M1440)</f>
        <v/>
      </c>
      <c r="O1440" s="35" t="str">
        <f aca="false">IF(OR(N1440="",K1440=""),"",IF(K1440=0,"",N1440/K1440))</f>
        <v/>
      </c>
      <c r="P1440" s="25"/>
      <c r="Q1440" s="25"/>
      <c r="R1440" s="25"/>
      <c r="S1440" s="36" t="str">
        <f aca="false">IF(A1440="","",YEAR(A1440)+IF(AND(FYStart&gt;1,MONTH(A1440)&gt;=FYStart),1,0))</f>
        <v/>
      </c>
      <c r="T1440" s="36" t="str">
        <f aca="false">IF(A1440="","",MOD(MONTH(A1440)-FYStart,12)+1)</f>
        <v/>
      </c>
      <c r="U1440" s="37" t="str">
        <f aca="false">IF(A1440="","",TEXT(A1440,"mmm"))</f>
        <v/>
      </c>
      <c r="V1440" s="37" t="str">
        <f aca="false">IF(Q1440="","",IFERROR(INDEX(Settings!$I$11:$I$15,MATCH(Q1440,Settings!$H$11:$H$15,0)),"No"))</f>
        <v/>
      </c>
      <c r="W1440" s="37" t="str">
        <f aca="false">IF(Q1440="","",IFERROR(INDEX(Settings!$J$11:$J$15,MATCH(Q1440,Settings!$H$11:$H$15,0)),"No"))</f>
        <v/>
      </c>
    </row>
    <row r="1441" customFormat="false" ht="15" hidden="false" customHeight="false" outlineLevel="0" collapsed="false">
      <c r="A1441" s="30"/>
      <c r="B1441" s="25"/>
      <c r="C1441" s="25"/>
      <c r="D1441" s="25"/>
      <c r="E1441" s="25"/>
      <c r="F1441" s="25"/>
      <c r="G1441" s="25"/>
      <c r="H1441" s="31"/>
      <c r="I1441" s="32"/>
      <c r="J1441" s="33"/>
      <c r="K1441" s="34" t="str">
        <f aca="false">IF(OR(H1441="",I1441=""),"",H1441*I1441*(1-N(J1441)))</f>
        <v/>
      </c>
      <c r="L1441" s="32"/>
      <c r="M1441" s="34" t="str">
        <f aca="false">IF(OR(H1441="",L1441=""),"",H1441*L1441)</f>
        <v/>
      </c>
      <c r="N1441" s="34" t="str">
        <f aca="false">IF(OR(K1441="",M1441=""),"",K1441-M1441)</f>
        <v/>
      </c>
      <c r="O1441" s="35" t="str">
        <f aca="false">IF(OR(N1441="",K1441=""),"",IF(K1441=0,"",N1441/K1441))</f>
        <v/>
      </c>
      <c r="P1441" s="25"/>
      <c r="Q1441" s="25"/>
      <c r="R1441" s="25"/>
      <c r="S1441" s="36" t="str">
        <f aca="false">IF(A1441="","",YEAR(A1441)+IF(AND(FYStart&gt;1,MONTH(A1441)&gt;=FYStart),1,0))</f>
        <v/>
      </c>
      <c r="T1441" s="36" t="str">
        <f aca="false">IF(A1441="","",MOD(MONTH(A1441)-FYStart,12)+1)</f>
        <v/>
      </c>
      <c r="U1441" s="37" t="str">
        <f aca="false">IF(A1441="","",TEXT(A1441,"mmm"))</f>
        <v/>
      </c>
      <c r="V1441" s="37" t="str">
        <f aca="false">IF(Q1441="","",IFERROR(INDEX(Settings!$I$11:$I$15,MATCH(Q1441,Settings!$H$11:$H$15,0)),"No"))</f>
        <v/>
      </c>
      <c r="W1441" s="37" t="str">
        <f aca="false">IF(Q1441="","",IFERROR(INDEX(Settings!$J$11:$J$15,MATCH(Q1441,Settings!$H$11:$H$15,0)),"No"))</f>
        <v/>
      </c>
    </row>
    <row r="1442" customFormat="false" ht="15" hidden="false" customHeight="false" outlineLevel="0" collapsed="false">
      <c r="A1442" s="30"/>
      <c r="B1442" s="25"/>
      <c r="C1442" s="25"/>
      <c r="D1442" s="25"/>
      <c r="E1442" s="25"/>
      <c r="F1442" s="25"/>
      <c r="G1442" s="25"/>
      <c r="H1442" s="31"/>
      <c r="I1442" s="32"/>
      <c r="J1442" s="33"/>
      <c r="K1442" s="34" t="str">
        <f aca="false">IF(OR(H1442="",I1442=""),"",H1442*I1442*(1-N(J1442)))</f>
        <v/>
      </c>
      <c r="L1442" s="32"/>
      <c r="M1442" s="34" t="str">
        <f aca="false">IF(OR(H1442="",L1442=""),"",H1442*L1442)</f>
        <v/>
      </c>
      <c r="N1442" s="34" t="str">
        <f aca="false">IF(OR(K1442="",M1442=""),"",K1442-M1442)</f>
        <v/>
      </c>
      <c r="O1442" s="35" t="str">
        <f aca="false">IF(OR(N1442="",K1442=""),"",IF(K1442=0,"",N1442/K1442))</f>
        <v/>
      </c>
      <c r="P1442" s="25"/>
      <c r="Q1442" s="25"/>
      <c r="R1442" s="25"/>
      <c r="S1442" s="36" t="str">
        <f aca="false">IF(A1442="","",YEAR(A1442)+IF(AND(FYStart&gt;1,MONTH(A1442)&gt;=FYStart),1,0))</f>
        <v/>
      </c>
      <c r="T1442" s="36" t="str">
        <f aca="false">IF(A1442="","",MOD(MONTH(A1442)-FYStart,12)+1)</f>
        <v/>
      </c>
      <c r="U1442" s="37" t="str">
        <f aca="false">IF(A1442="","",TEXT(A1442,"mmm"))</f>
        <v/>
      </c>
      <c r="V1442" s="37" t="str">
        <f aca="false">IF(Q1442="","",IFERROR(INDEX(Settings!$I$11:$I$15,MATCH(Q1442,Settings!$H$11:$H$15,0)),"No"))</f>
        <v/>
      </c>
      <c r="W1442" s="37" t="str">
        <f aca="false">IF(Q1442="","",IFERROR(INDEX(Settings!$J$11:$J$15,MATCH(Q1442,Settings!$H$11:$H$15,0)),"No"))</f>
        <v/>
      </c>
    </row>
    <row r="1443" customFormat="false" ht="15" hidden="false" customHeight="false" outlineLevel="0" collapsed="false">
      <c r="A1443" s="30"/>
      <c r="B1443" s="25"/>
      <c r="C1443" s="25"/>
      <c r="D1443" s="25"/>
      <c r="E1443" s="25"/>
      <c r="F1443" s="25"/>
      <c r="G1443" s="25"/>
      <c r="H1443" s="31"/>
      <c r="I1443" s="32"/>
      <c r="J1443" s="33"/>
      <c r="K1443" s="34" t="str">
        <f aca="false">IF(OR(H1443="",I1443=""),"",H1443*I1443*(1-N(J1443)))</f>
        <v/>
      </c>
      <c r="L1443" s="32"/>
      <c r="M1443" s="34" t="str">
        <f aca="false">IF(OR(H1443="",L1443=""),"",H1443*L1443)</f>
        <v/>
      </c>
      <c r="N1443" s="34" t="str">
        <f aca="false">IF(OR(K1443="",M1443=""),"",K1443-M1443)</f>
        <v/>
      </c>
      <c r="O1443" s="35" t="str">
        <f aca="false">IF(OR(N1443="",K1443=""),"",IF(K1443=0,"",N1443/K1443))</f>
        <v/>
      </c>
      <c r="P1443" s="25"/>
      <c r="Q1443" s="25"/>
      <c r="R1443" s="25"/>
      <c r="S1443" s="36" t="str">
        <f aca="false">IF(A1443="","",YEAR(A1443)+IF(AND(FYStart&gt;1,MONTH(A1443)&gt;=FYStart),1,0))</f>
        <v/>
      </c>
      <c r="T1443" s="36" t="str">
        <f aca="false">IF(A1443="","",MOD(MONTH(A1443)-FYStart,12)+1)</f>
        <v/>
      </c>
      <c r="U1443" s="37" t="str">
        <f aca="false">IF(A1443="","",TEXT(A1443,"mmm"))</f>
        <v/>
      </c>
      <c r="V1443" s="37" t="str">
        <f aca="false">IF(Q1443="","",IFERROR(INDEX(Settings!$I$11:$I$15,MATCH(Q1443,Settings!$H$11:$H$15,0)),"No"))</f>
        <v/>
      </c>
      <c r="W1443" s="37" t="str">
        <f aca="false">IF(Q1443="","",IFERROR(INDEX(Settings!$J$11:$J$15,MATCH(Q1443,Settings!$H$11:$H$15,0)),"No"))</f>
        <v/>
      </c>
    </row>
    <row r="1444" customFormat="false" ht="15" hidden="false" customHeight="false" outlineLevel="0" collapsed="false">
      <c r="A1444" s="30"/>
      <c r="B1444" s="25"/>
      <c r="C1444" s="25"/>
      <c r="D1444" s="25"/>
      <c r="E1444" s="25"/>
      <c r="F1444" s="25"/>
      <c r="G1444" s="25"/>
      <c r="H1444" s="31"/>
      <c r="I1444" s="32"/>
      <c r="J1444" s="33"/>
      <c r="K1444" s="34" t="str">
        <f aca="false">IF(OR(H1444="",I1444=""),"",H1444*I1444*(1-N(J1444)))</f>
        <v/>
      </c>
      <c r="L1444" s="32"/>
      <c r="M1444" s="34" t="str">
        <f aca="false">IF(OR(H1444="",L1444=""),"",H1444*L1444)</f>
        <v/>
      </c>
      <c r="N1444" s="34" t="str">
        <f aca="false">IF(OR(K1444="",M1444=""),"",K1444-M1444)</f>
        <v/>
      </c>
      <c r="O1444" s="35" t="str">
        <f aca="false">IF(OR(N1444="",K1444=""),"",IF(K1444=0,"",N1444/K1444))</f>
        <v/>
      </c>
      <c r="P1444" s="25"/>
      <c r="Q1444" s="25"/>
      <c r="R1444" s="25"/>
      <c r="S1444" s="36" t="str">
        <f aca="false">IF(A1444="","",YEAR(A1444)+IF(AND(FYStart&gt;1,MONTH(A1444)&gt;=FYStart),1,0))</f>
        <v/>
      </c>
      <c r="T1444" s="36" t="str">
        <f aca="false">IF(A1444="","",MOD(MONTH(A1444)-FYStart,12)+1)</f>
        <v/>
      </c>
      <c r="U1444" s="37" t="str">
        <f aca="false">IF(A1444="","",TEXT(A1444,"mmm"))</f>
        <v/>
      </c>
      <c r="V1444" s="37" t="str">
        <f aca="false">IF(Q1444="","",IFERROR(INDEX(Settings!$I$11:$I$15,MATCH(Q1444,Settings!$H$11:$H$15,0)),"No"))</f>
        <v/>
      </c>
      <c r="W1444" s="37" t="str">
        <f aca="false">IF(Q1444="","",IFERROR(INDEX(Settings!$J$11:$J$15,MATCH(Q1444,Settings!$H$11:$H$15,0)),"No"))</f>
        <v/>
      </c>
    </row>
    <row r="1445" customFormat="false" ht="15" hidden="false" customHeight="false" outlineLevel="0" collapsed="false">
      <c r="A1445" s="30"/>
      <c r="B1445" s="25"/>
      <c r="C1445" s="25"/>
      <c r="D1445" s="25"/>
      <c r="E1445" s="25"/>
      <c r="F1445" s="25"/>
      <c r="G1445" s="25"/>
      <c r="H1445" s="31"/>
      <c r="I1445" s="32"/>
      <c r="J1445" s="33"/>
      <c r="K1445" s="34" t="str">
        <f aca="false">IF(OR(H1445="",I1445=""),"",H1445*I1445*(1-N(J1445)))</f>
        <v/>
      </c>
      <c r="L1445" s="32"/>
      <c r="M1445" s="34" t="str">
        <f aca="false">IF(OR(H1445="",L1445=""),"",H1445*L1445)</f>
        <v/>
      </c>
      <c r="N1445" s="34" t="str">
        <f aca="false">IF(OR(K1445="",M1445=""),"",K1445-M1445)</f>
        <v/>
      </c>
      <c r="O1445" s="35" t="str">
        <f aca="false">IF(OR(N1445="",K1445=""),"",IF(K1445=0,"",N1445/K1445))</f>
        <v/>
      </c>
      <c r="P1445" s="25"/>
      <c r="Q1445" s="25"/>
      <c r="R1445" s="25"/>
      <c r="S1445" s="36" t="str">
        <f aca="false">IF(A1445="","",YEAR(A1445)+IF(AND(FYStart&gt;1,MONTH(A1445)&gt;=FYStart),1,0))</f>
        <v/>
      </c>
      <c r="T1445" s="36" t="str">
        <f aca="false">IF(A1445="","",MOD(MONTH(A1445)-FYStart,12)+1)</f>
        <v/>
      </c>
      <c r="U1445" s="37" t="str">
        <f aca="false">IF(A1445="","",TEXT(A1445,"mmm"))</f>
        <v/>
      </c>
      <c r="V1445" s="37" t="str">
        <f aca="false">IF(Q1445="","",IFERROR(INDEX(Settings!$I$11:$I$15,MATCH(Q1445,Settings!$H$11:$H$15,0)),"No"))</f>
        <v/>
      </c>
      <c r="W1445" s="37" t="str">
        <f aca="false">IF(Q1445="","",IFERROR(INDEX(Settings!$J$11:$J$15,MATCH(Q1445,Settings!$H$11:$H$15,0)),"No"))</f>
        <v/>
      </c>
    </row>
    <row r="1446" customFormat="false" ht="15" hidden="false" customHeight="false" outlineLevel="0" collapsed="false">
      <c r="A1446" s="30"/>
      <c r="B1446" s="25"/>
      <c r="C1446" s="25"/>
      <c r="D1446" s="25"/>
      <c r="E1446" s="25"/>
      <c r="F1446" s="25"/>
      <c r="G1446" s="25"/>
      <c r="H1446" s="31"/>
      <c r="I1446" s="32"/>
      <c r="J1446" s="33"/>
      <c r="K1446" s="34" t="str">
        <f aca="false">IF(OR(H1446="",I1446=""),"",H1446*I1446*(1-N(J1446)))</f>
        <v/>
      </c>
      <c r="L1446" s="32"/>
      <c r="M1446" s="34" t="str">
        <f aca="false">IF(OR(H1446="",L1446=""),"",H1446*L1446)</f>
        <v/>
      </c>
      <c r="N1446" s="34" t="str">
        <f aca="false">IF(OR(K1446="",M1446=""),"",K1446-M1446)</f>
        <v/>
      </c>
      <c r="O1446" s="35" t="str">
        <f aca="false">IF(OR(N1446="",K1446=""),"",IF(K1446=0,"",N1446/K1446))</f>
        <v/>
      </c>
      <c r="P1446" s="25"/>
      <c r="Q1446" s="25"/>
      <c r="R1446" s="25"/>
      <c r="S1446" s="36" t="str">
        <f aca="false">IF(A1446="","",YEAR(A1446)+IF(AND(FYStart&gt;1,MONTH(A1446)&gt;=FYStart),1,0))</f>
        <v/>
      </c>
      <c r="T1446" s="36" t="str">
        <f aca="false">IF(A1446="","",MOD(MONTH(A1446)-FYStart,12)+1)</f>
        <v/>
      </c>
      <c r="U1446" s="37" t="str">
        <f aca="false">IF(A1446="","",TEXT(A1446,"mmm"))</f>
        <v/>
      </c>
      <c r="V1446" s="37" t="str">
        <f aca="false">IF(Q1446="","",IFERROR(INDEX(Settings!$I$11:$I$15,MATCH(Q1446,Settings!$H$11:$H$15,0)),"No"))</f>
        <v/>
      </c>
      <c r="W1446" s="37" t="str">
        <f aca="false">IF(Q1446="","",IFERROR(INDEX(Settings!$J$11:$J$15,MATCH(Q1446,Settings!$H$11:$H$15,0)),"No"))</f>
        <v/>
      </c>
    </row>
    <row r="1447" customFormat="false" ht="15" hidden="false" customHeight="false" outlineLevel="0" collapsed="false">
      <c r="A1447" s="30"/>
      <c r="B1447" s="25"/>
      <c r="C1447" s="25"/>
      <c r="D1447" s="25"/>
      <c r="E1447" s="25"/>
      <c r="F1447" s="25"/>
      <c r="G1447" s="25"/>
      <c r="H1447" s="31"/>
      <c r="I1447" s="32"/>
      <c r="J1447" s="33"/>
      <c r="K1447" s="34" t="str">
        <f aca="false">IF(OR(H1447="",I1447=""),"",H1447*I1447*(1-N(J1447)))</f>
        <v/>
      </c>
      <c r="L1447" s="32"/>
      <c r="M1447" s="34" t="str">
        <f aca="false">IF(OR(H1447="",L1447=""),"",H1447*L1447)</f>
        <v/>
      </c>
      <c r="N1447" s="34" t="str">
        <f aca="false">IF(OR(K1447="",M1447=""),"",K1447-M1447)</f>
        <v/>
      </c>
      <c r="O1447" s="35" t="str">
        <f aca="false">IF(OR(N1447="",K1447=""),"",IF(K1447=0,"",N1447/K1447))</f>
        <v/>
      </c>
      <c r="P1447" s="25"/>
      <c r="Q1447" s="25"/>
      <c r="R1447" s="25"/>
      <c r="S1447" s="36" t="str">
        <f aca="false">IF(A1447="","",YEAR(A1447)+IF(AND(FYStart&gt;1,MONTH(A1447)&gt;=FYStart),1,0))</f>
        <v/>
      </c>
      <c r="T1447" s="36" t="str">
        <f aca="false">IF(A1447="","",MOD(MONTH(A1447)-FYStart,12)+1)</f>
        <v/>
      </c>
      <c r="U1447" s="37" t="str">
        <f aca="false">IF(A1447="","",TEXT(A1447,"mmm"))</f>
        <v/>
      </c>
      <c r="V1447" s="37" t="str">
        <f aca="false">IF(Q1447="","",IFERROR(INDEX(Settings!$I$11:$I$15,MATCH(Q1447,Settings!$H$11:$H$15,0)),"No"))</f>
        <v/>
      </c>
      <c r="W1447" s="37" t="str">
        <f aca="false">IF(Q1447="","",IFERROR(INDEX(Settings!$J$11:$J$15,MATCH(Q1447,Settings!$H$11:$H$15,0)),"No"))</f>
        <v/>
      </c>
    </row>
    <row r="1448" customFormat="false" ht="15" hidden="false" customHeight="false" outlineLevel="0" collapsed="false">
      <c r="A1448" s="30"/>
      <c r="B1448" s="25"/>
      <c r="C1448" s="25"/>
      <c r="D1448" s="25"/>
      <c r="E1448" s="25"/>
      <c r="F1448" s="25"/>
      <c r="G1448" s="25"/>
      <c r="H1448" s="31"/>
      <c r="I1448" s="32"/>
      <c r="J1448" s="33"/>
      <c r="K1448" s="34" t="str">
        <f aca="false">IF(OR(H1448="",I1448=""),"",H1448*I1448*(1-N(J1448)))</f>
        <v/>
      </c>
      <c r="L1448" s="32"/>
      <c r="M1448" s="34" t="str">
        <f aca="false">IF(OR(H1448="",L1448=""),"",H1448*L1448)</f>
        <v/>
      </c>
      <c r="N1448" s="34" t="str">
        <f aca="false">IF(OR(K1448="",M1448=""),"",K1448-M1448)</f>
        <v/>
      </c>
      <c r="O1448" s="35" t="str">
        <f aca="false">IF(OR(N1448="",K1448=""),"",IF(K1448=0,"",N1448/K1448))</f>
        <v/>
      </c>
      <c r="P1448" s="25"/>
      <c r="Q1448" s="25"/>
      <c r="R1448" s="25"/>
      <c r="S1448" s="36" t="str">
        <f aca="false">IF(A1448="","",YEAR(A1448)+IF(AND(FYStart&gt;1,MONTH(A1448)&gt;=FYStart),1,0))</f>
        <v/>
      </c>
      <c r="T1448" s="36" t="str">
        <f aca="false">IF(A1448="","",MOD(MONTH(A1448)-FYStart,12)+1)</f>
        <v/>
      </c>
      <c r="U1448" s="37" t="str">
        <f aca="false">IF(A1448="","",TEXT(A1448,"mmm"))</f>
        <v/>
      </c>
      <c r="V1448" s="37" t="str">
        <f aca="false">IF(Q1448="","",IFERROR(INDEX(Settings!$I$11:$I$15,MATCH(Q1448,Settings!$H$11:$H$15,0)),"No"))</f>
        <v/>
      </c>
      <c r="W1448" s="37" t="str">
        <f aca="false">IF(Q1448="","",IFERROR(INDEX(Settings!$J$11:$J$15,MATCH(Q1448,Settings!$H$11:$H$15,0)),"No"))</f>
        <v/>
      </c>
    </row>
    <row r="1449" customFormat="false" ht="15" hidden="false" customHeight="false" outlineLevel="0" collapsed="false">
      <c r="A1449" s="30"/>
      <c r="B1449" s="25"/>
      <c r="C1449" s="25"/>
      <c r="D1449" s="25"/>
      <c r="E1449" s="25"/>
      <c r="F1449" s="25"/>
      <c r="G1449" s="25"/>
      <c r="H1449" s="31"/>
      <c r="I1449" s="32"/>
      <c r="J1449" s="33"/>
      <c r="K1449" s="34" t="str">
        <f aca="false">IF(OR(H1449="",I1449=""),"",H1449*I1449*(1-N(J1449)))</f>
        <v/>
      </c>
      <c r="L1449" s="32"/>
      <c r="M1449" s="34" t="str">
        <f aca="false">IF(OR(H1449="",L1449=""),"",H1449*L1449)</f>
        <v/>
      </c>
      <c r="N1449" s="34" t="str">
        <f aca="false">IF(OR(K1449="",M1449=""),"",K1449-M1449)</f>
        <v/>
      </c>
      <c r="O1449" s="35" t="str">
        <f aca="false">IF(OR(N1449="",K1449=""),"",IF(K1449=0,"",N1449/K1449))</f>
        <v/>
      </c>
      <c r="P1449" s="25"/>
      <c r="Q1449" s="25"/>
      <c r="R1449" s="25"/>
      <c r="S1449" s="36" t="str">
        <f aca="false">IF(A1449="","",YEAR(A1449)+IF(AND(FYStart&gt;1,MONTH(A1449)&gt;=FYStart),1,0))</f>
        <v/>
      </c>
      <c r="T1449" s="36" t="str">
        <f aca="false">IF(A1449="","",MOD(MONTH(A1449)-FYStart,12)+1)</f>
        <v/>
      </c>
      <c r="U1449" s="37" t="str">
        <f aca="false">IF(A1449="","",TEXT(A1449,"mmm"))</f>
        <v/>
      </c>
      <c r="V1449" s="37" t="str">
        <f aca="false">IF(Q1449="","",IFERROR(INDEX(Settings!$I$11:$I$15,MATCH(Q1449,Settings!$H$11:$H$15,0)),"No"))</f>
        <v/>
      </c>
      <c r="W1449" s="37" t="str">
        <f aca="false">IF(Q1449="","",IFERROR(INDEX(Settings!$J$11:$J$15,MATCH(Q1449,Settings!$H$11:$H$15,0)),"No"))</f>
        <v/>
      </c>
    </row>
    <row r="1450" customFormat="false" ht="15" hidden="false" customHeight="false" outlineLevel="0" collapsed="false">
      <c r="A1450" s="30"/>
      <c r="B1450" s="25"/>
      <c r="C1450" s="25"/>
      <c r="D1450" s="25"/>
      <c r="E1450" s="25"/>
      <c r="F1450" s="25"/>
      <c r="G1450" s="25"/>
      <c r="H1450" s="31"/>
      <c r="I1450" s="32"/>
      <c r="J1450" s="33"/>
      <c r="K1450" s="34" t="str">
        <f aca="false">IF(OR(H1450="",I1450=""),"",H1450*I1450*(1-N(J1450)))</f>
        <v/>
      </c>
      <c r="L1450" s="32"/>
      <c r="M1450" s="34" t="str">
        <f aca="false">IF(OR(H1450="",L1450=""),"",H1450*L1450)</f>
        <v/>
      </c>
      <c r="N1450" s="34" t="str">
        <f aca="false">IF(OR(K1450="",M1450=""),"",K1450-M1450)</f>
        <v/>
      </c>
      <c r="O1450" s="35" t="str">
        <f aca="false">IF(OR(N1450="",K1450=""),"",IF(K1450=0,"",N1450/K1450))</f>
        <v/>
      </c>
      <c r="P1450" s="25"/>
      <c r="Q1450" s="25"/>
      <c r="R1450" s="25"/>
      <c r="S1450" s="36" t="str">
        <f aca="false">IF(A1450="","",YEAR(A1450)+IF(AND(FYStart&gt;1,MONTH(A1450)&gt;=FYStart),1,0))</f>
        <v/>
      </c>
      <c r="T1450" s="36" t="str">
        <f aca="false">IF(A1450="","",MOD(MONTH(A1450)-FYStart,12)+1)</f>
        <v/>
      </c>
      <c r="U1450" s="37" t="str">
        <f aca="false">IF(A1450="","",TEXT(A1450,"mmm"))</f>
        <v/>
      </c>
      <c r="V1450" s="37" t="str">
        <f aca="false">IF(Q1450="","",IFERROR(INDEX(Settings!$I$11:$I$15,MATCH(Q1450,Settings!$H$11:$H$15,0)),"No"))</f>
        <v/>
      </c>
      <c r="W1450" s="37" t="str">
        <f aca="false">IF(Q1450="","",IFERROR(INDEX(Settings!$J$11:$J$15,MATCH(Q1450,Settings!$H$11:$H$15,0)),"No"))</f>
        <v/>
      </c>
    </row>
    <row r="1451" customFormat="false" ht="15" hidden="false" customHeight="false" outlineLevel="0" collapsed="false">
      <c r="A1451" s="30"/>
      <c r="B1451" s="25"/>
      <c r="C1451" s="25"/>
      <c r="D1451" s="25"/>
      <c r="E1451" s="25"/>
      <c r="F1451" s="25"/>
      <c r="G1451" s="25"/>
      <c r="H1451" s="31"/>
      <c r="I1451" s="32"/>
      <c r="J1451" s="33"/>
      <c r="K1451" s="34" t="str">
        <f aca="false">IF(OR(H1451="",I1451=""),"",H1451*I1451*(1-N(J1451)))</f>
        <v/>
      </c>
      <c r="L1451" s="32"/>
      <c r="M1451" s="34" t="str">
        <f aca="false">IF(OR(H1451="",L1451=""),"",H1451*L1451)</f>
        <v/>
      </c>
      <c r="N1451" s="34" t="str">
        <f aca="false">IF(OR(K1451="",M1451=""),"",K1451-M1451)</f>
        <v/>
      </c>
      <c r="O1451" s="35" t="str">
        <f aca="false">IF(OR(N1451="",K1451=""),"",IF(K1451=0,"",N1451/K1451))</f>
        <v/>
      </c>
      <c r="P1451" s="25"/>
      <c r="Q1451" s="25"/>
      <c r="R1451" s="25"/>
      <c r="S1451" s="36" t="str">
        <f aca="false">IF(A1451="","",YEAR(A1451)+IF(AND(FYStart&gt;1,MONTH(A1451)&gt;=FYStart),1,0))</f>
        <v/>
      </c>
      <c r="T1451" s="36" t="str">
        <f aca="false">IF(A1451="","",MOD(MONTH(A1451)-FYStart,12)+1)</f>
        <v/>
      </c>
      <c r="U1451" s="37" t="str">
        <f aca="false">IF(A1451="","",TEXT(A1451,"mmm"))</f>
        <v/>
      </c>
      <c r="V1451" s="37" t="str">
        <f aca="false">IF(Q1451="","",IFERROR(INDEX(Settings!$I$11:$I$15,MATCH(Q1451,Settings!$H$11:$H$15,0)),"No"))</f>
        <v/>
      </c>
      <c r="W1451" s="37" t="str">
        <f aca="false">IF(Q1451="","",IFERROR(INDEX(Settings!$J$11:$J$15,MATCH(Q1451,Settings!$H$11:$H$15,0)),"No"))</f>
        <v/>
      </c>
    </row>
    <row r="1452" customFormat="false" ht="15" hidden="false" customHeight="false" outlineLevel="0" collapsed="false">
      <c r="A1452" s="30"/>
      <c r="B1452" s="25"/>
      <c r="C1452" s="25"/>
      <c r="D1452" s="25"/>
      <c r="E1452" s="25"/>
      <c r="F1452" s="25"/>
      <c r="G1452" s="25"/>
      <c r="H1452" s="31"/>
      <c r="I1452" s="32"/>
      <c r="J1452" s="33"/>
      <c r="K1452" s="34" t="str">
        <f aca="false">IF(OR(H1452="",I1452=""),"",H1452*I1452*(1-N(J1452)))</f>
        <v/>
      </c>
      <c r="L1452" s="32"/>
      <c r="M1452" s="34" t="str">
        <f aca="false">IF(OR(H1452="",L1452=""),"",H1452*L1452)</f>
        <v/>
      </c>
      <c r="N1452" s="34" t="str">
        <f aca="false">IF(OR(K1452="",M1452=""),"",K1452-M1452)</f>
        <v/>
      </c>
      <c r="O1452" s="35" t="str">
        <f aca="false">IF(OR(N1452="",K1452=""),"",IF(K1452=0,"",N1452/K1452))</f>
        <v/>
      </c>
      <c r="P1452" s="25"/>
      <c r="Q1452" s="25"/>
      <c r="R1452" s="25"/>
      <c r="S1452" s="36" t="str">
        <f aca="false">IF(A1452="","",YEAR(A1452)+IF(AND(FYStart&gt;1,MONTH(A1452)&gt;=FYStart),1,0))</f>
        <v/>
      </c>
      <c r="T1452" s="36" t="str">
        <f aca="false">IF(A1452="","",MOD(MONTH(A1452)-FYStart,12)+1)</f>
        <v/>
      </c>
      <c r="U1452" s="37" t="str">
        <f aca="false">IF(A1452="","",TEXT(A1452,"mmm"))</f>
        <v/>
      </c>
      <c r="V1452" s="37" t="str">
        <f aca="false">IF(Q1452="","",IFERROR(INDEX(Settings!$I$11:$I$15,MATCH(Q1452,Settings!$H$11:$H$15,0)),"No"))</f>
        <v/>
      </c>
      <c r="W1452" s="37" t="str">
        <f aca="false">IF(Q1452="","",IFERROR(INDEX(Settings!$J$11:$J$15,MATCH(Q1452,Settings!$H$11:$H$15,0)),"No"))</f>
        <v/>
      </c>
    </row>
    <row r="1453" customFormat="false" ht="15" hidden="false" customHeight="false" outlineLevel="0" collapsed="false">
      <c r="A1453" s="30"/>
      <c r="B1453" s="25"/>
      <c r="C1453" s="25"/>
      <c r="D1453" s="25"/>
      <c r="E1453" s="25"/>
      <c r="F1453" s="25"/>
      <c r="G1453" s="25"/>
      <c r="H1453" s="31"/>
      <c r="I1453" s="32"/>
      <c r="J1453" s="33"/>
      <c r="K1453" s="34" t="str">
        <f aca="false">IF(OR(H1453="",I1453=""),"",H1453*I1453*(1-N(J1453)))</f>
        <v/>
      </c>
      <c r="L1453" s="32"/>
      <c r="M1453" s="34" t="str">
        <f aca="false">IF(OR(H1453="",L1453=""),"",H1453*L1453)</f>
        <v/>
      </c>
      <c r="N1453" s="34" t="str">
        <f aca="false">IF(OR(K1453="",M1453=""),"",K1453-M1453)</f>
        <v/>
      </c>
      <c r="O1453" s="35" t="str">
        <f aca="false">IF(OR(N1453="",K1453=""),"",IF(K1453=0,"",N1453/K1453))</f>
        <v/>
      </c>
      <c r="P1453" s="25"/>
      <c r="Q1453" s="25"/>
      <c r="R1453" s="25"/>
      <c r="S1453" s="36" t="str">
        <f aca="false">IF(A1453="","",YEAR(A1453)+IF(AND(FYStart&gt;1,MONTH(A1453)&gt;=FYStart),1,0))</f>
        <v/>
      </c>
      <c r="T1453" s="36" t="str">
        <f aca="false">IF(A1453="","",MOD(MONTH(A1453)-FYStart,12)+1)</f>
        <v/>
      </c>
      <c r="U1453" s="37" t="str">
        <f aca="false">IF(A1453="","",TEXT(A1453,"mmm"))</f>
        <v/>
      </c>
      <c r="V1453" s="37" t="str">
        <f aca="false">IF(Q1453="","",IFERROR(INDEX(Settings!$I$11:$I$15,MATCH(Q1453,Settings!$H$11:$H$15,0)),"No"))</f>
        <v/>
      </c>
      <c r="W1453" s="37" t="str">
        <f aca="false">IF(Q1453="","",IFERROR(INDEX(Settings!$J$11:$J$15,MATCH(Q1453,Settings!$H$11:$H$15,0)),"No"))</f>
        <v/>
      </c>
    </row>
    <row r="1454" customFormat="false" ht="15" hidden="false" customHeight="false" outlineLevel="0" collapsed="false">
      <c r="A1454" s="30"/>
      <c r="B1454" s="25"/>
      <c r="C1454" s="25"/>
      <c r="D1454" s="25"/>
      <c r="E1454" s="25"/>
      <c r="F1454" s="25"/>
      <c r="G1454" s="25"/>
      <c r="H1454" s="31"/>
      <c r="I1454" s="32"/>
      <c r="J1454" s="33"/>
      <c r="K1454" s="34" t="str">
        <f aca="false">IF(OR(H1454="",I1454=""),"",H1454*I1454*(1-N(J1454)))</f>
        <v/>
      </c>
      <c r="L1454" s="32"/>
      <c r="M1454" s="34" t="str">
        <f aca="false">IF(OR(H1454="",L1454=""),"",H1454*L1454)</f>
        <v/>
      </c>
      <c r="N1454" s="34" t="str">
        <f aca="false">IF(OR(K1454="",M1454=""),"",K1454-M1454)</f>
        <v/>
      </c>
      <c r="O1454" s="35" t="str">
        <f aca="false">IF(OR(N1454="",K1454=""),"",IF(K1454=0,"",N1454/K1454))</f>
        <v/>
      </c>
      <c r="P1454" s="25"/>
      <c r="Q1454" s="25"/>
      <c r="R1454" s="25"/>
      <c r="S1454" s="36" t="str">
        <f aca="false">IF(A1454="","",YEAR(A1454)+IF(AND(FYStart&gt;1,MONTH(A1454)&gt;=FYStart),1,0))</f>
        <v/>
      </c>
      <c r="T1454" s="36" t="str">
        <f aca="false">IF(A1454="","",MOD(MONTH(A1454)-FYStart,12)+1)</f>
        <v/>
      </c>
      <c r="U1454" s="37" t="str">
        <f aca="false">IF(A1454="","",TEXT(A1454,"mmm"))</f>
        <v/>
      </c>
      <c r="V1454" s="37" t="str">
        <f aca="false">IF(Q1454="","",IFERROR(INDEX(Settings!$I$11:$I$15,MATCH(Q1454,Settings!$H$11:$H$15,0)),"No"))</f>
        <v/>
      </c>
      <c r="W1454" s="37" t="str">
        <f aca="false">IF(Q1454="","",IFERROR(INDEX(Settings!$J$11:$J$15,MATCH(Q1454,Settings!$H$11:$H$15,0)),"No"))</f>
        <v/>
      </c>
    </row>
    <row r="1455" customFormat="false" ht="15" hidden="false" customHeight="false" outlineLevel="0" collapsed="false">
      <c r="A1455" s="30"/>
      <c r="B1455" s="25"/>
      <c r="C1455" s="25"/>
      <c r="D1455" s="25"/>
      <c r="E1455" s="25"/>
      <c r="F1455" s="25"/>
      <c r="G1455" s="25"/>
      <c r="H1455" s="31"/>
      <c r="I1455" s="32"/>
      <c r="J1455" s="33"/>
      <c r="K1455" s="34" t="str">
        <f aca="false">IF(OR(H1455="",I1455=""),"",H1455*I1455*(1-N(J1455)))</f>
        <v/>
      </c>
      <c r="L1455" s="32"/>
      <c r="M1455" s="34" t="str">
        <f aca="false">IF(OR(H1455="",L1455=""),"",H1455*L1455)</f>
        <v/>
      </c>
      <c r="N1455" s="34" t="str">
        <f aca="false">IF(OR(K1455="",M1455=""),"",K1455-M1455)</f>
        <v/>
      </c>
      <c r="O1455" s="35" t="str">
        <f aca="false">IF(OR(N1455="",K1455=""),"",IF(K1455=0,"",N1455/K1455))</f>
        <v/>
      </c>
      <c r="P1455" s="25"/>
      <c r="Q1455" s="25"/>
      <c r="R1455" s="25"/>
      <c r="S1455" s="36" t="str">
        <f aca="false">IF(A1455="","",YEAR(A1455)+IF(AND(FYStart&gt;1,MONTH(A1455)&gt;=FYStart),1,0))</f>
        <v/>
      </c>
      <c r="T1455" s="36" t="str">
        <f aca="false">IF(A1455="","",MOD(MONTH(A1455)-FYStart,12)+1)</f>
        <v/>
      </c>
      <c r="U1455" s="37" t="str">
        <f aca="false">IF(A1455="","",TEXT(A1455,"mmm"))</f>
        <v/>
      </c>
      <c r="V1455" s="37" t="str">
        <f aca="false">IF(Q1455="","",IFERROR(INDEX(Settings!$I$11:$I$15,MATCH(Q1455,Settings!$H$11:$H$15,0)),"No"))</f>
        <v/>
      </c>
      <c r="W1455" s="37" t="str">
        <f aca="false">IF(Q1455="","",IFERROR(INDEX(Settings!$J$11:$J$15,MATCH(Q1455,Settings!$H$11:$H$15,0)),"No"))</f>
        <v/>
      </c>
    </row>
    <row r="1456" customFormat="false" ht="15" hidden="false" customHeight="false" outlineLevel="0" collapsed="false">
      <c r="A1456" s="30"/>
      <c r="B1456" s="25"/>
      <c r="C1456" s="25"/>
      <c r="D1456" s="25"/>
      <c r="E1456" s="25"/>
      <c r="F1456" s="25"/>
      <c r="G1456" s="25"/>
      <c r="H1456" s="31"/>
      <c r="I1456" s="32"/>
      <c r="J1456" s="33"/>
      <c r="K1456" s="34" t="str">
        <f aca="false">IF(OR(H1456="",I1456=""),"",H1456*I1456*(1-N(J1456)))</f>
        <v/>
      </c>
      <c r="L1456" s="32"/>
      <c r="M1456" s="34" t="str">
        <f aca="false">IF(OR(H1456="",L1456=""),"",H1456*L1456)</f>
        <v/>
      </c>
      <c r="N1456" s="34" t="str">
        <f aca="false">IF(OR(K1456="",M1456=""),"",K1456-M1456)</f>
        <v/>
      </c>
      <c r="O1456" s="35" t="str">
        <f aca="false">IF(OR(N1456="",K1456=""),"",IF(K1456=0,"",N1456/K1456))</f>
        <v/>
      </c>
      <c r="P1456" s="25"/>
      <c r="Q1456" s="25"/>
      <c r="R1456" s="25"/>
      <c r="S1456" s="36" t="str">
        <f aca="false">IF(A1456="","",YEAR(A1456)+IF(AND(FYStart&gt;1,MONTH(A1456)&gt;=FYStart),1,0))</f>
        <v/>
      </c>
      <c r="T1456" s="36" t="str">
        <f aca="false">IF(A1456="","",MOD(MONTH(A1456)-FYStart,12)+1)</f>
        <v/>
      </c>
      <c r="U1456" s="37" t="str">
        <f aca="false">IF(A1456="","",TEXT(A1456,"mmm"))</f>
        <v/>
      </c>
      <c r="V1456" s="37" t="str">
        <f aca="false">IF(Q1456="","",IFERROR(INDEX(Settings!$I$11:$I$15,MATCH(Q1456,Settings!$H$11:$H$15,0)),"No"))</f>
        <v/>
      </c>
      <c r="W1456" s="37" t="str">
        <f aca="false">IF(Q1456="","",IFERROR(INDEX(Settings!$J$11:$J$15,MATCH(Q1456,Settings!$H$11:$H$15,0)),"No"))</f>
        <v/>
      </c>
    </row>
    <row r="1457" customFormat="false" ht="15" hidden="false" customHeight="false" outlineLevel="0" collapsed="false">
      <c r="A1457" s="30"/>
      <c r="B1457" s="25"/>
      <c r="C1457" s="25"/>
      <c r="D1457" s="25"/>
      <c r="E1457" s="25"/>
      <c r="F1457" s="25"/>
      <c r="G1457" s="25"/>
      <c r="H1457" s="31"/>
      <c r="I1457" s="32"/>
      <c r="J1457" s="33"/>
      <c r="K1457" s="34" t="str">
        <f aca="false">IF(OR(H1457="",I1457=""),"",H1457*I1457*(1-N(J1457)))</f>
        <v/>
      </c>
      <c r="L1457" s="32"/>
      <c r="M1457" s="34" t="str">
        <f aca="false">IF(OR(H1457="",L1457=""),"",H1457*L1457)</f>
        <v/>
      </c>
      <c r="N1457" s="34" t="str">
        <f aca="false">IF(OR(K1457="",M1457=""),"",K1457-M1457)</f>
        <v/>
      </c>
      <c r="O1457" s="35" t="str">
        <f aca="false">IF(OR(N1457="",K1457=""),"",IF(K1457=0,"",N1457/K1457))</f>
        <v/>
      </c>
      <c r="P1457" s="25"/>
      <c r="Q1457" s="25"/>
      <c r="R1457" s="25"/>
      <c r="S1457" s="36" t="str">
        <f aca="false">IF(A1457="","",YEAR(A1457)+IF(AND(FYStart&gt;1,MONTH(A1457)&gt;=FYStart),1,0))</f>
        <v/>
      </c>
      <c r="T1457" s="36" t="str">
        <f aca="false">IF(A1457="","",MOD(MONTH(A1457)-FYStart,12)+1)</f>
        <v/>
      </c>
      <c r="U1457" s="37" t="str">
        <f aca="false">IF(A1457="","",TEXT(A1457,"mmm"))</f>
        <v/>
      </c>
      <c r="V1457" s="37" t="str">
        <f aca="false">IF(Q1457="","",IFERROR(INDEX(Settings!$I$11:$I$15,MATCH(Q1457,Settings!$H$11:$H$15,0)),"No"))</f>
        <v/>
      </c>
      <c r="W1457" s="37" t="str">
        <f aca="false">IF(Q1457="","",IFERROR(INDEX(Settings!$J$11:$J$15,MATCH(Q1457,Settings!$H$11:$H$15,0)),"No"))</f>
        <v/>
      </c>
    </row>
    <row r="1458" customFormat="false" ht="15" hidden="false" customHeight="false" outlineLevel="0" collapsed="false">
      <c r="A1458" s="30"/>
      <c r="B1458" s="25"/>
      <c r="C1458" s="25"/>
      <c r="D1458" s="25"/>
      <c r="E1458" s="25"/>
      <c r="F1458" s="25"/>
      <c r="G1458" s="25"/>
      <c r="H1458" s="31"/>
      <c r="I1458" s="32"/>
      <c r="J1458" s="33"/>
      <c r="K1458" s="34" t="str">
        <f aca="false">IF(OR(H1458="",I1458=""),"",H1458*I1458*(1-N(J1458)))</f>
        <v/>
      </c>
      <c r="L1458" s="32"/>
      <c r="M1458" s="34" t="str">
        <f aca="false">IF(OR(H1458="",L1458=""),"",H1458*L1458)</f>
        <v/>
      </c>
      <c r="N1458" s="34" t="str">
        <f aca="false">IF(OR(K1458="",M1458=""),"",K1458-M1458)</f>
        <v/>
      </c>
      <c r="O1458" s="35" t="str">
        <f aca="false">IF(OR(N1458="",K1458=""),"",IF(K1458=0,"",N1458/K1458))</f>
        <v/>
      </c>
      <c r="P1458" s="25"/>
      <c r="Q1458" s="25"/>
      <c r="R1458" s="25"/>
      <c r="S1458" s="36" t="str">
        <f aca="false">IF(A1458="","",YEAR(A1458)+IF(AND(FYStart&gt;1,MONTH(A1458)&gt;=FYStart),1,0))</f>
        <v/>
      </c>
      <c r="T1458" s="36" t="str">
        <f aca="false">IF(A1458="","",MOD(MONTH(A1458)-FYStart,12)+1)</f>
        <v/>
      </c>
      <c r="U1458" s="37" t="str">
        <f aca="false">IF(A1458="","",TEXT(A1458,"mmm"))</f>
        <v/>
      </c>
      <c r="V1458" s="37" t="str">
        <f aca="false">IF(Q1458="","",IFERROR(INDEX(Settings!$I$11:$I$15,MATCH(Q1458,Settings!$H$11:$H$15,0)),"No"))</f>
        <v/>
      </c>
      <c r="W1458" s="37" t="str">
        <f aca="false">IF(Q1458="","",IFERROR(INDEX(Settings!$J$11:$J$15,MATCH(Q1458,Settings!$H$11:$H$15,0)),"No"))</f>
        <v/>
      </c>
    </row>
    <row r="1459" customFormat="false" ht="15" hidden="false" customHeight="false" outlineLevel="0" collapsed="false">
      <c r="A1459" s="30"/>
      <c r="B1459" s="25"/>
      <c r="C1459" s="25"/>
      <c r="D1459" s="25"/>
      <c r="E1459" s="25"/>
      <c r="F1459" s="25"/>
      <c r="G1459" s="25"/>
      <c r="H1459" s="31"/>
      <c r="I1459" s="32"/>
      <c r="J1459" s="33"/>
      <c r="K1459" s="34" t="str">
        <f aca="false">IF(OR(H1459="",I1459=""),"",H1459*I1459*(1-N(J1459)))</f>
        <v/>
      </c>
      <c r="L1459" s="32"/>
      <c r="M1459" s="34" t="str">
        <f aca="false">IF(OR(H1459="",L1459=""),"",H1459*L1459)</f>
        <v/>
      </c>
      <c r="N1459" s="34" t="str">
        <f aca="false">IF(OR(K1459="",M1459=""),"",K1459-M1459)</f>
        <v/>
      </c>
      <c r="O1459" s="35" t="str">
        <f aca="false">IF(OR(N1459="",K1459=""),"",IF(K1459=0,"",N1459/K1459))</f>
        <v/>
      </c>
      <c r="P1459" s="25"/>
      <c r="Q1459" s="25"/>
      <c r="R1459" s="25"/>
      <c r="S1459" s="36" t="str">
        <f aca="false">IF(A1459="","",YEAR(A1459)+IF(AND(FYStart&gt;1,MONTH(A1459)&gt;=FYStart),1,0))</f>
        <v/>
      </c>
      <c r="T1459" s="36" t="str">
        <f aca="false">IF(A1459="","",MOD(MONTH(A1459)-FYStart,12)+1)</f>
        <v/>
      </c>
      <c r="U1459" s="37" t="str">
        <f aca="false">IF(A1459="","",TEXT(A1459,"mmm"))</f>
        <v/>
      </c>
      <c r="V1459" s="37" t="str">
        <f aca="false">IF(Q1459="","",IFERROR(INDEX(Settings!$I$11:$I$15,MATCH(Q1459,Settings!$H$11:$H$15,0)),"No"))</f>
        <v/>
      </c>
      <c r="W1459" s="37" t="str">
        <f aca="false">IF(Q1459="","",IFERROR(INDEX(Settings!$J$11:$J$15,MATCH(Q1459,Settings!$H$11:$H$15,0)),"No"))</f>
        <v/>
      </c>
    </row>
    <row r="1460" customFormat="false" ht="15" hidden="false" customHeight="false" outlineLevel="0" collapsed="false">
      <c r="A1460" s="30"/>
      <c r="B1460" s="25"/>
      <c r="C1460" s="25"/>
      <c r="D1460" s="25"/>
      <c r="E1460" s="25"/>
      <c r="F1460" s="25"/>
      <c r="G1460" s="25"/>
      <c r="H1460" s="31"/>
      <c r="I1460" s="32"/>
      <c r="J1460" s="33"/>
      <c r="K1460" s="34" t="str">
        <f aca="false">IF(OR(H1460="",I1460=""),"",H1460*I1460*(1-N(J1460)))</f>
        <v/>
      </c>
      <c r="L1460" s="32"/>
      <c r="M1460" s="34" t="str">
        <f aca="false">IF(OR(H1460="",L1460=""),"",H1460*L1460)</f>
        <v/>
      </c>
      <c r="N1460" s="34" t="str">
        <f aca="false">IF(OR(K1460="",M1460=""),"",K1460-M1460)</f>
        <v/>
      </c>
      <c r="O1460" s="35" t="str">
        <f aca="false">IF(OR(N1460="",K1460=""),"",IF(K1460=0,"",N1460/K1460))</f>
        <v/>
      </c>
      <c r="P1460" s="25"/>
      <c r="Q1460" s="25"/>
      <c r="R1460" s="25"/>
      <c r="S1460" s="36" t="str">
        <f aca="false">IF(A1460="","",YEAR(A1460)+IF(AND(FYStart&gt;1,MONTH(A1460)&gt;=FYStart),1,0))</f>
        <v/>
      </c>
      <c r="T1460" s="36" t="str">
        <f aca="false">IF(A1460="","",MOD(MONTH(A1460)-FYStart,12)+1)</f>
        <v/>
      </c>
      <c r="U1460" s="37" t="str">
        <f aca="false">IF(A1460="","",TEXT(A1460,"mmm"))</f>
        <v/>
      </c>
      <c r="V1460" s="37" t="str">
        <f aca="false">IF(Q1460="","",IFERROR(INDEX(Settings!$I$11:$I$15,MATCH(Q1460,Settings!$H$11:$H$15,0)),"No"))</f>
        <v/>
      </c>
      <c r="W1460" s="37" t="str">
        <f aca="false">IF(Q1460="","",IFERROR(INDEX(Settings!$J$11:$J$15,MATCH(Q1460,Settings!$H$11:$H$15,0)),"No"))</f>
        <v/>
      </c>
    </row>
    <row r="1461" customFormat="false" ht="15" hidden="false" customHeight="false" outlineLevel="0" collapsed="false">
      <c r="A1461" s="30"/>
      <c r="B1461" s="25"/>
      <c r="C1461" s="25"/>
      <c r="D1461" s="25"/>
      <c r="E1461" s="25"/>
      <c r="F1461" s="25"/>
      <c r="G1461" s="25"/>
      <c r="H1461" s="31"/>
      <c r="I1461" s="32"/>
      <c r="J1461" s="33"/>
      <c r="K1461" s="34" t="str">
        <f aca="false">IF(OR(H1461="",I1461=""),"",H1461*I1461*(1-N(J1461)))</f>
        <v/>
      </c>
      <c r="L1461" s="32"/>
      <c r="M1461" s="34" t="str">
        <f aca="false">IF(OR(H1461="",L1461=""),"",H1461*L1461)</f>
        <v/>
      </c>
      <c r="N1461" s="34" t="str">
        <f aca="false">IF(OR(K1461="",M1461=""),"",K1461-M1461)</f>
        <v/>
      </c>
      <c r="O1461" s="35" t="str">
        <f aca="false">IF(OR(N1461="",K1461=""),"",IF(K1461=0,"",N1461/K1461))</f>
        <v/>
      </c>
      <c r="P1461" s="25"/>
      <c r="Q1461" s="25"/>
      <c r="R1461" s="25"/>
      <c r="S1461" s="36" t="str">
        <f aca="false">IF(A1461="","",YEAR(A1461)+IF(AND(FYStart&gt;1,MONTH(A1461)&gt;=FYStart),1,0))</f>
        <v/>
      </c>
      <c r="T1461" s="36" t="str">
        <f aca="false">IF(A1461="","",MOD(MONTH(A1461)-FYStart,12)+1)</f>
        <v/>
      </c>
      <c r="U1461" s="37" t="str">
        <f aca="false">IF(A1461="","",TEXT(A1461,"mmm"))</f>
        <v/>
      </c>
      <c r="V1461" s="37" t="str">
        <f aca="false">IF(Q1461="","",IFERROR(INDEX(Settings!$I$11:$I$15,MATCH(Q1461,Settings!$H$11:$H$15,0)),"No"))</f>
        <v/>
      </c>
      <c r="W1461" s="37" t="str">
        <f aca="false">IF(Q1461="","",IFERROR(INDEX(Settings!$J$11:$J$15,MATCH(Q1461,Settings!$H$11:$H$15,0)),"No"))</f>
        <v/>
      </c>
    </row>
    <row r="1462" customFormat="false" ht="15" hidden="false" customHeight="false" outlineLevel="0" collapsed="false">
      <c r="A1462" s="30"/>
      <c r="B1462" s="25"/>
      <c r="C1462" s="25"/>
      <c r="D1462" s="25"/>
      <c r="E1462" s="25"/>
      <c r="F1462" s="25"/>
      <c r="G1462" s="25"/>
      <c r="H1462" s="31"/>
      <c r="I1462" s="32"/>
      <c r="J1462" s="33"/>
      <c r="K1462" s="34" t="str">
        <f aca="false">IF(OR(H1462="",I1462=""),"",H1462*I1462*(1-N(J1462)))</f>
        <v/>
      </c>
      <c r="L1462" s="32"/>
      <c r="M1462" s="34" t="str">
        <f aca="false">IF(OR(H1462="",L1462=""),"",H1462*L1462)</f>
        <v/>
      </c>
      <c r="N1462" s="34" t="str">
        <f aca="false">IF(OR(K1462="",M1462=""),"",K1462-M1462)</f>
        <v/>
      </c>
      <c r="O1462" s="35" t="str">
        <f aca="false">IF(OR(N1462="",K1462=""),"",IF(K1462=0,"",N1462/K1462))</f>
        <v/>
      </c>
      <c r="P1462" s="25"/>
      <c r="Q1462" s="25"/>
      <c r="R1462" s="25"/>
      <c r="S1462" s="36" t="str">
        <f aca="false">IF(A1462="","",YEAR(A1462)+IF(AND(FYStart&gt;1,MONTH(A1462)&gt;=FYStart),1,0))</f>
        <v/>
      </c>
      <c r="T1462" s="36" t="str">
        <f aca="false">IF(A1462="","",MOD(MONTH(A1462)-FYStart,12)+1)</f>
        <v/>
      </c>
      <c r="U1462" s="37" t="str">
        <f aca="false">IF(A1462="","",TEXT(A1462,"mmm"))</f>
        <v/>
      </c>
      <c r="V1462" s="37" t="str">
        <f aca="false">IF(Q1462="","",IFERROR(INDEX(Settings!$I$11:$I$15,MATCH(Q1462,Settings!$H$11:$H$15,0)),"No"))</f>
        <v/>
      </c>
      <c r="W1462" s="37" t="str">
        <f aca="false">IF(Q1462="","",IFERROR(INDEX(Settings!$J$11:$J$15,MATCH(Q1462,Settings!$H$11:$H$15,0)),"No"))</f>
        <v/>
      </c>
    </row>
    <row r="1463" customFormat="false" ht="15" hidden="false" customHeight="false" outlineLevel="0" collapsed="false">
      <c r="A1463" s="30"/>
      <c r="B1463" s="25"/>
      <c r="C1463" s="25"/>
      <c r="D1463" s="25"/>
      <c r="E1463" s="25"/>
      <c r="F1463" s="25"/>
      <c r="G1463" s="25"/>
      <c r="H1463" s="31"/>
      <c r="I1463" s="32"/>
      <c r="J1463" s="33"/>
      <c r="K1463" s="34" t="str">
        <f aca="false">IF(OR(H1463="",I1463=""),"",H1463*I1463*(1-N(J1463)))</f>
        <v/>
      </c>
      <c r="L1463" s="32"/>
      <c r="M1463" s="34" t="str">
        <f aca="false">IF(OR(H1463="",L1463=""),"",H1463*L1463)</f>
        <v/>
      </c>
      <c r="N1463" s="34" t="str">
        <f aca="false">IF(OR(K1463="",M1463=""),"",K1463-M1463)</f>
        <v/>
      </c>
      <c r="O1463" s="35" t="str">
        <f aca="false">IF(OR(N1463="",K1463=""),"",IF(K1463=0,"",N1463/K1463))</f>
        <v/>
      </c>
      <c r="P1463" s="25"/>
      <c r="Q1463" s="25"/>
      <c r="R1463" s="25"/>
      <c r="S1463" s="36" t="str">
        <f aca="false">IF(A1463="","",YEAR(A1463)+IF(AND(FYStart&gt;1,MONTH(A1463)&gt;=FYStart),1,0))</f>
        <v/>
      </c>
      <c r="T1463" s="36" t="str">
        <f aca="false">IF(A1463="","",MOD(MONTH(A1463)-FYStart,12)+1)</f>
        <v/>
      </c>
      <c r="U1463" s="37" t="str">
        <f aca="false">IF(A1463="","",TEXT(A1463,"mmm"))</f>
        <v/>
      </c>
      <c r="V1463" s="37" t="str">
        <f aca="false">IF(Q1463="","",IFERROR(INDEX(Settings!$I$11:$I$15,MATCH(Q1463,Settings!$H$11:$H$15,0)),"No"))</f>
        <v/>
      </c>
      <c r="W1463" s="37" t="str">
        <f aca="false">IF(Q1463="","",IFERROR(INDEX(Settings!$J$11:$J$15,MATCH(Q1463,Settings!$H$11:$H$15,0)),"No"))</f>
        <v/>
      </c>
    </row>
    <row r="1464" customFormat="false" ht="15" hidden="false" customHeight="false" outlineLevel="0" collapsed="false">
      <c r="A1464" s="30"/>
      <c r="B1464" s="25"/>
      <c r="C1464" s="25"/>
      <c r="D1464" s="25"/>
      <c r="E1464" s="25"/>
      <c r="F1464" s="25"/>
      <c r="G1464" s="25"/>
      <c r="H1464" s="31"/>
      <c r="I1464" s="32"/>
      <c r="J1464" s="33"/>
      <c r="K1464" s="34" t="str">
        <f aca="false">IF(OR(H1464="",I1464=""),"",H1464*I1464*(1-N(J1464)))</f>
        <v/>
      </c>
      <c r="L1464" s="32"/>
      <c r="M1464" s="34" t="str">
        <f aca="false">IF(OR(H1464="",L1464=""),"",H1464*L1464)</f>
        <v/>
      </c>
      <c r="N1464" s="34" t="str">
        <f aca="false">IF(OR(K1464="",M1464=""),"",K1464-M1464)</f>
        <v/>
      </c>
      <c r="O1464" s="35" t="str">
        <f aca="false">IF(OR(N1464="",K1464=""),"",IF(K1464=0,"",N1464/K1464))</f>
        <v/>
      </c>
      <c r="P1464" s="25"/>
      <c r="Q1464" s="25"/>
      <c r="R1464" s="25"/>
      <c r="S1464" s="36" t="str">
        <f aca="false">IF(A1464="","",YEAR(A1464)+IF(AND(FYStart&gt;1,MONTH(A1464)&gt;=FYStart),1,0))</f>
        <v/>
      </c>
      <c r="T1464" s="36" t="str">
        <f aca="false">IF(A1464="","",MOD(MONTH(A1464)-FYStart,12)+1)</f>
        <v/>
      </c>
      <c r="U1464" s="37" t="str">
        <f aca="false">IF(A1464="","",TEXT(A1464,"mmm"))</f>
        <v/>
      </c>
      <c r="V1464" s="37" t="str">
        <f aca="false">IF(Q1464="","",IFERROR(INDEX(Settings!$I$11:$I$15,MATCH(Q1464,Settings!$H$11:$H$15,0)),"No"))</f>
        <v/>
      </c>
      <c r="W1464" s="37" t="str">
        <f aca="false">IF(Q1464="","",IFERROR(INDEX(Settings!$J$11:$J$15,MATCH(Q1464,Settings!$H$11:$H$15,0)),"No"))</f>
        <v/>
      </c>
    </row>
    <row r="1465" customFormat="false" ht="15" hidden="false" customHeight="false" outlineLevel="0" collapsed="false">
      <c r="A1465" s="30"/>
      <c r="B1465" s="25"/>
      <c r="C1465" s="25"/>
      <c r="D1465" s="25"/>
      <c r="E1465" s="25"/>
      <c r="F1465" s="25"/>
      <c r="G1465" s="25"/>
      <c r="H1465" s="31"/>
      <c r="I1465" s="32"/>
      <c r="J1465" s="33"/>
      <c r="K1465" s="34" t="str">
        <f aca="false">IF(OR(H1465="",I1465=""),"",H1465*I1465*(1-N(J1465)))</f>
        <v/>
      </c>
      <c r="L1465" s="32"/>
      <c r="M1465" s="34" t="str">
        <f aca="false">IF(OR(H1465="",L1465=""),"",H1465*L1465)</f>
        <v/>
      </c>
      <c r="N1465" s="34" t="str">
        <f aca="false">IF(OR(K1465="",M1465=""),"",K1465-M1465)</f>
        <v/>
      </c>
      <c r="O1465" s="35" t="str">
        <f aca="false">IF(OR(N1465="",K1465=""),"",IF(K1465=0,"",N1465/K1465))</f>
        <v/>
      </c>
      <c r="P1465" s="25"/>
      <c r="Q1465" s="25"/>
      <c r="R1465" s="25"/>
      <c r="S1465" s="36" t="str">
        <f aca="false">IF(A1465="","",YEAR(A1465)+IF(AND(FYStart&gt;1,MONTH(A1465)&gt;=FYStart),1,0))</f>
        <v/>
      </c>
      <c r="T1465" s="36" t="str">
        <f aca="false">IF(A1465="","",MOD(MONTH(A1465)-FYStart,12)+1)</f>
        <v/>
      </c>
      <c r="U1465" s="37" t="str">
        <f aca="false">IF(A1465="","",TEXT(A1465,"mmm"))</f>
        <v/>
      </c>
      <c r="V1465" s="37" t="str">
        <f aca="false">IF(Q1465="","",IFERROR(INDEX(Settings!$I$11:$I$15,MATCH(Q1465,Settings!$H$11:$H$15,0)),"No"))</f>
        <v/>
      </c>
      <c r="W1465" s="37" t="str">
        <f aca="false">IF(Q1465="","",IFERROR(INDEX(Settings!$J$11:$J$15,MATCH(Q1465,Settings!$H$11:$H$15,0)),"No"))</f>
        <v/>
      </c>
    </row>
    <row r="1466" customFormat="false" ht="15" hidden="false" customHeight="false" outlineLevel="0" collapsed="false">
      <c r="A1466" s="30"/>
      <c r="B1466" s="25"/>
      <c r="C1466" s="25"/>
      <c r="D1466" s="25"/>
      <c r="E1466" s="25"/>
      <c r="F1466" s="25"/>
      <c r="G1466" s="25"/>
      <c r="H1466" s="31"/>
      <c r="I1466" s="32"/>
      <c r="J1466" s="33"/>
      <c r="K1466" s="34" t="str">
        <f aca="false">IF(OR(H1466="",I1466=""),"",H1466*I1466*(1-N(J1466)))</f>
        <v/>
      </c>
      <c r="L1466" s="32"/>
      <c r="M1466" s="34" t="str">
        <f aca="false">IF(OR(H1466="",L1466=""),"",H1466*L1466)</f>
        <v/>
      </c>
      <c r="N1466" s="34" t="str">
        <f aca="false">IF(OR(K1466="",M1466=""),"",K1466-M1466)</f>
        <v/>
      </c>
      <c r="O1466" s="35" t="str">
        <f aca="false">IF(OR(N1466="",K1466=""),"",IF(K1466=0,"",N1466/K1466))</f>
        <v/>
      </c>
      <c r="P1466" s="25"/>
      <c r="Q1466" s="25"/>
      <c r="R1466" s="25"/>
      <c r="S1466" s="36" t="str">
        <f aca="false">IF(A1466="","",YEAR(A1466)+IF(AND(FYStart&gt;1,MONTH(A1466)&gt;=FYStart),1,0))</f>
        <v/>
      </c>
      <c r="T1466" s="36" t="str">
        <f aca="false">IF(A1466="","",MOD(MONTH(A1466)-FYStart,12)+1)</f>
        <v/>
      </c>
      <c r="U1466" s="37" t="str">
        <f aca="false">IF(A1466="","",TEXT(A1466,"mmm"))</f>
        <v/>
      </c>
      <c r="V1466" s="37" t="str">
        <f aca="false">IF(Q1466="","",IFERROR(INDEX(Settings!$I$11:$I$15,MATCH(Q1466,Settings!$H$11:$H$15,0)),"No"))</f>
        <v/>
      </c>
      <c r="W1466" s="37" t="str">
        <f aca="false">IF(Q1466="","",IFERROR(INDEX(Settings!$J$11:$J$15,MATCH(Q1466,Settings!$H$11:$H$15,0)),"No"))</f>
        <v/>
      </c>
    </row>
    <row r="1467" customFormat="false" ht="15" hidden="false" customHeight="false" outlineLevel="0" collapsed="false">
      <c r="A1467" s="30"/>
      <c r="B1467" s="25"/>
      <c r="C1467" s="25"/>
      <c r="D1467" s="25"/>
      <c r="E1467" s="25"/>
      <c r="F1467" s="25"/>
      <c r="G1467" s="25"/>
      <c r="H1467" s="31"/>
      <c r="I1467" s="32"/>
      <c r="J1467" s="33"/>
      <c r="K1467" s="34" t="str">
        <f aca="false">IF(OR(H1467="",I1467=""),"",H1467*I1467*(1-N(J1467)))</f>
        <v/>
      </c>
      <c r="L1467" s="32"/>
      <c r="M1467" s="34" t="str">
        <f aca="false">IF(OR(H1467="",L1467=""),"",H1467*L1467)</f>
        <v/>
      </c>
      <c r="N1467" s="34" t="str">
        <f aca="false">IF(OR(K1467="",M1467=""),"",K1467-M1467)</f>
        <v/>
      </c>
      <c r="O1467" s="35" t="str">
        <f aca="false">IF(OR(N1467="",K1467=""),"",IF(K1467=0,"",N1467/K1467))</f>
        <v/>
      </c>
      <c r="P1467" s="25"/>
      <c r="Q1467" s="25"/>
      <c r="R1467" s="25"/>
      <c r="S1467" s="36" t="str">
        <f aca="false">IF(A1467="","",YEAR(A1467)+IF(AND(FYStart&gt;1,MONTH(A1467)&gt;=FYStart),1,0))</f>
        <v/>
      </c>
      <c r="T1467" s="36" t="str">
        <f aca="false">IF(A1467="","",MOD(MONTH(A1467)-FYStart,12)+1)</f>
        <v/>
      </c>
      <c r="U1467" s="37" t="str">
        <f aca="false">IF(A1467="","",TEXT(A1467,"mmm"))</f>
        <v/>
      </c>
      <c r="V1467" s="37" t="str">
        <f aca="false">IF(Q1467="","",IFERROR(INDEX(Settings!$I$11:$I$15,MATCH(Q1467,Settings!$H$11:$H$15,0)),"No"))</f>
        <v/>
      </c>
      <c r="W1467" s="37" t="str">
        <f aca="false">IF(Q1467="","",IFERROR(INDEX(Settings!$J$11:$J$15,MATCH(Q1467,Settings!$H$11:$H$15,0)),"No"))</f>
        <v/>
      </c>
    </row>
    <row r="1468" customFormat="false" ht="15" hidden="false" customHeight="false" outlineLevel="0" collapsed="false">
      <c r="A1468" s="30"/>
      <c r="B1468" s="25"/>
      <c r="C1468" s="25"/>
      <c r="D1468" s="25"/>
      <c r="E1468" s="25"/>
      <c r="F1468" s="25"/>
      <c r="G1468" s="25"/>
      <c r="H1468" s="31"/>
      <c r="I1468" s="32"/>
      <c r="J1468" s="33"/>
      <c r="K1468" s="34" t="str">
        <f aca="false">IF(OR(H1468="",I1468=""),"",H1468*I1468*(1-N(J1468)))</f>
        <v/>
      </c>
      <c r="L1468" s="32"/>
      <c r="M1468" s="34" t="str">
        <f aca="false">IF(OR(H1468="",L1468=""),"",H1468*L1468)</f>
        <v/>
      </c>
      <c r="N1468" s="34" t="str">
        <f aca="false">IF(OR(K1468="",M1468=""),"",K1468-M1468)</f>
        <v/>
      </c>
      <c r="O1468" s="35" t="str">
        <f aca="false">IF(OR(N1468="",K1468=""),"",IF(K1468=0,"",N1468/K1468))</f>
        <v/>
      </c>
      <c r="P1468" s="25"/>
      <c r="Q1468" s="25"/>
      <c r="R1468" s="25"/>
      <c r="S1468" s="36" t="str">
        <f aca="false">IF(A1468="","",YEAR(A1468)+IF(AND(FYStart&gt;1,MONTH(A1468)&gt;=FYStart),1,0))</f>
        <v/>
      </c>
      <c r="T1468" s="36" t="str">
        <f aca="false">IF(A1468="","",MOD(MONTH(A1468)-FYStart,12)+1)</f>
        <v/>
      </c>
      <c r="U1468" s="37" t="str">
        <f aca="false">IF(A1468="","",TEXT(A1468,"mmm"))</f>
        <v/>
      </c>
      <c r="V1468" s="37" t="str">
        <f aca="false">IF(Q1468="","",IFERROR(INDEX(Settings!$I$11:$I$15,MATCH(Q1468,Settings!$H$11:$H$15,0)),"No"))</f>
        <v/>
      </c>
      <c r="W1468" s="37" t="str">
        <f aca="false">IF(Q1468="","",IFERROR(INDEX(Settings!$J$11:$J$15,MATCH(Q1468,Settings!$H$11:$H$15,0)),"No"))</f>
        <v/>
      </c>
    </row>
    <row r="1469" customFormat="false" ht="15" hidden="false" customHeight="false" outlineLevel="0" collapsed="false">
      <c r="A1469" s="30"/>
      <c r="B1469" s="25"/>
      <c r="C1469" s="25"/>
      <c r="D1469" s="25"/>
      <c r="E1469" s="25"/>
      <c r="F1469" s="25"/>
      <c r="G1469" s="25"/>
      <c r="H1469" s="31"/>
      <c r="I1469" s="32"/>
      <c r="J1469" s="33"/>
      <c r="K1469" s="34" t="str">
        <f aca="false">IF(OR(H1469="",I1469=""),"",H1469*I1469*(1-N(J1469)))</f>
        <v/>
      </c>
      <c r="L1469" s="32"/>
      <c r="M1469" s="34" t="str">
        <f aca="false">IF(OR(H1469="",L1469=""),"",H1469*L1469)</f>
        <v/>
      </c>
      <c r="N1469" s="34" t="str">
        <f aca="false">IF(OR(K1469="",M1469=""),"",K1469-M1469)</f>
        <v/>
      </c>
      <c r="O1469" s="35" t="str">
        <f aca="false">IF(OR(N1469="",K1469=""),"",IF(K1469=0,"",N1469/K1469))</f>
        <v/>
      </c>
      <c r="P1469" s="25"/>
      <c r="Q1469" s="25"/>
      <c r="R1469" s="25"/>
      <c r="S1469" s="36" t="str">
        <f aca="false">IF(A1469="","",YEAR(A1469)+IF(AND(FYStart&gt;1,MONTH(A1469)&gt;=FYStart),1,0))</f>
        <v/>
      </c>
      <c r="T1469" s="36" t="str">
        <f aca="false">IF(A1469="","",MOD(MONTH(A1469)-FYStart,12)+1)</f>
        <v/>
      </c>
      <c r="U1469" s="37" t="str">
        <f aca="false">IF(A1469="","",TEXT(A1469,"mmm"))</f>
        <v/>
      </c>
      <c r="V1469" s="37" t="str">
        <f aca="false">IF(Q1469="","",IFERROR(INDEX(Settings!$I$11:$I$15,MATCH(Q1469,Settings!$H$11:$H$15,0)),"No"))</f>
        <v/>
      </c>
      <c r="W1469" s="37" t="str">
        <f aca="false">IF(Q1469="","",IFERROR(INDEX(Settings!$J$11:$J$15,MATCH(Q1469,Settings!$H$11:$H$15,0)),"No"))</f>
        <v/>
      </c>
    </row>
    <row r="1470" customFormat="false" ht="15" hidden="false" customHeight="false" outlineLevel="0" collapsed="false">
      <c r="A1470" s="30"/>
      <c r="B1470" s="25"/>
      <c r="C1470" s="25"/>
      <c r="D1470" s="25"/>
      <c r="E1470" s="25"/>
      <c r="F1470" s="25"/>
      <c r="G1470" s="25"/>
      <c r="H1470" s="31"/>
      <c r="I1470" s="32"/>
      <c r="J1470" s="33"/>
      <c r="K1470" s="34" t="str">
        <f aca="false">IF(OR(H1470="",I1470=""),"",H1470*I1470*(1-N(J1470)))</f>
        <v/>
      </c>
      <c r="L1470" s="32"/>
      <c r="M1470" s="34" t="str">
        <f aca="false">IF(OR(H1470="",L1470=""),"",H1470*L1470)</f>
        <v/>
      </c>
      <c r="N1470" s="34" t="str">
        <f aca="false">IF(OR(K1470="",M1470=""),"",K1470-M1470)</f>
        <v/>
      </c>
      <c r="O1470" s="35" t="str">
        <f aca="false">IF(OR(N1470="",K1470=""),"",IF(K1470=0,"",N1470/K1470))</f>
        <v/>
      </c>
      <c r="P1470" s="25"/>
      <c r="Q1470" s="25"/>
      <c r="R1470" s="25"/>
      <c r="S1470" s="36" t="str">
        <f aca="false">IF(A1470="","",YEAR(A1470)+IF(AND(FYStart&gt;1,MONTH(A1470)&gt;=FYStart),1,0))</f>
        <v/>
      </c>
      <c r="T1470" s="36" t="str">
        <f aca="false">IF(A1470="","",MOD(MONTH(A1470)-FYStart,12)+1)</f>
        <v/>
      </c>
      <c r="U1470" s="37" t="str">
        <f aca="false">IF(A1470="","",TEXT(A1470,"mmm"))</f>
        <v/>
      </c>
      <c r="V1470" s="37" t="str">
        <f aca="false">IF(Q1470="","",IFERROR(INDEX(Settings!$I$11:$I$15,MATCH(Q1470,Settings!$H$11:$H$15,0)),"No"))</f>
        <v/>
      </c>
      <c r="W1470" s="37" t="str">
        <f aca="false">IF(Q1470="","",IFERROR(INDEX(Settings!$J$11:$J$15,MATCH(Q1470,Settings!$H$11:$H$15,0)),"No"))</f>
        <v/>
      </c>
    </row>
    <row r="1471" customFormat="false" ht="15" hidden="false" customHeight="false" outlineLevel="0" collapsed="false">
      <c r="A1471" s="30"/>
      <c r="B1471" s="25"/>
      <c r="C1471" s="25"/>
      <c r="D1471" s="25"/>
      <c r="E1471" s="25"/>
      <c r="F1471" s="25"/>
      <c r="G1471" s="25"/>
      <c r="H1471" s="31"/>
      <c r="I1471" s="32"/>
      <c r="J1471" s="33"/>
      <c r="K1471" s="34" t="str">
        <f aca="false">IF(OR(H1471="",I1471=""),"",H1471*I1471*(1-N(J1471)))</f>
        <v/>
      </c>
      <c r="L1471" s="32"/>
      <c r="M1471" s="34" t="str">
        <f aca="false">IF(OR(H1471="",L1471=""),"",H1471*L1471)</f>
        <v/>
      </c>
      <c r="N1471" s="34" t="str">
        <f aca="false">IF(OR(K1471="",M1471=""),"",K1471-M1471)</f>
        <v/>
      </c>
      <c r="O1471" s="35" t="str">
        <f aca="false">IF(OR(N1471="",K1471=""),"",IF(K1471=0,"",N1471/K1471))</f>
        <v/>
      </c>
      <c r="P1471" s="25"/>
      <c r="Q1471" s="25"/>
      <c r="R1471" s="25"/>
      <c r="S1471" s="36" t="str">
        <f aca="false">IF(A1471="","",YEAR(A1471)+IF(AND(FYStart&gt;1,MONTH(A1471)&gt;=FYStart),1,0))</f>
        <v/>
      </c>
      <c r="T1471" s="36" t="str">
        <f aca="false">IF(A1471="","",MOD(MONTH(A1471)-FYStart,12)+1)</f>
        <v/>
      </c>
      <c r="U1471" s="37" t="str">
        <f aca="false">IF(A1471="","",TEXT(A1471,"mmm"))</f>
        <v/>
      </c>
      <c r="V1471" s="37" t="str">
        <f aca="false">IF(Q1471="","",IFERROR(INDEX(Settings!$I$11:$I$15,MATCH(Q1471,Settings!$H$11:$H$15,0)),"No"))</f>
        <v/>
      </c>
      <c r="W1471" s="37" t="str">
        <f aca="false">IF(Q1471="","",IFERROR(INDEX(Settings!$J$11:$J$15,MATCH(Q1471,Settings!$H$11:$H$15,0)),"No"))</f>
        <v/>
      </c>
    </row>
    <row r="1472" customFormat="false" ht="15" hidden="false" customHeight="false" outlineLevel="0" collapsed="false">
      <c r="A1472" s="30"/>
      <c r="B1472" s="25"/>
      <c r="C1472" s="25"/>
      <c r="D1472" s="25"/>
      <c r="E1472" s="25"/>
      <c r="F1472" s="25"/>
      <c r="G1472" s="25"/>
      <c r="H1472" s="31"/>
      <c r="I1472" s="32"/>
      <c r="J1472" s="33"/>
      <c r="K1472" s="34" t="str">
        <f aca="false">IF(OR(H1472="",I1472=""),"",H1472*I1472*(1-N(J1472)))</f>
        <v/>
      </c>
      <c r="L1472" s="32"/>
      <c r="M1472" s="34" t="str">
        <f aca="false">IF(OR(H1472="",L1472=""),"",H1472*L1472)</f>
        <v/>
      </c>
      <c r="N1472" s="34" t="str">
        <f aca="false">IF(OR(K1472="",M1472=""),"",K1472-M1472)</f>
        <v/>
      </c>
      <c r="O1472" s="35" t="str">
        <f aca="false">IF(OR(N1472="",K1472=""),"",IF(K1472=0,"",N1472/K1472))</f>
        <v/>
      </c>
      <c r="P1472" s="25"/>
      <c r="Q1472" s="25"/>
      <c r="R1472" s="25"/>
      <c r="S1472" s="36" t="str">
        <f aca="false">IF(A1472="","",YEAR(A1472)+IF(AND(FYStart&gt;1,MONTH(A1472)&gt;=FYStart),1,0))</f>
        <v/>
      </c>
      <c r="T1472" s="36" t="str">
        <f aca="false">IF(A1472="","",MOD(MONTH(A1472)-FYStart,12)+1)</f>
        <v/>
      </c>
      <c r="U1472" s="37" t="str">
        <f aca="false">IF(A1472="","",TEXT(A1472,"mmm"))</f>
        <v/>
      </c>
      <c r="V1472" s="37" t="str">
        <f aca="false">IF(Q1472="","",IFERROR(INDEX(Settings!$I$11:$I$15,MATCH(Q1472,Settings!$H$11:$H$15,0)),"No"))</f>
        <v/>
      </c>
      <c r="W1472" s="37" t="str">
        <f aca="false">IF(Q1472="","",IFERROR(INDEX(Settings!$J$11:$J$15,MATCH(Q1472,Settings!$H$11:$H$15,0)),"No"))</f>
        <v/>
      </c>
    </row>
    <row r="1473" customFormat="false" ht="15" hidden="false" customHeight="false" outlineLevel="0" collapsed="false">
      <c r="A1473" s="30"/>
      <c r="B1473" s="25"/>
      <c r="C1473" s="25"/>
      <c r="D1473" s="25"/>
      <c r="E1473" s="25"/>
      <c r="F1473" s="25"/>
      <c r="G1473" s="25"/>
      <c r="H1473" s="31"/>
      <c r="I1473" s="32"/>
      <c r="J1473" s="33"/>
      <c r="K1473" s="34" t="str">
        <f aca="false">IF(OR(H1473="",I1473=""),"",H1473*I1473*(1-N(J1473)))</f>
        <v/>
      </c>
      <c r="L1473" s="32"/>
      <c r="M1473" s="34" t="str">
        <f aca="false">IF(OR(H1473="",L1473=""),"",H1473*L1473)</f>
        <v/>
      </c>
      <c r="N1473" s="34" t="str">
        <f aca="false">IF(OR(K1473="",M1473=""),"",K1473-M1473)</f>
        <v/>
      </c>
      <c r="O1473" s="35" t="str">
        <f aca="false">IF(OR(N1473="",K1473=""),"",IF(K1473=0,"",N1473/K1473))</f>
        <v/>
      </c>
      <c r="P1473" s="25"/>
      <c r="Q1473" s="25"/>
      <c r="R1473" s="25"/>
      <c r="S1473" s="36" t="str">
        <f aca="false">IF(A1473="","",YEAR(A1473)+IF(AND(FYStart&gt;1,MONTH(A1473)&gt;=FYStart),1,0))</f>
        <v/>
      </c>
      <c r="T1473" s="36" t="str">
        <f aca="false">IF(A1473="","",MOD(MONTH(A1473)-FYStart,12)+1)</f>
        <v/>
      </c>
      <c r="U1473" s="37" t="str">
        <f aca="false">IF(A1473="","",TEXT(A1473,"mmm"))</f>
        <v/>
      </c>
      <c r="V1473" s="37" t="str">
        <f aca="false">IF(Q1473="","",IFERROR(INDEX(Settings!$I$11:$I$15,MATCH(Q1473,Settings!$H$11:$H$15,0)),"No"))</f>
        <v/>
      </c>
      <c r="W1473" s="37" t="str">
        <f aca="false">IF(Q1473="","",IFERROR(INDEX(Settings!$J$11:$J$15,MATCH(Q1473,Settings!$H$11:$H$15,0)),"No"))</f>
        <v/>
      </c>
    </row>
    <row r="1474" customFormat="false" ht="15" hidden="false" customHeight="false" outlineLevel="0" collapsed="false">
      <c r="A1474" s="30"/>
      <c r="B1474" s="25"/>
      <c r="C1474" s="25"/>
      <c r="D1474" s="25"/>
      <c r="E1474" s="25"/>
      <c r="F1474" s="25"/>
      <c r="G1474" s="25"/>
      <c r="H1474" s="31"/>
      <c r="I1474" s="32"/>
      <c r="J1474" s="33"/>
      <c r="K1474" s="34" t="str">
        <f aca="false">IF(OR(H1474="",I1474=""),"",H1474*I1474*(1-N(J1474)))</f>
        <v/>
      </c>
      <c r="L1474" s="32"/>
      <c r="M1474" s="34" t="str">
        <f aca="false">IF(OR(H1474="",L1474=""),"",H1474*L1474)</f>
        <v/>
      </c>
      <c r="N1474" s="34" t="str">
        <f aca="false">IF(OR(K1474="",M1474=""),"",K1474-M1474)</f>
        <v/>
      </c>
      <c r="O1474" s="35" t="str">
        <f aca="false">IF(OR(N1474="",K1474=""),"",IF(K1474=0,"",N1474/K1474))</f>
        <v/>
      </c>
      <c r="P1474" s="25"/>
      <c r="Q1474" s="25"/>
      <c r="R1474" s="25"/>
      <c r="S1474" s="36" t="str">
        <f aca="false">IF(A1474="","",YEAR(A1474)+IF(AND(FYStart&gt;1,MONTH(A1474)&gt;=FYStart),1,0))</f>
        <v/>
      </c>
      <c r="T1474" s="36" t="str">
        <f aca="false">IF(A1474="","",MOD(MONTH(A1474)-FYStart,12)+1)</f>
        <v/>
      </c>
      <c r="U1474" s="37" t="str">
        <f aca="false">IF(A1474="","",TEXT(A1474,"mmm"))</f>
        <v/>
      </c>
      <c r="V1474" s="37" t="str">
        <f aca="false">IF(Q1474="","",IFERROR(INDEX(Settings!$I$11:$I$15,MATCH(Q1474,Settings!$H$11:$H$15,0)),"No"))</f>
        <v/>
      </c>
      <c r="W1474" s="37" t="str">
        <f aca="false">IF(Q1474="","",IFERROR(INDEX(Settings!$J$11:$J$15,MATCH(Q1474,Settings!$H$11:$H$15,0)),"No"))</f>
        <v/>
      </c>
    </row>
    <row r="1475" customFormat="false" ht="15" hidden="false" customHeight="false" outlineLevel="0" collapsed="false">
      <c r="A1475" s="30"/>
      <c r="B1475" s="25"/>
      <c r="C1475" s="25"/>
      <c r="D1475" s="25"/>
      <c r="E1475" s="25"/>
      <c r="F1475" s="25"/>
      <c r="G1475" s="25"/>
      <c r="H1475" s="31"/>
      <c r="I1475" s="32"/>
      <c r="J1475" s="33"/>
      <c r="K1475" s="34" t="str">
        <f aca="false">IF(OR(H1475="",I1475=""),"",H1475*I1475*(1-N(J1475)))</f>
        <v/>
      </c>
      <c r="L1475" s="32"/>
      <c r="M1475" s="34" t="str">
        <f aca="false">IF(OR(H1475="",L1475=""),"",H1475*L1475)</f>
        <v/>
      </c>
      <c r="N1475" s="34" t="str">
        <f aca="false">IF(OR(K1475="",M1475=""),"",K1475-M1475)</f>
        <v/>
      </c>
      <c r="O1475" s="35" t="str">
        <f aca="false">IF(OR(N1475="",K1475=""),"",IF(K1475=0,"",N1475/K1475))</f>
        <v/>
      </c>
      <c r="P1475" s="25"/>
      <c r="Q1475" s="25"/>
      <c r="R1475" s="25"/>
      <c r="S1475" s="36" t="str">
        <f aca="false">IF(A1475="","",YEAR(A1475)+IF(AND(FYStart&gt;1,MONTH(A1475)&gt;=FYStart),1,0))</f>
        <v/>
      </c>
      <c r="T1475" s="36" t="str">
        <f aca="false">IF(A1475="","",MOD(MONTH(A1475)-FYStart,12)+1)</f>
        <v/>
      </c>
      <c r="U1475" s="37" t="str">
        <f aca="false">IF(A1475="","",TEXT(A1475,"mmm"))</f>
        <v/>
      </c>
      <c r="V1475" s="37" t="str">
        <f aca="false">IF(Q1475="","",IFERROR(INDEX(Settings!$I$11:$I$15,MATCH(Q1475,Settings!$H$11:$H$15,0)),"No"))</f>
        <v/>
      </c>
      <c r="W1475" s="37" t="str">
        <f aca="false">IF(Q1475="","",IFERROR(INDEX(Settings!$J$11:$J$15,MATCH(Q1475,Settings!$H$11:$H$15,0)),"No"))</f>
        <v/>
      </c>
    </row>
    <row r="1476" customFormat="false" ht="15" hidden="false" customHeight="false" outlineLevel="0" collapsed="false">
      <c r="A1476" s="30"/>
      <c r="B1476" s="25"/>
      <c r="C1476" s="25"/>
      <c r="D1476" s="25"/>
      <c r="E1476" s="25"/>
      <c r="F1476" s="25"/>
      <c r="G1476" s="25"/>
      <c r="H1476" s="31"/>
      <c r="I1476" s="32"/>
      <c r="J1476" s="33"/>
      <c r="K1476" s="34" t="str">
        <f aca="false">IF(OR(H1476="",I1476=""),"",H1476*I1476*(1-N(J1476)))</f>
        <v/>
      </c>
      <c r="L1476" s="32"/>
      <c r="M1476" s="34" t="str">
        <f aca="false">IF(OR(H1476="",L1476=""),"",H1476*L1476)</f>
        <v/>
      </c>
      <c r="N1476" s="34" t="str">
        <f aca="false">IF(OR(K1476="",M1476=""),"",K1476-M1476)</f>
        <v/>
      </c>
      <c r="O1476" s="35" t="str">
        <f aca="false">IF(OR(N1476="",K1476=""),"",IF(K1476=0,"",N1476/K1476))</f>
        <v/>
      </c>
      <c r="P1476" s="25"/>
      <c r="Q1476" s="25"/>
      <c r="R1476" s="25"/>
      <c r="S1476" s="36" t="str">
        <f aca="false">IF(A1476="","",YEAR(A1476)+IF(AND(FYStart&gt;1,MONTH(A1476)&gt;=FYStart),1,0))</f>
        <v/>
      </c>
      <c r="T1476" s="36" t="str">
        <f aca="false">IF(A1476="","",MOD(MONTH(A1476)-FYStart,12)+1)</f>
        <v/>
      </c>
      <c r="U1476" s="37" t="str">
        <f aca="false">IF(A1476="","",TEXT(A1476,"mmm"))</f>
        <v/>
      </c>
      <c r="V1476" s="37" t="str">
        <f aca="false">IF(Q1476="","",IFERROR(INDEX(Settings!$I$11:$I$15,MATCH(Q1476,Settings!$H$11:$H$15,0)),"No"))</f>
        <v/>
      </c>
      <c r="W1476" s="37" t="str">
        <f aca="false">IF(Q1476="","",IFERROR(INDEX(Settings!$J$11:$J$15,MATCH(Q1476,Settings!$H$11:$H$15,0)),"No"))</f>
        <v/>
      </c>
    </row>
    <row r="1477" customFormat="false" ht="15" hidden="false" customHeight="false" outlineLevel="0" collapsed="false">
      <c r="A1477" s="30"/>
      <c r="B1477" s="25"/>
      <c r="C1477" s="25"/>
      <c r="D1477" s="25"/>
      <c r="E1477" s="25"/>
      <c r="F1477" s="25"/>
      <c r="G1477" s="25"/>
      <c r="H1477" s="31"/>
      <c r="I1477" s="32"/>
      <c r="J1477" s="33"/>
      <c r="K1477" s="34" t="str">
        <f aca="false">IF(OR(H1477="",I1477=""),"",H1477*I1477*(1-N(J1477)))</f>
        <v/>
      </c>
      <c r="L1477" s="32"/>
      <c r="M1477" s="34" t="str">
        <f aca="false">IF(OR(H1477="",L1477=""),"",H1477*L1477)</f>
        <v/>
      </c>
      <c r="N1477" s="34" t="str">
        <f aca="false">IF(OR(K1477="",M1477=""),"",K1477-M1477)</f>
        <v/>
      </c>
      <c r="O1477" s="35" t="str">
        <f aca="false">IF(OR(N1477="",K1477=""),"",IF(K1477=0,"",N1477/K1477))</f>
        <v/>
      </c>
      <c r="P1477" s="25"/>
      <c r="Q1477" s="25"/>
      <c r="R1477" s="25"/>
      <c r="S1477" s="36" t="str">
        <f aca="false">IF(A1477="","",YEAR(A1477)+IF(AND(FYStart&gt;1,MONTH(A1477)&gt;=FYStart),1,0))</f>
        <v/>
      </c>
      <c r="T1477" s="36" t="str">
        <f aca="false">IF(A1477="","",MOD(MONTH(A1477)-FYStart,12)+1)</f>
        <v/>
      </c>
      <c r="U1477" s="37" t="str">
        <f aca="false">IF(A1477="","",TEXT(A1477,"mmm"))</f>
        <v/>
      </c>
      <c r="V1477" s="37" t="str">
        <f aca="false">IF(Q1477="","",IFERROR(INDEX(Settings!$I$11:$I$15,MATCH(Q1477,Settings!$H$11:$H$15,0)),"No"))</f>
        <v/>
      </c>
      <c r="W1477" s="37" t="str">
        <f aca="false">IF(Q1477="","",IFERROR(INDEX(Settings!$J$11:$J$15,MATCH(Q1477,Settings!$H$11:$H$15,0)),"No"))</f>
        <v/>
      </c>
    </row>
    <row r="1478" customFormat="false" ht="15" hidden="false" customHeight="false" outlineLevel="0" collapsed="false">
      <c r="A1478" s="30"/>
      <c r="B1478" s="25"/>
      <c r="C1478" s="25"/>
      <c r="D1478" s="25"/>
      <c r="E1478" s="25"/>
      <c r="F1478" s="25"/>
      <c r="G1478" s="25"/>
      <c r="H1478" s="31"/>
      <c r="I1478" s="32"/>
      <c r="J1478" s="33"/>
      <c r="K1478" s="34" t="str">
        <f aca="false">IF(OR(H1478="",I1478=""),"",H1478*I1478*(1-N(J1478)))</f>
        <v/>
      </c>
      <c r="L1478" s="32"/>
      <c r="M1478" s="34" t="str">
        <f aca="false">IF(OR(H1478="",L1478=""),"",H1478*L1478)</f>
        <v/>
      </c>
      <c r="N1478" s="34" t="str">
        <f aca="false">IF(OR(K1478="",M1478=""),"",K1478-M1478)</f>
        <v/>
      </c>
      <c r="O1478" s="35" t="str">
        <f aca="false">IF(OR(N1478="",K1478=""),"",IF(K1478=0,"",N1478/K1478))</f>
        <v/>
      </c>
      <c r="P1478" s="25"/>
      <c r="Q1478" s="25"/>
      <c r="R1478" s="25"/>
      <c r="S1478" s="36" t="str">
        <f aca="false">IF(A1478="","",YEAR(A1478)+IF(AND(FYStart&gt;1,MONTH(A1478)&gt;=FYStart),1,0))</f>
        <v/>
      </c>
      <c r="T1478" s="36" t="str">
        <f aca="false">IF(A1478="","",MOD(MONTH(A1478)-FYStart,12)+1)</f>
        <v/>
      </c>
      <c r="U1478" s="37" t="str">
        <f aca="false">IF(A1478="","",TEXT(A1478,"mmm"))</f>
        <v/>
      </c>
      <c r="V1478" s="37" t="str">
        <f aca="false">IF(Q1478="","",IFERROR(INDEX(Settings!$I$11:$I$15,MATCH(Q1478,Settings!$H$11:$H$15,0)),"No"))</f>
        <v/>
      </c>
      <c r="W1478" s="37" t="str">
        <f aca="false">IF(Q1478="","",IFERROR(INDEX(Settings!$J$11:$J$15,MATCH(Q1478,Settings!$H$11:$H$15,0)),"No"))</f>
        <v/>
      </c>
    </row>
    <row r="1479" customFormat="false" ht="15" hidden="false" customHeight="false" outlineLevel="0" collapsed="false">
      <c r="A1479" s="30"/>
      <c r="B1479" s="25"/>
      <c r="C1479" s="25"/>
      <c r="D1479" s="25"/>
      <c r="E1479" s="25"/>
      <c r="F1479" s="25"/>
      <c r="G1479" s="25"/>
      <c r="H1479" s="31"/>
      <c r="I1479" s="32"/>
      <c r="J1479" s="33"/>
      <c r="K1479" s="34" t="str">
        <f aca="false">IF(OR(H1479="",I1479=""),"",H1479*I1479*(1-N(J1479)))</f>
        <v/>
      </c>
      <c r="L1479" s="32"/>
      <c r="M1479" s="34" t="str">
        <f aca="false">IF(OR(H1479="",L1479=""),"",H1479*L1479)</f>
        <v/>
      </c>
      <c r="N1479" s="34" t="str">
        <f aca="false">IF(OR(K1479="",M1479=""),"",K1479-M1479)</f>
        <v/>
      </c>
      <c r="O1479" s="35" t="str">
        <f aca="false">IF(OR(N1479="",K1479=""),"",IF(K1479=0,"",N1479/K1479))</f>
        <v/>
      </c>
      <c r="P1479" s="25"/>
      <c r="Q1479" s="25"/>
      <c r="R1479" s="25"/>
      <c r="S1479" s="36" t="str">
        <f aca="false">IF(A1479="","",YEAR(A1479)+IF(AND(FYStart&gt;1,MONTH(A1479)&gt;=FYStart),1,0))</f>
        <v/>
      </c>
      <c r="T1479" s="36" t="str">
        <f aca="false">IF(A1479="","",MOD(MONTH(A1479)-FYStart,12)+1)</f>
        <v/>
      </c>
      <c r="U1479" s="37" t="str">
        <f aca="false">IF(A1479="","",TEXT(A1479,"mmm"))</f>
        <v/>
      </c>
      <c r="V1479" s="37" t="str">
        <f aca="false">IF(Q1479="","",IFERROR(INDEX(Settings!$I$11:$I$15,MATCH(Q1479,Settings!$H$11:$H$15,0)),"No"))</f>
        <v/>
      </c>
      <c r="W1479" s="37" t="str">
        <f aca="false">IF(Q1479="","",IFERROR(INDEX(Settings!$J$11:$J$15,MATCH(Q1479,Settings!$H$11:$H$15,0)),"No"))</f>
        <v/>
      </c>
    </row>
    <row r="1480" customFormat="false" ht="15" hidden="false" customHeight="false" outlineLevel="0" collapsed="false">
      <c r="A1480" s="30"/>
      <c r="B1480" s="25"/>
      <c r="C1480" s="25"/>
      <c r="D1480" s="25"/>
      <c r="E1480" s="25"/>
      <c r="F1480" s="25"/>
      <c r="G1480" s="25"/>
      <c r="H1480" s="31"/>
      <c r="I1480" s="32"/>
      <c r="J1480" s="33"/>
      <c r="K1480" s="34" t="str">
        <f aca="false">IF(OR(H1480="",I1480=""),"",H1480*I1480*(1-N(J1480)))</f>
        <v/>
      </c>
      <c r="L1480" s="32"/>
      <c r="M1480" s="34" t="str">
        <f aca="false">IF(OR(H1480="",L1480=""),"",H1480*L1480)</f>
        <v/>
      </c>
      <c r="N1480" s="34" t="str">
        <f aca="false">IF(OR(K1480="",M1480=""),"",K1480-M1480)</f>
        <v/>
      </c>
      <c r="O1480" s="35" t="str">
        <f aca="false">IF(OR(N1480="",K1480=""),"",IF(K1480=0,"",N1480/K1480))</f>
        <v/>
      </c>
      <c r="P1480" s="25"/>
      <c r="Q1480" s="25"/>
      <c r="R1480" s="25"/>
      <c r="S1480" s="36" t="str">
        <f aca="false">IF(A1480="","",YEAR(A1480)+IF(AND(FYStart&gt;1,MONTH(A1480)&gt;=FYStart),1,0))</f>
        <v/>
      </c>
      <c r="T1480" s="36" t="str">
        <f aca="false">IF(A1480="","",MOD(MONTH(A1480)-FYStart,12)+1)</f>
        <v/>
      </c>
      <c r="U1480" s="37" t="str">
        <f aca="false">IF(A1480="","",TEXT(A1480,"mmm"))</f>
        <v/>
      </c>
      <c r="V1480" s="37" t="str">
        <f aca="false">IF(Q1480="","",IFERROR(INDEX(Settings!$I$11:$I$15,MATCH(Q1480,Settings!$H$11:$H$15,0)),"No"))</f>
        <v/>
      </c>
      <c r="W1480" s="37" t="str">
        <f aca="false">IF(Q1480="","",IFERROR(INDEX(Settings!$J$11:$J$15,MATCH(Q1480,Settings!$H$11:$H$15,0)),"No"))</f>
        <v/>
      </c>
    </row>
    <row r="1481" customFormat="false" ht="15" hidden="false" customHeight="false" outlineLevel="0" collapsed="false">
      <c r="A1481" s="30"/>
      <c r="B1481" s="25"/>
      <c r="C1481" s="25"/>
      <c r="D1481" s="25"/>
      <c r="E1481" s="25"/>
      <c r="F1481" s="25"/>
      <c r="G1481" s="25"/>
      <c r="H1481" s="31"/>
      <c r="I1481" s="32"/>
      <c r="J1481" s="33"/>
      <c r="K1481" s="34" t="str">
        <f aca="false">IF(OR(H1481="",I1481=""),"",H1481*I1481*(1-N(J1481)))</f>
        <v/>
      </c>
      <c r="L1481" s="32"/>
      <c r="M1481" s="34" t="str">
        <f aca="false">IF(OR(H1481="",L1481=""),"",H1481*L1481)</f>
        <v/>
      </c>
      <c r="N1481" s="34" t="str">
        <f aca="false">IF(OR(K1481="",M1481=""),"",K1481-M1481)</f>
        <v/>
      </c>
      <c r="O1481" s="35" t="str">
        <f aca="false">IF(OR(N1481="",K1481=""),"",IF(K1481=0,"",N1481/K1481))</f>
        <v/>
      </c>
      <c r="P1481" s="25"/>
      <c r="Q1481" s="25"/>
      <c r="R1481" s="25"/>
      <c r="S1481" s="36" t="str">
        <f aca="false">IF(A1481="","",YEAR(A1481)+IF(AND(FYStart&gt;1,MONTH(A1481)&gt;=FYStart),1,0))</f>
        <v/>
      </c>
      <c r="T1481" s="36" t="str">
        <f aca="false">IF(A1481="","",MOD(MONTH(A1481)-FYStart,12)+1)</f>
        <v/>
      </c>
      <c r="U1481" s="37" t="str">
        <f aca="false">IF(A1481="","",TEXT(A1481,"mmm"))</f>
        <v/>
      </c>
      <c r="V1481" s="37" t="str">
        <f aca="false">IF(Q1481="","",IFERROR(INDEX(Settings!$I$11:$I$15,MATCH(Q1481,Settings!$H$11:$H$15,0)),"No"))</f>
        <v/>
      </c>
      <c r="W1481" s="37" t="str">
        <f aca="false">IF(Q1481="","",IFERROR(INDEX(Settings!$J$11:$J$15,MATCH(Q1481,Settings!$H$11:$H$15,0)),"No"))</f>
        <v/>
      </c>
    </row>
    <row r="1482" customFormat="false" ht="15" hidden="false" customHeight="false" outlineLevel="0" collapsed="false">
      <c r="A1482" s="30"/>
      <c r="B1482" s="25"/>
      <c r="C1482" s="25"/>
      <c r="D1482" s="25"/>
      <c r="E1482" s="25"/>
      <c r="F1482" s="25"/>
      <c r="G1482" s="25"/>
      <c r="H1482" s="31"/>
      <c r="I1482" s="32"/>
      <c r="J1482" s="33"/>
      <c r="K1482" s="34" t="str">
        <f aca="false">IF(OR(H1482="",I1482=""),"",H1482*I1482*(1-N(J1482)))</f>
        <v/>
      </c>
      <c r="L1482" s="32"/>
      <c r="M1482" s="34" t="str">
        <f aca="false">IF(OR(H1482="",L1482=""),"",H1482*L1482)</f>
        <v/>
      </c>
      <c r="N1482" s="34" t="str">
        <f aca="false">IF(OR(K1482="",M1482=""),"",K1482-M1482)</f>
        <v/>
      </c>
      <c r="O1482" s="35" t="str">
        <f aca="false">IF(OR(N1482="",K1482=""),"",IF(K1482=0,"",N1482/K1482))</f>
        <v/>
      </c>
      <c r="P1482" s="25"/>
      <c r="Q1482" s="25"/>
      <c r="R1482" s="25"/>
      <c r="S1482" s="36" t="str">
        <f aca="false">IF(A1482="","",YEAR(A1482)+IF(AND(FYStart&gt;1,MONTH(A1482)&gt;=FYStart),1,0))</f>
        <v/>
      </c>
      <c r="T1482" s="36" t="str">
        <f aca="false">IF(A1482="","",MOD(MONTH(A1482)-FYStart,12)+1)</f>
        <v/>
      </c>
      <c r="U1482" s="37" t="str">
        <f aca="false">IF(A1482="","",TEXT(A1482,"mmm"))</f>
        <v/>
      </c>
      <c r="V1482" s="37" t="str">
        <f aca="false">IF(Q1482="","",IFERROR(INDEX(Settings!$I$11:$I$15,MATCH(Q1482,Settings!$H$11:$H$15,0)),"No"))</f>
        <v/>
      </c>
      <c r="W1482" s="37" t="str">
        <f aca="false">IF(Q1482="","",IFERROR(INDEX(Settings!$J$11:$J$15,MATCH(Q1482,Settings!$H$11:$H$15,0)),"No"))</f>
        <v/>
      </c>
    </row>
    <row r="1483" customFormat="false" ht="15" hidden="false" customHeight="false" outlineLevel="0" collapsed="false">
      <c r="A1483" s="30"/>
      <c r="B1483" s="25"/>
      <c r="C1483" s="25"/>
      <c r="D1483" s="25"/>
      <c r="E1483" s="25"/>
      <c r="F1483" s="25"/>
      <c r="G1483" s="25"/>
      <c r="H1483" s="31"/>
      <c r="I1483" s="32"/>
      <c r="J1483" s="33"/>
      <c r="K1483" s="34" t="str">
        <f aca="false">IF(OR(H1483="",I1483=""),"",H1483*I1483*(1-N(J1483)))</f>
        <v/>
      </c>
      <c r="L1483" s="32"/>
      <c r="M1483" s="34" t="str">
        <f aca="false">IF(OR(H1483="",L1483=""),"",H1483*L1483)</f>
        <v/>
      </c>
      <c r="N1483" s="34" t="str">
        <f aca="false">IF(OR(K1483="",M1483=""),"",K1483-M1483)</f>
        <v/>
      </c>
      <c r="O1483" s="35" t="str">
        <f aca="false">IF(OR(N1483="",K1483=""),"",IF(K1483=0,"",N1483/K1483))</f>
        <v/>
      </c>
      <c r="P1483" s="25"/>
      <c r="Q1483" s="25"/>
      <c r="R1483" s="25"/>
      <c r="S1483" s="36" t="str">
        <f aca="false">IF(A1483="","",YEAR(A1483)+IF(AND(FYStart&gt;1,MONTH(A1483)&gt;=FYStart),1,0))</f>
        <v/>
      </c>
      <c r="T1483" s="36" t="str">
        <f aca="false">IF(A1483="","",MOD(MONTH(A1483)-FYStart,12)+1)</f>
        <v/>
      </c>
      <c r="U1483" s="37" t="str">
        <f aca="false">IF(A1483="","",TEXT(A1483,"mmm"))</f>
        <v/>
      </c>
      <c r="V1483" s="37" t="str">
        <f aca="false">IF(Q1483="","",IFERROR(INDEX(Settings!$I$11:$I$15,MATCH(Q1483,Settings!$H$11:$H$15,0)),"No"))</f>
        <v/>
      </c>
      <c r="W1483" s="37" t="str">
        <f aca="false">IF(Q1483="","",IFERROR(INDEX(Settings!$J$11:$J$15,MATCH(Q1483,Settings!$H$11:$H$15,0)),"No"))</f>
        <v/>
      </c>
    </row>
    <row r="1484" customFormat="false" ht="15" hidden="false" customHeight="false" outlineLevel="0" collapsed="false">
      <c r="A1484" s="30"/>
      <c r="B1484" s="25"/>
      <c r="C1484" s="25"/>
      <c r="D1484" s="25"/>
      <c r="E1484" s="25"/>
      <c r="F1484" s="25"/>
      <c r="G1484" s="25"/>
      <c r="H1484" s="31"/>
      <c r="I1484" s="32"/>
      <c r="J1484" s="33"/>
      <c r="K1484" s="34" t="str">
        <f aca="false">IF(OR(H1484="",I1484=""),"",H1484*I1484*(1-N(J1484)))</f>
        <v/>
      </c>
      <c r="L1484" s="32"/>
      <c r="M1484" s="34" t="str">
        <f aca="false">IF(OR(H1484="",L1484=""),"",H1484*L1484)</f>
        <v/>
      </c>
      <c r="N1484" s="34" t="str">
        <f aca="false">IF(OR(K1484="",M1484=""),"",K1484-M1484)</f>
        <v/>
      </c>
      <c r="O1484" s="35" t="str">
        <f aca="false">IF(OR(N1484="",K1484=""),"",IF(K1484=0,"",N1484/K1484))</f>
        <v/>
      </c>
      <c r="P1484" s="25"/>
      <c r="Q1484" s="25"/>
      <c r="R1484" s="25"/>
      <c r="S1484" s="36" t="str">
        <f aca="false">IF(A1484="","",YEAR(A1484)+IF(AND(FYStart&gt;1,MONTH(A1484)&gt;=FYStart),1,0))</f>
        <v/>
      </c>
      <c r="T1484" s="36" t="str">
        <f aca="false">IF(A1484="","",MOD(MONTH(A1484)-FYStart,12)+1)</f>
        <v/>
      </c>
      <c r="U1484" s="37" t="str">
        <f aca="false">IF(A1484="","",TEXT(A1484,"mmm"))</f>
        <v/>
      </c>
      <c r="V1484" s="37" t="str">
        <f aca="false">IF(Q1484="","",IFERROR(INDEX(Settings!$I$11:$I$15,MATCH(Q1484,Settings!$H$11:$H$15,0)),"No"))</f>
        <v/>
      </c>
      <c r="W1484" s="37" t="str">
        <f aca="false">IF(Q1484="","",IFERROR(INDEX(Settings!$J$11:$J$15,MATCH(Q1484,Settings!$H$11:$H$15,0)),"No"))</f>
        <v/>
      </c>
    </row>
    <row r="1485" customFormat="false" ht="15" hidden="false" customHeight="false" outlineLevel="0" collapsed="false">
      <c r="A1485" s="30"/>
      <c r="B1485" s="25"/>
      <c r="C1485" s="25"/>
      <c r="D1485" s="25"/>
      <c r="E1485" s="25"/>
      <c r="F1485" s="25"/>
      <c r="G1485" s="25"/>
      <c r="H1485" s="31"/>
      <c r="I1485" s="32"/>
      <c r="J1485" s="33"/>
      <c r="K1485" s="34" t="str">
        <f aca="false">IF(OR(H1485="",I1485=""),"",H1485*I1485*(1-N(J1485)))</f>
        <v/>
      </c>
      <c r="L1485" s="32"/>
      <c r="M1485" s="34" t="str">
        <f aca="false">IF(OR(H1485="",L1485=""),"",H1485*L1485)</f>
        <v/>
      </c>
      <c r="N1485" s="34" t="str">
        <f aca="false">IF(OR(K1485="",M1485=""),"",K1485-M1485)</f>
        <v/>
      </c>
      <c r="O1485" s="35" t="str">
        <f aca="false">IF(OR(N1485="",K1485=""),"",IF(K1485=0,"",N1485/K1485))</f>
        <v/>
      </c>
      <c r="P1485" s="25"/>
      <c r="Q1485" s="25"/>
      <c r="R1485" s="25"/>
      <c r="S1485" s="36" t="str">
        <f aca="false">IF(A1485="","",YEAR(A1485)+IF(AND(FYStart&gt;1,MONTH(A1485)&gt;=FYStart),1,0))</f>
        <v/>
      </c>
      <c r="T1485" s="36" t="str">
        <f aca="false">IF(A1485="","",MOD(MONTH(A1485)-FYStart,12)+1)</f>
        <v/>
      </c>
      <c r="U1485" s="37" t="str">
        <f aca="false">IF(A1485="","",TEXT(A1485,"mmm"))</f>
        <v/>
      </c>
      <c r="V1485" s="37" t="str">
        <f aca="false">IF(Q1485="","",IFERROR(INDEX(Settings!$I$11:$I$15,MATCH(Q1485,Settings!$H$11:$H$15,0)),"No"))</f>
        <v/>
      </c>
      <c r="W1485" s="37" t="str">
        <f aca="false">IF(Q1485="","",IFERROR(INDEX(Settings!$J$11:$J$15,MATCH(Q1485,Settings!$H$11:$H$15,0)),"No"))</f>
        <v/>
      </c>
    </row>
    <row r="1486" customFormat="false" ht="15" hidden="false" customHeight="false" outlineLevel="0" collapsed="false">
      <c r="A1486" s="30"/>
      <c r="B1486" s="25"/>
      <c r="C1486" s="25"/>
      <c r="D1486" s="25"/>
      <c r="E1486" s="25"/>
      <c r="F1486" s="25"/>
      <c r="G1486" s="25"/>
      <c r="H1486" s="31"/>
      <c r="I1486" s="32"/>
      <c r="J1486" s="33"/>
      <c r="K1486" s="34" t="str">
        <f aca="false">IF(OR(H1486="",I1486=""),"",H1486*I1486*(1-N(J1486)))</f>
        <v/>
      </c>
      <c r="L1486" s="32"/>
      <c r="M1486" s="34" t="str">
        <f aca="false">IF(OR(H1486="",L1486=""),"",H1486*L1486)</f>
        <v/>
      </c>
      <c r="N1486" s="34" t="str">
        <f aca="false">IF(OR(K1486="",M1486=""),"",K1486-M1486)</f>
        <v/>
      </c>
      <c r="O1486" s="35" t="str">
        <f aca="false">IF(OR(N1486="",K1486=""),"",IF(K1486=0,"",N1486/K1486))</f>
        <v/>
      </c>
      <c r="P1486" s="25"/>
      <c r="Q1486" s="25"/>
      <c r="R1486" s="25"/>
      <c r="S1486" s="36" t="str">
        <f aca="false">IF(A1486="","",YEAR(A1486)+IF(AND(FYStart&gt;1,MONTH(A1486)&gt;=FYStart),1,0))</f>
        <v/>
      </c>
      <c r="T1486" s="36" t="str">
        <f aca="false">IF(A1486="","",MOD(MONTH(A1486)-FYStart,12)+1)</f>
        <v/>
      </c>
      <c r="U1486" s="37" t="str">
        <f aca="false">IF(A1486="","",TEXT(A1486,"mmm"))</f>
        <v/>
      </c>
      <c r="V1486" s="37" t="str">
        <f aca="false">IF(Q1486="","",IFERROR(INDEX(Settings!$I$11:$I$15,MATCH(Q1486,Settings!$H$11:$H$15,0)),"No"))</f>
        <v/>
      </c>
      <c r="W1486" s="37" t="str">
        <f aca="false">IF(Q1486="","",IFERROR(INDEX(Settings!$J$11:$J$15,MATCH(Q1486,Settings!$H$11:$H$15,0)),"No"))</f>
        <v/>
      </c>
    </row>
    <row r="1487" customFormat="false" ht="15" hidden="false" customHeight="false" outlineLevel="0" collapsed="false">
      <c r="A1487" s="30"/>
      <c r="B1487" s="25"/>
      <c r="C1487" s="25"/>
      <c r="D1487" s="25"/>
      <c r="E1487" s="25"/>
      <c r="F1487" s="25"/>
      <c r="G1487" s="25"/>
      <c r="H1487" s="31"/>
      <c r="I1487" s="32"/>
      <c r="J1487" s="33"/>
      <c r="K1487" s="34" t="str">
        <f aca="false">IF(OR(H1487="",I1487=""),"",H1487*I1487*(1-N(J1487)))</f>
        <v/>
      </c>
      <c r="L1487" s="32"/>
      <c r="M1487" s="34" t="str">
        <f aca="false">IF(OR(H1487="",L1487=""),"",H1487*L1487)</f>
        <v/>
      </c>
      <c r="N1487" s="34" t="str">
        <f aca="false">IF(OR(K1487="",M1487=""),"",K1487-M1487)</f>
        <v/>
      </c>
      <c r="O1487" s="35" t="str">
        <f aca="false">IF(OR(N1487="",K1487=""),"",IF(K1487=0,"",N1487/K1487))</f>
        <v/>
      </c>
      <c r="P1487" s="25"/>
      <c r="Q1487" s="25"/>
      <c r="R1487" s="25"/>
      <c r="S1487" s="36" t="str">
        <f aca="false">IF(A1487="","",YEAR(A1487)+IF(AND(FYStart&gt;1,MONTH(A1487)&gt;=FYStart),1,0))</f>
        <v/>
      </c>
      <c r="T1487" s="36" t="str">
        <f aca="false">IF(A1487="","",MOD(MONTH(A1487)-FYStart,12)+1)</f>
        <v/>
      </c>
      <c r="U1487" s="37" t="str">
        <f aca="false">IF(A1487="","",TEXT(A1487,"mmm"))</f>
        <v/>
      </c>
      <c r="V1487" s="37" t="str">
        <f aca="false">IF(Q1487="","",IFERROR(INDEX(Settings!$I$11:$I$15,MATCH(Q1487,Settings!$H$11:$H$15,0)),"No"))</f>
        <v/>
      </c>
      <c r="W1487" s="37" t="str">
        <f aca="false">IF(Q1487="","",IFERROR(INDEX(Settings!$J$11:$J$15,MATCH(Q1487,Settings!$H$11:$H$15,0)),"No"))</f>
        <v/>
      </c>
    </row>
    <row r="1488" customFormat="false" ht="15" hidden="false" customHeight="false" outlineLevel="0" collapsed="false">
      <c r="A1488" s="30"/>
      <c r="B1488" s="25"/>
      <c r="C1488" s="25"/>
      <c r="D1488" s="25"/>
      <c r="E1488" s="25"/>
      <c r="F1488" s="25"/>
      <c r="G1488" s="25"/>
      <c r="H1488" s="31"/>
      <c r="I1488" s="32"/>
      <c r="J1488" s="33"/>
      <c r="K1488" s="34" t="str">
        <f aca="false">IF(OR(H1488="",I1488=""),"",H1488*I1488*(1-N(J1488)))</f>
        <v/>
      </c>
      <c r="L1488" s="32"/>
      <c r="M1488" s="34" t="str">
        <f aca="false">IF(OR(H1488="",L1488=""),"",H1488*L1488)</f>
        <v/>
      </c>
      <c r="N1488" s="34" t="str">
        <f aca="false">IF(OR(K1488="",M1488=""),"",K1488-M1488)</f>
        <v/>
      </c>
      <c r="O1488" s="35" t="str">
        <f aca="false">IF(OR(N1488="",K1488=""),"",IF(K1488=0,"",N1488/K1488))</f>
        <v/>
      </c>
      <c r="P1488" s="25"/>
      <c r="Q1488" s="25"/>
      <c r="R1488" s="25"/>
      <c r="S1488" s="36" t="str">
        <f aca="false">IF(A1488="","",YEAR(A1488)+IF(AND(FYStart&gt;1,MONTH(A1488)&gt;=FYStart),1,0))</f>
        <v/>
      </c>
      <c r="T1488" s="36" t="str">
        <f aca="false">IF(A1488="","",MOD(MONTH(A1488)-FYStart,12)+1)</f>
        <v/>
      </c>
      <c r="U1488" s="37" t="str">
        <f aca="false">IF(A1488="","",TEXT(A1488,"mmm"))</f>
        <v/>
      </c>
      <c r="V1488" s="37" t="str">
        <f aca="false">IF(Q1488="","",IFERROR(INDEX(Settings!$I$11:$I$15,MATCH(Q1488,Settings!$H$11:$H$15,0)),"No"))</f>
        <v/>
      </c>
      <c r="W1488" s="37" t="str">
        <f aca="false">IF(Q1488="","",IFERROR(INDEX(Settings!$J$11:$J$15,MATCH(Q1488,Settings!$H$11:$H$15,0)),"No"))</f>
        <v/>
      </c>
    </row>
    <row r="1489" customFormat="false" ht="15" hidden="false" customHeight="false" outlineLevel="0" collapsed="false">
      <c r="A1489" s="30"/>
      <c r="B1489" s="25"/>
      <c r="C1489" s="25"/>
      <c r="D1489" s="25"/>
      <c r="E1489" s="25"/>
      <c r="F1489" s="25"/>
      <c r="G1489" s="25"/>
      <c r="H1489" s="31"/>
      <c r="I1489" s="32"/>
      <c r="J1489" s="33"/>
      <c r="K1489" s="34" t="str">
        <f aca="false">IF(OR(H1489="",I1489=""),"",H1489*I1489*(1-N(J1489)))</f>
        <v/>
      </c>
      <c r="L1489" s="32"/>
      <c r="M1489" s="34" t="str">
        <f aca="false">IF(OR(H1489="",L1489=""),"",H1489*L1489)</f>
        <v/>
      </c>
      <c r="N1489" s="34" t="str">
        <f aca="false">IF(OR(K1489="",M1489=""),"",K1489-M1489)</f>
        <v/>
      </c>
      <c r="O1489" s="35" t="str">
        <f aca="false">IF(OR(N1489="",K1489=""),"",IF(K1489=0,"",N1489/K1489))</f>
        <v/>
      </c>
      <c r="P1489" s="25"/>
      <c r="Q1489" s="25"/>
      <c r="R1489" s="25"/>
      <c r="S1489" s="36" t="str">
        <f aca="false">IF(A1489="","",YEAR(A1489)+IF(AND(FYStart&gt;1,MONTH(A1489)&gt;=FYStart),1,0))</f>
        <v/>
      </c>
      <c r="T1489" s="36" t="str">
        <f aca="false">IF(A1489="","",MOD(MONTH(A1489)-FYStart,12)+1)</f>
        <v/>
      </c>
      <c r="U1489" s="37" t="str">
        <f aca="false">IF(A1489="","",TEXT(A1489,"mmm"))</f>
        <v/>
      </c>
      <c r="V1489" s="37" t="str">
        <f aca="false">IF(Q1489="","",IFERROR(INDEX(Settings!$I$11:$I$15,MATCH(Q1489,Settings!$H$11:$H$15,0)),"No"))</f>
        <v/>
      </c>
      <c r="W1489" s="37" t="str">
        <f aca="false">IF(Q1489="","",IFERROR(INDEX(Settings!$J$11:$J$15,MATCH(Q1489,Settings!$H$11:$H$15,0)),"No"))</f>
        <v/>
      </c>
    </row>
    <row r="1490" customFormat="false" ht="15" hidden="false" customHeight="false" outlineLevel="0" collapsed="false">
      <c r="A1490" s="30"/>
      <c r="B1490" s="25"/>
      <c r="C1490" s="25"/>
      <c r="D1490" s="25"/>
      <c r="E1490" s="25"/>
      <c r="F1490" s="25"/>
      <c r="G1490" s="25"/>
      <c r="H1490" s="31"/>
      <c r="I1490" s="32"/>
      <c r="J1490" s="33"/>
      <c r="K1490" s="34" t="str">
        <f aca="false">IF(OR(H1490="",I1490=""),"",H1490*I1490*(1-N(J1490)))</f>
        <v/>
      </c>
      <c r="L1490" s="32"/>
      <c r="M1490" s="34" t="str">
        <f aca="false">IF(OR(H1490="",L1490=""),"",H1490*L1490)</f>
        <v/>
      </c>
      <c r="N1490" s="34" t="str">
        <f aca="false">IF(OR(K1490="",M1490=""),"",K1490-M1490)</f>
        <v/>
      </c>
      <c r="O1490" s="35" t="str">
        <f aca="false">IF(OR(N1490="",K1490=""),"",IF(K1490=0,"",N1490/K1490))</f>
        <v/>
      </c>
      <c r="P1490" s="25"/>
      <c r="Q1490" s="25"/>
      <c r="R1490" s="25"/>
      <c r="S1490" s="36" t="str">
        <f aca="false">IF(A1490="","",YEAR(A1490)+IF(AND(FYStart&gt;1,MONTH(A1490)&gt;=FYStart),1,0))</f>
        <v/>
      </c>
      <c r="T1490" s="36" t="str">
        <f aca="false">IF(A1490="","",MOD(MONTH(A1490)-FYStart,12)+1)</f>
        <v/>
      </c>
      <c r="U1490" s="37" t="str">
        <f aca="false">IF(A1490="","",TEXT(A1490,"mmm"))</f>
        <v/>
      </c>
      <c r="V1490" s="37" t="str">
        <f aca="false">IF(Q1490="","",IFERROR(INDEX(Settings!$I$11:$I$15,MATCH(Q1490,Settings!$H$11:$H$15,0)),"No"))</f>
        <v/>
      </c>
      <c r="W1490" s="37" t="str">
        <f aca="false">IF(Q1490="","",IFERROR(INDEX(Settings!$J$11:$J$15,MATCH(Q1490,Settings!$H$11:$H$15,0)),"No"))</f>
        <v/>
      </c>
    </row>
    <row r="1491" customFormat="false" ht="15" hidden="false" customHeight="false" outlineLevel="0" collapsed="false">
      <c r="A1491" s="30"/>
      <c r="B1491" s="25"/>
      <c r="C1491" s="25"/>
      <c r="D1491" s="25"/>
      <c r="E1491" s="25"/>
      <c r="F1491" s="25"/>
      <c r="G1491" s="25"/>
      <c r="H1491" s="31"/>
      <c r="I1491" s="32"/>
      <c r="J1491" s="33"/>
      <c r="K1491" s="34" t="str">
        <f aca="false">IF(OR(H1491="",I1491=""),"",H1491*I1491*(1-N(J1491)))</f>
        <v/>
      </c>
      <c r="L1491" s="32"/>
      <c r="M1491" s="34" t="str">
        <f aca="false">IF(OR(H1491="",L1491=""),"",H1491*L1491)</f>
        <v/>
      </c>
      <c r="N1491" s="34" t="str">
        <f aca="false">IF(OR(K1491="",M1491=""),"",K1491-M1491)</f>
        <v/>
      </c>
      <c r="O1491" s="35" t="str">
        <f aca="false">IF(OR(N1491="",K1491=""),"",IF(K1491=0,"",N1491/K1491))</f>
        <v/>
      </c>
      <c r="P1491" s="25"/>
      <c r="Q1491" s="25"/>
      <c r="R1491" s="25"/>
      <c r="S1491" s="36" t="str">
        <f aca="false">IF(A1491="","",YEAR(A1491)+IF(AND(FYStart&gt;1,MONTH(A1491)&gt;=FYStart),1,0))</f>
        <v/>
      </c>
      <c r="T1491" s="36" t="str">
        <f aca="false">IF(A1491="","",MOD(MONTH(A1491)-FYStart,12)+1)</f>
        <v/>
      </c>
      <c r="U1491" s="37" t="str">
        <f aca="false">IF(A1491="","",TEXT(A1491,"mmm"))</f>
        <v/>
      </c>
      <c r="V1491" s="37" t="str">
        <f aca="false">IF(Q1491="","",IFERROR(INDEX(Settings!$I$11:$I$15,MATCH(Q1491,Settings!$H$11:$H$15,0)),"No"))</f>
        <v/>
      </c>
      <c r="W1491" s="37" t="str">
        <f aca="false">IF(Q1491="","",IFERROR(INDEX(Settings!$J$11:$J$15,MATCH(Q1491,Settings!$H$11:$H$15,0)),"No"))</f>
        <v/>
      </c>
    </row>
    <row r="1492" customFormat="false" ht="15" hidden="false" customHeight="false" outlineLevel="0" collapsed="false">
      <c r="A1492" s="30"/>
      <c r="B1492" s="25"/>
      <c r="C1492" s="25"/>
      <c r="D1492" s="25"/>
      <c r="E1492" s="25"/>
      <c r="F1492" s="25"/>
      <c r="G1492" s="25"/>
      <c r="H1492" s="31"/>
      <c r="I1492" s="32"/>
      <c r="J1492" s="33"/>
      <c r="K1492" s="34" t="str">
        <f aca="false">IF(OR(H1492="",I1492=""),"",H1492*I1492*(1-N(J1492)))</f>
        <v/>
      </c>
      <c r="L1492" s="32"/>
      <c r="M1492" s="34" t="str">
        <f aca="false">IF(OR(H1492="",L1492=""),"",H1492*L1492)</f>
        <v/>
      </c>
      <c r="N1492" s="34" t="str">
        <f aca="false">IF(OR(K1492="",M1492=""),"",K1492-M1492)</f>
        <v/>
      </c>
      <c r="O1492" s="35" t="str">
        <f aca="false">IF(OR(N1492="",K1492=""),"",IF(K1492=0,"",N1492/K1492))</f>
        <v/>
      </c>
      <c r="P1492" s="25"/>
      <c r="Q1492" s="25"/>
      <c r="R1492" s="25"/>
      <c r="S1492" s="36" t="str">
        <f aca="false">IF(A1492="","",YEAR(A1492)+IF(AND(FYStart&gt;1,MONTH(A1492)&gt;=FYStart),1,0))</f>
        <v/>
      </c>
      <c r="T1492" s="36" t="str">
        <f aca="false">IF(A1492="","",MOD(MONTH(A1492)-FYStart,12)+1)</f>
        <v/>
      </c>
      <c r="U1492" s="37" t="str">
        <f aca="false">IF(A1492="","",TEXT(A1492,"mmm"))</f>
        <v/>
      </c>
      <c r="V1492" s="37" t="str">
        <f aca="false">IF(Q1492="","",IFERROR(INDEX(Settings!$I$11:$I$15,MATCH(Q1492,Settings!$H$11:$H$15,0)),"No"))</f>
        <v/>
      </c>
      <c r="W1492" s="37" t="str">
        <f aca="false">IF(Q1492="","",IFERROR(INDEX(Settings!$J$11:$J$15,MATCH(Q1492,Settings!$H$11:$H$15,0)),"No"))</f>
        <v/>
      </c>
    </row>
    <row r="1493" customFormat="false" ht="15" hidden="false" customHeight="false" outlineLevel="0" collapsed="false">
      <c r="A1493" s="30"/>
      <c r="B1493" s="25"/>
      <c r="C1493" s="25"/>
      <c r="D1493" s="25"/>
      <c r="E1493" s="25"/>
      <c r="F1493" s="25"/>
      <c r="G1493" s="25"/>
      <c r="H1493" s="31"/>
      <c r="I1493" s="32"/>
      <c r="J1493" s="33"/>
      <c r="K1493" s="34" t="str">
        <f aca="false">IF(OR(H1493="",I1493=""),"",H1493*I1493*(1-N(J1493)))</f>
        <v/>
      </c>
      <c r="L1493" s="32"/>
      <c r="M1493" s="34" t="str">
        <f aca="false">IF(OR(H1493="",L1493=""),"",H1493*L1493)</f>
        <v/>
      </c>
      <c r="N1493" s="34" t="str">
        <f aca="false">IF(OR(K1493="",M1493=""),"",K1493-M1493)</f>
        <v/>
      </c>
      <c r="O1493" s="35" t="str">
        <f aca="false">IF(OR(N1493="",K1493=""),"",IF(K1493=0,"",N1493/K1493))</f>
        <v/>
      </c>
      <c r="P1493" s="25"/>
      <c r="Q1493" s="25"/>
      <c r="R1493" s="25"/>
      <c r="S1493" s="36" t="str">
        <f aca="false">IF(A1493="","",YEAR(A1493)+IF(AND(FYStart&gt;1,MONTH(A1493)&gt;=FYStart),1,0))</f>
        <v/>
      </c>
      <c r="T1493" s="36" t="str">
        <f aca="false">IF(A1493="","",MOD(MONTH(A1493)-FYStart,12)+1)</f>
        <v/>
      </c>
      <c r="U1493" s="37" t="str">
        <f aca="false">IF(A1493="","",TEXT(A1493,"mmm"))</f>
        <v/>
      </c>
      <c r="V1493" s="37" t="str">
        <f aca="false">IF(Q1493="","",IFERROR(INDEX(Settings!$I$11:$I$15,MATCH(Q1493,Settings!$H$11:$H$15,0)),"No"))</f>
        <v/>
      </c>
      <c r="W1493" s="37" t="str">
        <f aca="false">IF(Q1493="","",IFERROR(INDEX(Settings!$J$11:$J$15,MATCH(Q1493,Settings!$H$11:$H$15,0)),"No"))</f>
        <v/>
      </c>
    </row>
    <row r="1494" customFormat="false" ht="15" hidden="false" customHeight="false" outlineLevel="0" collapsed="false">
      <c r="A1494" s="30"/>
      <c r="B1494" s="25"/>
      <c r="C1494" s="25"/>
      <c r="D1494" s="25"/>
      <c r="E1494" s="25"/>
      <c r="F1494" s="25"/>
      <c r="G1494" s="25"/>
      <c r="H1494" s="31"/>
      <c r="I1494" s="32"/>
      <c r="J1494" s="33"/>
      <c r="K1494" s="34" t="str">
        <f aca="false">IF(OR(H1494="",I1494=""),"",H1494*I1494*(1-N(J1494)))</f>
        <v/>
      </c>
      <c r="L1494" s="32"/>
      <c r="M1494" s="34" t="str">
        <f aca="false">IF(OR(H1494="",L1494=""),"",H1494*L1494)</f>
        <v/>
      </c>
      <c r="N1494" s="34" t="str">
        <f aca="false">IF(OR(K1494="",M1494=""),"",K1494-M1494)</f>
        <v/>
      </c>
      <c r="O1494" s="35" t="str">
        <f aca="false">IF(OR(N1494="",K1494=""),"",IF(K1494=0,"",N1494/K1494))</f>
        <v/>
      </c>
      <c r="P1494" s="25"/>
      <c r="Q1494" s="25"/>
      <c r="R1494" s="25"/>
      <c r="S1494" s="36" t="str">
        <f aca="false">IF(A1494="","",YEAR(A1494)+IF(AND(FYStart&gt;1,MONTH(A1494)&gt;=FYStart),1,0))</f>
        <v/>
      </c>
      <c r="T1494" s="36" t="str">
        <f aca="false">IF(A1494="","",MOD(MONTH(A1494)-FYStart,12)+1)</f>
        <v/>
      </c>
      <c r="U1494" s="37" t="str">
        <f aca="false">IF(A1494="","",TEXT(A1494,"mmm"))</f>
        <v/>
      </c>
      <c r="V1494" s="37" t="str">
        <f aca="false">IF(Q1494="","",IFERROR(INDEX(Settings!$I$11:$I$15,MATCH(Q1494,Settings!$H$11:$H$15,0)),"No"))</f>
        <v/>
      </c>
      <c r="W1494" s="37" t="str">
        <f aca="false">IF(Q1494="","",IFERROR(INDEX(Settings!$J$11:$J$15,MATCH(Q1494,Settings!$H$11:$H$15,0)),"No"))</f>
        <v/>
      </c>
    </row>
    <row r="1495" customFormat="false" ht="15" hidden="false" customHeight="false" outlineLevel="0" collapsed="false">
      <c r="A1495" s="30"/>
      <c r="B1495" s="25"/>
      <c r="C1495" s="25"/>
      <c r="D1495" s="25"/>
      <c r="E1495" s="25"/>
      <c r="F1495" s="25"/>
      <c r="G1495" s="25"/>
      <c r="H1495" s="31"/>
      <c r="I1495" s="32"/>
      <c r="J1495" s="33"/>
      <c r="K1495" s="34" t="str">
        <f aca="false">IF(OR(H1495="",I1495=""),"",H1495*I1495*(1-N(J1495)))</f>
        <v/>
      </c>
      <c r="L1495" s="32"/>
      <c r="M1495" s="34" t="str">
        <f aca="false">IF(OR(H1495="",L1495=""),"",H1495*L1495)</f>
        <v/>
      </c>
      <c r="N1495" s="34" t="str">
        <f aca="false">IF(OR(K1495="",M1495=""),"",K1495-M1495)</f>
        <v/>
      </c>
      <c r="O1495" s="35" t="str">
        <f aca="false">IF(OR(N1495="",K1495=""),"",IF(K1495=0,"",N1495/K1495))</f>
        <v/>
      </c>
      <c r="P1495" s="25"/>
      <c r="Q1495" s="25"/>
      <c r="R1495" s="25"/>
      <c r="S1495" s="36" t="str">
        <f aca="false">IF(A1495="","",YEAR(A1495)+IF(AND(FYStart&gt;1,MONTH(A1495)&gt;=FYStart),1,0))</f>
        <v/>
      </c>
      <c r="T1495" s="36" t="str">
        <f aca="false">IF(A1495="","",MOD(MONTH(A1495)-FYStart,12)+1)</f>
        <v/>
      </c>
      <c r="U1495" s="37" t="str">
        <f aca="false">IF(A1495="","",TEXT(A1495,"mmm"))</f>
        <v/>
      </c>
      <c r="V1495" s="37" t="str">
        <f aca="false">IF(Q1495="","",IFERROR(INDEX(Settings!$I$11:$I$15,MATCH(Q1495,Settings!$H$11:$H$15,0)),"No"))</f>
        <v/>
      </c>
      <c r="W1495" s="37" t="str">
        <f aca="false">IF(Q1495="","",IFERROR(INDEX(Settings!$J$11:$J$15,MATCH(Q1495,Settings!$H$11:$H$15,0)),"No"))</f>
        <v/>
      </c>
    </row>
    <row r="1496" customFormat="false" ht="15" hidden="false" customHeight="false" outlineLevel="0" collapsed="false">
      <c r="A1496" s="30"/>
      <c r="B1496" s="25"/>
      <c r="C1496" s="25"/>
      <c r="D1496" s="25"/>
      <c r="E1496" s="25"/>
      <c r="F1496" s="25"/>
      <c r="G1496" s="25"/>
      <c r="H1496" s="31"/>
      <c r="I1496" s="32"/>
      <c r="J1496" s="33"/>
      <c r="K1496" s="34" t="str">
        <f aca="false">IF(OR(H1496="",I1496=""),"",H1496*I1496*(1-N(J1496)))</f>
        <v/>
      </c>
      <c r="L1496" s="32"/>
      <c r="M1496" s="34" t="str">
        <f aca="false">IF(OR(H1496="",L1496=""),"",H1496*L1496)</f>
        <v/>
      </c>
      <c r="N1496" s="34" t="str">
        <f aca="false">IF(OR(K1496="",M1496=""),"",K1496-M1496)</f>
        <v/>
      </c>
      <c r="O1496" s="35" t="str">
        <f aca="false">IF(OR(N1496="",K1496=""),"",IF(K1496=0,"",N1496/K1496))</f>
        <v/>
      </c>
      <c r="P1496" s="25"/>
      <c r="Q1496" s="25"/>
      <c r="R1496" s="25"/>
      <c r="S1496" s="36" t="str">
        <f aca="false">IF(A1496="","",YEAR(A1496)+IF(AND(FYStart&gt;1,MONTH(A1496)&gt;=FYStart),1,0))</f>
        <v/>
      </c>
      <c r="T1496" s="36" t="str">
        <f aca="false">IF(A1496="","",MOD(MONTH(A1496)-FYStart,12)+1)</f>
        <v/>
      </c>
      <c r="U1496" s="37" t="str">
        <f aca="false">IF(A1496="","",TEXT(A1496,"mmm"))</f>
        <v/>
      </c>
      <c r="V1496" s="37" t="str">
        <f aca="false">IF(Q1496="","",IFERROR(INDEX(Settings!$I$11:$I$15,MATCH(Q1496,Settings!$H$11:$H$15,0)),"No"))</f>
        <v/>
      </c>
      <c r="W1496" s="37" t="str">
        <f aca="false">IF(Q1496="","",IFERROR(INDEX(Settings!$J$11:$J$15,MATCH(Q1496,Settings!$H$11:$H$15,0)),"No"))</f>
        <v/>
      </c>
    </row>
    <row r="1497" customFormat="false" ht="15" hidden="false" customHeight="false" outlineLevel="0" collapsed="false">
      <c r="A1497" s="30"/>
      <c r="B1497" s="25"/>
      <c r="C1497" s="25"/>
      <c r="D1497" s="25"/>
      <c r="E1497" s="25"/>
      <c r="F1497" s="25"/>
      <c r="G1497" s="25"/>
      <c r="H1497" s="31"/>
      <c r="I1497" s="32"/>
      <c r="J1497" s="33"/>
      <c r="K1497" s="34" t="str">
        <f aca="false">IF(OR(H1497="",I1497=""),"",H1497*I1497*(1-N(J1497)))</f>
        <v/>
      </c>
      <c r="L1497" s="32"/>
      <c r="M1497" s="34" t="str">
        <f aca="false">IF(OR(H1497="",L1497=""),"",H1497*L1497)</f>
        <v/>
      </c>
      <c r="N1497" s="34" t="str">
        <f aca="false">IF(OR(K1497="",M1497=""),"",K1497-M1497)</f>
        <v/>
      </c>
      <c r="O1497" s="35" t="str">
        <f aca="false">IF(OR(N1497="",K1497=""),"",IF(K1497=0,"",N1497/K1497))</f>
        <v/>
      </c>
      <c r="P1497" s="25"/>
      <c r="Q1497" s="25"/>
      <c r="R1497" s="25"/>
      <c r="S1497" s="36" t="str">
        <f aca="false">IF(A1497="","",YEAR(A1497)+IF(AND(FYStart&gt;1,MONTH(A1497)&gt;=FYStart),1,0))</f>
        <v/>
      </c>
      <c r="T1497" s="36" t="str">
        <f aca="false">IF(A1497="","",MOD(MONTH(A1497)-FYStart,12)+1)</f>
        <v/>
      </c>
      <c r="U1497" s="37" t="str">
        <f aca="false">IF(A1497="","",TEXT(A1497,"mmm"))</f>
        <v/>
      </c>
      <c r="V1497" s="37" t="str">
        <f aca="false">IF(Q1497="","",IFERROR(INDEX(Settings!$I$11:$I$15,MATCH(Q1497,Settings!$H$11:$H$15,0)),"No"))</f>
        <v/>
      </c>
      <c r="W1497" s="37" t="str">
        <f aca="false">IF(Q1497="","",IFERROR(INDEX(Settings!$J$11:$J$15,MATCH(Q1497,Settings!$H$11:$H$15,0)),"No"))</f>
        <v/>
      </c>
    </row>
    <row r="1498" customFormat="false" ht="15" hidden="false" customHeight="false" outlineLevel="0" collapsed="false">
      <c r="A1498" s="30"/>
      <c r="B1498" s="25"/>
      <c r="C1498" s="25"/>
      <c r="D1498" s="25"/>
      <c r="E1498" s="25"/>
      <c r="F1498" s="25"/>
      <c r="G1498" s="25"/>
      <c r="H1498" s="31"/>
      <c r="I1498" s="32"/>
      <c r="J1498" s="33"/>
      <c r="K1498" s="34" t="str">
        <f aca="false">IF(OR(H1498="",I1498=""),"",H1498*I1498*(1-N(J1498)))</f>
        <v/>
      </c>
      <c r="L1498" s="32"/>
      <c r="M1498" s="34" t="str">
        <f aca="false">IF(OR(H1498="",L1498=""),"",H1498*L1498)</f>
        <v/>
      </c>
      <c r="N1498" s="34" t="str">
        <f aca="false">IF(OR(K1498="",M1498=""),"",K1498-M1498)</f>
        <v/>
      </c>
      <c r="O1498" s="35" t="str">
        <f aca="false">IF(OR(N1498="",K1498=""),"",IF(K1498=0,"",N1498/K1498))</f>
        <v/>
      </c>
      <c r="P1498" s="25"/>
      <c r="Q1498" s="25"/>
      <c r="R1498" s="25"/>
      <c r="S1498" s="36" t="str">
        <f aca="false">IF(A1498="","",YEAR(A1498)+IF(AND(FYStart&gt;1,MONTH(A1498)&gt;=FYStart),1,0))</f>
        <v/>
      </c>
      <c r="T1498" s="36" t="str">
        <f aca="false">IF(A1498="","",MOD(MONTH(A1498)-FYStart,12)+1)</f>
        <v/>
      </c>
      <c r="U1498" s="37" t="str">
        <f aca="false">IF(A1498="","",TEXT(A1498,"mmm"))</f>
        <v/>
      </c>
      <c r="V1498" s="37" t="str">
        <f aca="false">IF(Q1498="","",IFERROR(INDEX(Settings!$I$11:$I$15,MATCH(Q1498,Settings!$H$11:$H$15,0)),"No"))</f>
        <v/>
      </c>
      <c r="W1498" s="37" t="str">
        <f aca="false">IF(Q1498="","",IFERROR(INDEX(Settings!$J$11:$J$15,MATCH(Q1498,Settings!$H$11:$H$15,0)),"No"))</f>
        <v/>
      </c>
    </row>
    <row r="1499" customFormat="false" ht="15" hidden="false" customHeight="false" outlineLevel="0" collapsed="false">
      <c r="A1499" s="30"/>
      <c r="B1499" s="25"/>
      <c r="C1499" s="25"/>
      <c r="D1499" s="25"/>
      <c r="E1499" s="25"/>
      <c r="F1499" s="25"/>
      <c r="G1499" s="25"/>
      <c r="H1499" s="31"/>
      <c r="I1499" s="32"/>
      <c r="J1499" s="33"/>
      <c r="K1499" s="34" t="str">
        <f aca="false">IF(OR(H1499="",I1499=""),"",H1499*I1499*(1-N(J1499)))</f>
        <v/>
      </c>
      <c r="L1499" s="32"/>
      <c r="M1499" s="34" t="str">
        <f aca="false">IF(OR(H1499="",L1499=""),"",H1499*L1499)</f>
        <v/>
      </c>
      <c r="N1499" s="34" t="str">
        <f aca="false">IF(OR(K1499="",M1499=""),"",K1499-M1499)</f>
        <v/>
      </c>
      <c r="O1499" s="35" t="str">
        <f aca="false">IF(OR(N1499="",K1499=""),"",IF(K1499=0,"",N1499/K1499))</f>
        <v/>
      </c>
      <c r="P1499" s="25"/>
      <c r="Q1499" s="25"/>
      <c r="R1499" s="25"/>
      <c r="S1499" s="36" t="str">
        <f aca="false">IF(A1499="","",YEAR(A1499)+IF(AND(FYStart&gt;1,MONTH(A1499)&gt;=FYStart),1,0))</f>
        <v/>
      </c>
      <c r="T1499" s="36" t="str">
        <f aca="false">IF(A1499="","",MOD(MONTH(A1499)-FYStart,12)+1)</f>
        <v/>
      </c>
      <c r="U1499" s="37" t="str">
        <f aca="false">IF(A1499="","",TEXT(A1499,"mmm"))</f>
        <v/>
      </c>
      <c r="V1499" s="37" t="str">
        <f aca="false">IF(Q1499="","",IFERROR(INDEX(Settings!$I$11:$I$15,MATCH(Q1499,Settings!$H$11:$H$15,0)),"No"))</f>
        <v/>
      </c>
      <c r="W1499" s="37" t="str">
        <f aca="false">IF(Q1499="","",IFERROR(INDEX(Settings!$J$11:$J$15,MATCH(Q1499,Settings!$H$11:$H$15,0)),"No"))</f>
        <v/>
      </c>
    </row>
    <row r="1500" customFormat="false" ht="15" hidden="false" customHeight="false" outlineLevel="0" collapsed="false">
      <c r="A1500" s="30"/>
      <c r="B1500" s="25"/>
      <c r="C1500" s="25"/>
      <c r="D1500" s="25"/>
      <c r="E1500" s="25"/>
      <c r="F1500" s="25"/>
      <c r="G1500" s="25"/>
      <c r="H1500" s="31"/>
      <c r="I1500" s="32"/>
      <c r="J1500" s="33"/>
      <c r="K1500" s="34" t="str">
        <f aca="false">IF(OR(H1500="",I1500=""),"",H1500*I1500*(1-N(J1500)))</f>
        <v/>
      </c>
      <c r="L1500" s="32"/>
      <c r="M1500" s="34" t="str">
        <f aca="false">IF(OR(H1500="",L1500=""),"",H1500*L1500)</f>
        <v/>
      </c>
      <c r="N1500" s="34" t="str">
        <f aca="false">IF(OR(K1500="",M1500=""),"",K1500-M1500)</f>
        <v/>
      </c>
      <c r="O1500" s="35" t="str">
        <f aca="false">IF(OR(N1500="",K1500=""),"",IF(K1500=0,"",N1500/K1500))</f>
        <v/>
      </c>
      <c r="P1500" s="25"/>
      <c r="Q1500" s="25"/>
      <c r="R1500" s="25"/>
      <c r="S1500" s="36" t="str">
        <f aca="false">IF(A1500="","",YEAR(A1500)+IF(AND(FYStart&gt;1,MONTH(A1500)&gt;=FYStart),1,0))</f>
        <v/>
      </c>
      <c r="T1500" s="36" t="str">
        <f aca="false">IF(A1500="","",MOD(MONTH(A1500)-FYStart,12)+1)</f>
        <v/>
      </c>
      <c r="U1500" s="37" t="str">
        <f aca="false">IF(A1500="","",TEXT(A1500,"mmm"))</f>
        <v/>
      </c>
      <c r="V1500" s="37" t="str">
        <f aca="false">IF(Q1500="","",IFERROR(INDEX(Settings!$I$11:$I$15,MATCH(Q1500,Settings!$H$11:$H$15,0)),"No"))</f>
        <v/>
      </c>
      <c r="W1500" s="37" t="str">
        <f aca="false">IF(Q1500="","",IFERROR(INDEX(Settings!$J$11:$J$15,MATCH(Q1500,Settings!$H$11:$H$15,0)),"No"))</f>
        <v/>
      </c>
    </row>
    <row r="1501" customFormat="false" ht="15" hidden="false" customHeight="false" outlineLevel="0" collapsed="false">
      <c r="A1501" s="30"/>
      <c r="B1501" s="25"/>
      <c r="C1501" s="25"/>
      <c r="D1501" s="25"/>
      <c r="E1501" s="25"/>
      <c r="F1501" s="25"/>
      <c r="G1501" s="25"/>
      <c r="H1501" s="31"/>
      <c r="I1501" s="32"/>
      <c r="J1501" s="33"/>
      <c r="K1501" s="34" t="str">
        <f aca="false">IF(OR(H1501="",I1501=""),"",H1501*I1501*(1-N(J1501)))</f>
        <v/>
      </c>
      <c r="L1501" s="32"/>
      <c r="M1501" s="34" t="str">
        <f aca="false">IF(OR(H1501="",L1501=""),"",H1501*L1501)</f>
        <v/>
      </c>
      <c r="N1501" s="34" t="str">
        <f aca="false">IF(OR(K1501="",M1501=""),"",K1501-M1501)</f>
        <v/>
      </c>
      <c r="O1501" s="35" t="str">
        <f aca="false">IF(OR(N1501="",K1501=""),"",IF(K1501=0,"",N1501/K1501))</f>
        <v/>
      </c>
      <c r="P1501" s="25"/>
      <c r="Q1501" s="25"/>
      <c r="R1501" s="25"/>
      <c r="S1501" s="36" t="str">
        <f aca="false">IF(A1501="","",YEAR(A1501)+IF(AND(FYStart&gt;1,MONTH(A1501)&gt;=FYStart),1,0))</f>
        <v/>
      </c>
      <c r="T1501" s="36" t="str">
        <f aca="false">IF(A1501="","",MOD(MONTH(A1501)-FYStart,12)+1)</f>
        <v/>
      </c>
      <c r="U1501" s="37" t="str">
        <f aca="false">IF(A1501="","",TEXT(A1501,"mmm"))</f>
        <v/>
      </c>
      <c r="V1501" s="37" t="str">
        <f aca="false">IF(Q1501="","",IFERROR(INDEX(Settings!$I$11:$I$15,MATCH(Q1501,Settings!$H$11:$H$15,0)),"No"))</f>
        <v/>
      </c>
      <c r="W1501" s="37" t="str">
        <f aca="false">IF(Q1501="","",IFERROR(INDEX(Settings!$J$11:$J$15,MATCH(Q1501,Settings!$H$11:$H$15,0)),"No"))</f>
        <v/>
      </c>
    </row>
    <row r="1502" customFormat="false" ht="15" hidden="false" customHeight="false" outlineLevel="0" collapsed="false">
      <c r="A1502" s="30"/>
      <c r="B1502" s="25"/>
      <c r="C1502" s="25"/>
      <c r="D1502" s="25"/>
      <c r="E1502" s="25"/>
      <c r="F1502" s="25"/>
      <c r="G1502" s="25"/>
      <c r="H1502" s="31"/>
      <c r="I1502" s="32"/>
      <c r="J1502" s="33"/>
      <c r="K1502" s="34" t="str">
        <f aca="false">IF(OR(H1502="",I1502=""),"",H1502*I1502*(1-N(J1502)))</f>
        <v/>
      </c>
      <c r="L1502" s="32"/>
      <c r="M1502" s="34" t="str">
        <f aca="false">IF(OR(H1502="",L1502=""),"",H1502*L1502)</f>
        <v/>
      </c>
      <c r="N1502" s="34" t="str">
        <f aca="false">IF(OR(K1502="",M1502=""),"",K1502-M1502)</f>
        <v/>
      </c>
      <c r="O1502" s="35" t="str">
        <f aca="false">IF(OR(N1502="",K1502=""),"",IF(K1502=0,"",N1502/K1502))</f>
        <v/>
      </c>
      <c r="P1502" s="25"/>
      <c r="Q1502" s="25"/>
      <c r="R1502" s="25"/>
      <c r="S1502" s="36" t="str">
        <f aca="false">IF(A1502="","",YEAR(A1502)+IF(AND(FYStart&gt;1,MONTH(A1502)&gt;=FYStart),1,0))</f>
        <v/>
      </c>
      <c r="T1502" s="36" t="str">
        <f aca="false">IF(A1502="","",MOD(MONTH(A1502)-FYStart,12)+1)</f>
        <v/>
      </c>
      <c r="U1502" s="37" t="str">
        <f aca="false">IF(A1502="","",TEXT(A1502,"mmm"))</f>
        <v/>
      </c>
      <c r="V1502" s="37" t="str">
        <f aca="false">IF(Q1502="","",IFERROR(INDEX(Settings!$I$11:$I$15,MATCH(Q1502,Settings!$H$11:$H$15,0)),"No"))</f>
        <v/>
      </c>
      <c r="W1502" s="37" t="str">
        <f aca="false">IF(Q1502="","",IFERROR(INDEX(Settings!$J$11:$J$15,MATCH(Q1502,Settings!$H$11:$H$15,0)),"No"))</f>
        <v/>
      </c>
    </row>
    <row r="1503" customFormat="false" ht="15" hidden="false" customHeight="false" outlineLevel="0" collapsed="false">
      <c r="A1503" s="30"/>
      <c r="B1503" s="25"/>
      <c r="C1503" s="25"/>
      <c r="D1503" s="25"/>
      <c r="E1503" s="25"/>
      <c r="F1503" s="25"/>
      <c r="G1503" s="25"/>
      <c r="H1503" s="31"/>
      <c r="I1503" s="32"/>
      <c r="J1503" s="33"/>
      <c r="K1503" s="34" t="str">
        <f aca="false">IF(OR(H1503="",I1503=""),"",H1503*I1503*(1-N(J1503)))</f>
        <v/>
      </c>
      <c r="L1503" s="32"/>
      <c r="M1503" s="34" t="str">
        <f aca="false">IF(OR(H1503="",L1503=""),"",H1503*L1503)</f>
        <v/>
      </c>
      <c r="N1503" s="34" t="str">
        <f aca="false">IF(OR(K1503="",M1503=""),"",K1503-M1503)</f>
        <v/>
      </c>
      <c r="O1503" s="35" t="str">
        <f aca="false">IF(OR(N1503="",K1503=""),"",IF(K1503=0,"",N1503/K1503))</f>
        <v/>
      </c>
      <c r="P1503" s="25"/>
      <c r="Q1503" s="25"/>
      <c r="R1503" s="25"/>
      <c r="S1503" s="36" t="str">
        <f aca="false">IF(A1503="","",YEAR(A1503)+IF(AND(FYStart&gt;1,MONTH(A1503)&gt;=FYStart),1,0))</f>
        <v/>
      </c>
      <c r="T1503" s="36" t="str">
        <f aca="false">IF(A1503="","",MOD(MONTH(A1503)-FYStart,12)+1)</f>
        <v/>
      </c>
      <c r="U1503" s="37" t="str">
        <f aca="false">IF(A1503="","",TEXT(A1503,"mmm"))</f>
        <v/>
      </c>
      <c r="V1503" s="37" t="str">
        <f aca="false">IF(Q1503="","",IFERROR(INDEX(Settings!$I$11:$I$15,MATCH(Q1503,Settings!$H$11:$H$15,0)),"No"))</f>
        <v/>
      </c>
      <c r="W1503" s="37" t="str">
        <f aca="false">IF(Q1503="","",IFERROR(INDEX(Settings!$J$11:$J$15,MATCH(Q1503,Settings!$H$11:$H$15,0)),"No"))</f>
        <v/>
      </c>
    </row>
    <row r="1504" customFormat="false" ht="15" hidden="false" customHeight="false" outlineLevel="0" collapsed="false">
      <c r="A1504" s="30"/>
      <c r="B1504" s="25"/>
      <c r="C1504" s="25"/>
      <c r="D1504" s="25"/>
      <c r="E1504" s="25"/>
      <c r="F1504" s="25"/>
      <c r="G1504" s="25"/>
      <c r="H1504" s="31"/>
      <c r="I1504" s="32"/>
      <c r="J1504" s="33"/>
      <c r="K1504" s="34" t="str">
        <f aca="false">IF(OR(H1504="",I1504=""),"",H1504*I1504*(1-N(J1504)))</f>
        <v/>
      </c>
      <c r="L1504" s="32"/>
      <c r="M1504" s="34" t="str">
        <f aca="false">IF(OR(H1504="",L1504=""),"",H1504*L1504)</f>
        <v/>
      </c>
      <c r="N1504" s="34" t="str">
        <f aca="false">IF(OR(K1504="",M1504=""),"",K1504-M1504)</f>
        <v/>
      </c>
      <c r="O1504" s="35" t="str">
        <f aca="false">IF(OR(N1504="",K1504=""),"",IF(K1504=0,"",N1504/K1504))</f>
        <v/>
      </c>
      <c r="P1504" s="25"/>
      <c r="Q1504" s="25"/>
      <c r="R1504" s="25"/>
      <c r="S1504" s="36" t="str">
        <f aca="false">IF(A1504="","",YEAR(A1504)+IF(AND(FYStart&gt;1,MONTH(A1504)&gt;=FYStart),1,0))</f>
        <v/>
      </c>
      <c r="T1504" s="36" t="str">
        <f aca="false">IF(A1504="","",MOD(MONTH(A1504)-FYStart,12)+1)</f>
        <v/>
      </c>
      <c r="U1504" s="37" t="str">
        <f aca="false">IF(A1504="","",TEXT(A1504,"mmm"))</f>
        <v/>
      </c>
      <c r="V1504" s="37" t="str">
        <f aca="false">IF(Q1504="","",IFERROR(INDEX(Settings!$I$11:$I$15,MATCH(Q1504,Settings!$H$11:$H$15,0)),"No"))</f>
        <v/>
      </c>
      <c r="W1504" s="37" t="str">
        <f aca="false">IF(Q1504="","",IFERROR(INDEX(Settings!$J$11:$J$15,MATCH(Q1504,Settings!$H$11:$H$15,0)),"No"))</f>
        <v/>
      </c>
    </row>
    <row r="1505" customFormat="false" ht="15" hidden="false" customHeight="false" outlineLevel="0" collapsed="false">
      <c r="A1505" s="30"/>
      <c r="B1505" s="25"/>
      <c r="C1505" s="25"/>
      <c r="D1505" s="25"/>
      <c r="E1505" s="25"/>
      <c r="F1505" s="25"/>
      <c r="G1505" s="25"/>
      <c r="H1505" s="31"/>
      <c r="I1505" s="32"/>
      <c r="J1505" s="33"/>
      <c r="K1505" s="34" t="str">
        <f aca="false">IF(OR(H1505="",I1505=""),"",H1505*I1505*(1-N(J1505)))</f>
        <v/>
      </c>
      <c r="L1505" s="32"/>
      <c r="M1505" s="34" t="str">
        <f aca="false">IF(OR(H1505="",L1505=""),"",H1505*L1505)</f>
        <v/>
      </c>
      <c r="N1505" s="34" t="str">
        <f aca="false">IF(OR(K1505="",M1505=""),"",K1505-M1505)</f>
        <v/>
      </c>
      <c r="O1505" s="35" t="str">
        <f aca="false">IF(OR(N1505="",K1505=""),"",IF(K1505=0,"",N1505/K1505))</f>
        <v/>
      </c>
      <c r="P1505" s="25"/>
      <c r="Q1505" s="25"/>
      <c r="R1505" s="25"/>
      <c r="S1505" s="36" t="str">
        <f aca="false">IF(A1505="","",YEAR(A1505)+IF(AND(FYStart&gt;1,MONTH(A1505)&gt;=FYStart),1,0))</f>
        <v/>
      </c>
      <c r="T1505" s="36" t="str">
        <f aca="false">IF(A1505="","",MOD(MONTH(A1505)-FYStart,12)+1)</f>
        <v/>
      </c>
      <c r="U1505" s="37" t="str">
        <f aca="false">IF(A1505="","",TEXT(A1505,"mmm"))</f>
        <v/>
      </c>
      <c r="V1505" s="37" t="str">
        <f aca="false">IF(Q1505="","",IFERROR(INDEX(Settings!$I$11:$I$15,MATCH(Q1505,Settings!$H$11:$H$15,0)),"No"))</f>
        <v/>
      </c>
      <c r="W1505" s="37" t="str">
        <f aca="false">IF(Q1505="","",IFERROR(INDEX(Settings!$J$11:$J$15,MATCH(Q1505,Settings!$H$11:$H$15,0)),"No"))</f>
        <v/>
      </c>
    </row>
    <row r="1506" customFormat="false" ht="15" hidden="false" customHeight="false" outlineLevel="0" collapsed="false">
      <c r="A1506" s="30"/>
      <c r="B1506" s="25"/>
      <c r="C1506" s="25"/>
      <c r="D1506" s="25"/>
      <c r="E1506" s="25"/>
      <c r="F1506" s="25"/>
      <c r="G1506" s="25"/>
      <c r="H1506" s="31"/>
      <c r="I1506" s="32"/>
      <c r="J1506" s="33"/>
      <c r="K1506" s="34" t="str">
        <f aca="false">IF(OR(H1506="",I1506=""),"",H1506*I1506*(1-N(J1506)))</f>
        <v/>
      </c>
      <c r="L1506" s="32"/>
      <c r="M1506" s="34" t="str">
        <f aca="false">IF(OR(H1506="",L1506=""),"",H1506*L1506)</f>
        <v/>
      </c>
      <c r="N1506" s="34" t="str">
        <f aca="false">IF(OR(K1506="",M1506=""),"",K1506-M1506)</f>
        <v/>
      </c>
      <c r="O1506" s="35" t="str">
        <f aca="false">IF(OR(N1506="",K1506=""),"",IF(K1506=0,"",N1506/K1506))</f>
        <v/>
      </c>
      <c r="P1506" s="25"/>
      <c r="Q1506" s="25"/>
      <c r="R1506" s="25"/>
      <c r="S1506" s="36" t="str">
        <f aca="false">IF(A1506="","",YEAR(A1506)+IF(AND(FYStart&gt;1,MONTH(A1506)&gt;=FYStart),1,0))</f>
        <v/>
      </c>
      <c r="T1506" s="36" t="str">
        <f aca="false">IF(A1506="","",MOD(MONTH(A1506)-FYStart,12)+1)</f>
        <v/>
      </c>
      <c r="U1506" s="37" t="str">
        <f aca="false">IF(A1506="","",TEXT(A1506,"mmm"))</f>
        <v/>
      </c>
      <c r="V1506" s="37" t="str">
        <f aca="false">IF(Q1506="","",IFERROR(INDEX(Settings!$I$11:$I$15,MATCH(Q1506,Settings!$H$11:$H$15,0)),"No"))</f>
        <v/>
      </c>
      <c r="W1506" s="37" t="str">
        <f aca="false">IF(Q1506="","",IFERROR(INDEX(Settings!$J$11:$J$15,MATCH(Q1506,Settings!$H$11:$H$15,0)),"No"))</f>
        <v/>
      </c>
    </row>
    <row r="1507" customFormat="false" ht="15" hidden="false" customHeight="false" outlineLevel="0" collapsed="false">
      <c r="A1507" s="30"/>
      <c r="B1507" s="25"/>
      <c r="C1507" s="25"/>
      <c r="D1507" s="25"/>
      <c r="E1507" s="25"/>
      <c r="F1507" s="25"/>
      <c r="G1507" s="25"/>
      <c r="H1507" s="31"/>
      <c r="I1507" s="32"/>
      <c r="J1507" s="33"/>
      <c r="K1507" s="34" t="str">
        <f aca="false">IF(OR(H1507="",I1507=""),"",H1507*I1507*(1-N(J1507)))</f>
        <v/>
      </c>
      <c r="L1507" s="32"/>
      <c r="M1507" s="34" t="str">
        <f aca="false">IF(OR(H1507="",L1507=""),"",H1507*L1507)</f>
        <v/>
      </c>
      <c r="N1507" s="34" t="str">
        <f aca="false">IF(OR(K1507="",M1507=""),"",K1507-M1507)</f>
        <v/>
      </c>
      <c r="O1507" s="35" t="str">
        <f aca="false">IF(OR(N1507="",K1507=""),"",IF(K1507=0,"",N1507/K1507))</f>
        <v/>
      </c>
      <c r="P1507" s="25"/>
      <c r="Q1507" s="25"/>
      <c r="R1507" s="25"/>
      <c r="S1507" s="36" t="str">
        <f aca="false">IF(A1507="","",YEAR(A1507)+IF(AND(FYStart&gt;1,MONTH(A1507)&gt;=FYStart),1,0))</f>
        <v/>
      </c>
      <c r="T1507" s="36" t="str">
        <f aca="false">IF(A1507="","",MOD(MONTH(A1507)-FYStart,12)+1)</f>
        <v/>
      </c>
      <c r="U1507" s="37" t="str">
        <f aca="false">IF(A1507="","",TEXT(A1507,"mmm"))</f>
        <v/>
      </c>
      <c r="V1507" s="37" t="str">
        <f aca="false">IF(Q1507="","",IFERROR(INDEX(Settings!$I$11:$I$15,MATCH(Q1507,Settings!$H$11:$H$15,0)),"No"))</f>
        <v/>
      </c>
      <c r="W1507" s="37" t="str">
        <f aca="false">IF(Q1507="","",IFERROR(INDEX(Settings!$J$11:$J$15,MATCH(Q1507,Settings!$H$11:$H$15,0)),"No"))</f>
        <v/>
      </c>
    </row>
    <row r="1508" customFormat="false" ht="15" hidden="false" customHeight="false" outlineLevel="0" collapsed="false">
      <c r="A1508" s="30"/>
      <c r="B1508" s="25"/>
      <c r="C1508" s="25"/>
      <c r="D1508" s="25"/>
      <c r="E1508" s="25"/>
      <c r="F1508" s="25"/>
      <c r="G1508" s="25"/>
      <c r="H1508" s="31"/>
      <c r="I1508" s="32"/>
      <c r="J1508" s="33"/>
      <c r="K1508" s="34" t="str">
        <f aca="false">IF(OR(H1508="",I1508=""),"",H1508*I1508*(1-N(J1508)))</f>
        <v/>
      </c>
      <c r="L1508" s="32"/>
      <c r="M1508" s="34" t="str">
        <f aca="false">IF(OR(H1508="",L1508=""),"",H1508*L1508)</f>
        <v/>
      </c>
      <c r="N1508" s="34" t="str">
        <f aca="false">IF(OR(K1508="",M1508=""),"",K1508-M1508)</f>
        <v/>
      </c>
      <c r="O1508" s="35" t="str">
        <f aca="false">IF(OR(N1508="",K1508=""),"",IF(K1508=0,"",N1508/K1508))</f>
        <v/>
      </c>
      <c r="P1508" s="25"/>
      <c r="Q1508" s="25"/>
      <c r="R1508" s="25"/>
      <c r="S1508" s="36" t="str">
        <f aca="false">IF(A1508="","",YEAR(A1508)+IF(AND(FYStart&gt;1,MONTH(A1508)&gt;=FYStart),1,0))</f>
        <v/>
      </c>
      <c r="T1508" s="36" t="str">
        <f aca="false">IF(A1508="","",MOD(MONTH(A1508)-FYStart,12)+1)</f>
        <v/>
      </c>
      <c r="U1508" s="37" t="str">
        <f aca="false">IF(A1508="","",TEXT(A1508,"mmm"))</f>
        <v/>
      </c>
      <c r="V1508" s="37" t="str">
        <f aca="false">IF(Q1508="","",IFERROR(INDEX(Settings!$I$11:$I$15,MATCH(Q1508,Settings!$H$11:$H$15,0)),"No"))</f>
        <v/>
      </c>
      <c r="W1508" s="37" t="str">
        <f aca="false">IF(Q1508="","",IFERROR(INDEX(Settings!$J$11:$J$15,MATCH(Q1508,Settings!$H$11:$H$15,0)),"No"))</f>
        <v/>
      </c>
    </row>
    <row r="1509" customFormat="false" ht="15" hidden="false" customHeight="false" outlineLevel="0" collapsed="false">
      <c r="A1509" s="30"/>
      <c r="B1509" s="25"/>
      <c r="C1509" s="25"/>
      <c r="D1509" s="25"/>
      <c r="E1509" s="25"/>
      <c r="F1509" s="25"/>
      <c r="G1509" s="25"/>
      <c r="H1509" s="31"/>
      <c r="I1509" s="32"/>
      <c r="J1509" s="33"/>
      <c r="K1509" s="34" t="str">
        <f aca="false">IF(OR(H1509="",I1509=""),"",H1509*I1509*(1-N(J1509)))</f>
        <v/>
      </c>
      <c r="L1509" s="32"/>
      <c r="M1509" s="34" t="str">
        <f aca="false">IF(OR(H1509="",L1509=""),"",H1509*L1509)</f>
        <v/>
      </c>
      <c r="N1509" s="34" t="str">
        <f aca="false">IF(OR(K1509="",M1509=""),"",K1509-M1509)</f>
        <v/>
      </c>
      <c r="O1509" s="35" t="str">
        <f aca="false">IF(OR(N1509="",K1509=""),"",IF(K1509=0,"",N1509/K1509))</f>
        <v/>
      </c>
      <c r="P1509" s="25"/>
      <c r="Q1509" s="25"/>
      <c r="R1509" s="25"/>
      <c r="S1509" s="36" t="str">
        <f aca="false">IF(A1509="","",YEAR(A1509)+IF(AND(FYStart&gt;1,MONTH(A1509)&gt;=FYStart),1,0))</f>
        <v/>
      </c>
      <c r="T1509" s="36" t="str">
        <f aca="false">IF(A1509="","",MOD(MONTH(A1509)-FYStart,12)+1)</f>
        <v/>
      </c>
      <c r="U1509" s="37" t="str">
        <f aca="false">IF(A1509="","",TEXT(A1509,"mmm"))</f>
        <v/>
      </c>
      <c r="V1509" s="37" t="str">
        <f aca="false">IF(Q1509="","",IFERROR(INDEX(Settings!$I$11:$I$15,MATCH(Q1509,Settings!$H$11:$H$15,0)),"No"))</f>
        <v/>
      </c>
      <c r="W1509" s="37" t="str">
        <f aca="false">IF(Q1509="","",IFERROR(INDEX(Settings!$J$11:$J$15,MATCH(Q1509,Settings!$H$11:$H$15,0)),"No"))</f>
        <v/>
      </c>
    </row>
    <row r="1510" customFormat="false" ht="15" hidden="false" customHeight="false" outlineLevel="0" collapsed="false">
      <c r="A1510" s="30"/>
      <c r="B1510" s="25"/>
      <c r="C1510" s="25"/>
      <c r="D1510" s="25"/>
      <c r="E1510" s="25"/>
      <c r="F1510" s="25"/>
      <c r="G1510" s="25"/>
      <c r="H1510" s="31"/>
      <c r="I1510" s="32"/>
      <c r="J1510" s="33"/>
      <c r="K1510" s="34" t="str">
        <f aca="false">IF(OR(H1510="",I1510=""),"",H1510*I1510*(1-N(J1510)))</f>
        <v/>
      </c>
      <c r="L1510" s="32"/>
      <c r="M1510" s="34" t="str">
        <f aca="false">IF(OR(H1510="",L1510=""),"",H1510*L1510)</f>
        <v/>
      </c>
      <c r="N1510" s="34" t="str">
        <f aca="false">IF(OR(K1510="",M1510=""),"",K1510-M1510)</f>
        <v/>
      </c>
      <c r="O1510" s="35" t="str">
        <f aca="false">IF(OR(N1510="",K1510=""),"",IF(K1510=0,"",N1510/K1510))</f>
        <v/>
      </c>
      <c r="P1510" s="25"/>
      <c r="Q1510" s="25"/>
      <c r="R1510" s="25"/>
      <c r="S1510" s="36" t="str">
        <f aca="false">IF(A1510="","",YEAR(A1510)+IF(AND(FYStart&gt;1,MONTH(A1510)&gt;=FYStart),1,0))</f>
        <v/>
      </c>
      <c r="T1510" s="36" t="str">
        <f aca="false">IF(A1510="","",MOD(MONTH(A1510)-FYStart,12)+1)</f>
        <v/>
      </c>
      <c r="U1510" s="37" t="str">
        <f aca="false">IF(A1510="","",TEXT(A1510,"mmm"))</f>
        <v/>
      </c>
      <c r="V1510" s="37" t="str">
        <f aca="false">IF(Q1510="","",IFERROR(INDEX(Settings!$I$11:$I$15,MATCH(Q1510,Settings!$H$11:$H$15,0)),"No"))</f>
        <v/>
      </c>
      <c r="W1510" s="37" t="str">
        <f aca="false">IF(Q1510="","",IFERROR(INDEX(Settings!$J$11:$J$15,MATCH(Q1510,Settings!$H$11:$H$15,0)),"No"))</f>
        <v/>
      </c>
    </row>
    <row r="1511" customFormat="false" ht="15" hidden="false" customHeight="false" outlineLevel="0" collapsed="false">
      <c r="A1511" s="30"/>
      <c r="B1511" s="25"/>
      <c r="C1511" s="25"/>
      <c r="D1511" s="25"/>
      <c r="E1511" s="25"/>
      <c r="F1511" s="25"/>
      <c r="G1511" s="25"/>
      <c r="H1511" s="31"/>
      <c r="I1511" s="32"/>
      <c r="J1511" s="33"/>
      <c r="K1511" s="34" t="str">
        <f aca="false">IF(OR(H1511="",I1511=""),"",H1511*I1511*(1-N(J1511)))</f>
        <v/>
      </c>
      <c r="L1511" s="32"/>
      <c r="M1511" s="34" t="str">
        <f aca="false">IF(OR(H1511="",L1511=""),"",H1511*L1511)</f>
        <v/>
      </c>
      <c r="N1511" s="34" t="str">
        <f aca="false">IF(OR(K1511="",M1511=""),"",K1511-M1511)</f>
        <v/>
      </c>
      <c r="O1511" s="35" t="str">
        <f aca="false">IF(OR(N1511="",K1511=""),"",IF(K1511=0,"",N1511/K1511))</f>
        <v/>
      </c>
      <c r="P1511" s="25"/>
      <c r="Q1511" s="25"/>
      <c r="R1511" s="25"/>
      <c r="S1511" s="36" t="str">
        <f aca="false">IF(A1511="","",YEAR(A1511)+IF(AND(FYStart&gt;1,MONTH(A1511)&gt;=FYStart),1,0))</f>
        <v/>
      </c>
      <c r="T1511" s="36" t="str">
        <f aca="false">IF(A1511="","",MOD(MONTH(A1511)-FYStart,12)+1)</f>
        <v/>
      </c>
      <c r="U1511" s="37" t="str">
        <f aca="false">IF(A1511="","",TEXT(A1511,"mmm"))</f>
        <v/>
      </c>
      <c r="V1511" s="37" t="str">
        <f aca="false">IF(Q1511="","",IFERROR(INDEX(Settings!$I$11:$I$15,MATCH(Q1511,Settings!$H$11:$H$15,0)),"No"))</f>
        <v/>
      </c>
      <c r="W1511" s="37" t="str">
        <f aca="false">IF(Q1511="","",IFERROR(INDEX(Settings!$J$11:$J$15,MATCH(Q1511,Settings!$H$11:$H$15,0)),"No"))</f>
        <v/>
      </c>
    </row>
    <row r="1512" customFormat="false" ht="15" hidden="false" customHeight="false" outlineLevel="0" collapsed="false">
      <c r="A1512" s="30"/>
      <c r="B1512" s="25"/>
      <c r="C1512" s="25"/>
      <c r="D1512" s="25"/>
      <c r="E1512" s="25"/>
      <c r="F1512" s="25"/>
      <c r="G1512" s="25"/>
      <c r="H1512" s="31"/>
      <c r="I1512" s="32"/>
      <c r="J1512" s="33"/>
      <c r="K1512" s="34" t="str">
        <f aca="false">IF(OR(H1512="",I1512=""),"",H1512*I1512*(1-N(J1512)))</f>
        <v/>
      </c>
      <c r="L1512" s="32"/>
      <c r="M1512" s="34" t="str">
        <f aca="false">IF(OR(H1512="",L1512=""),"",H1512*L1512)</f>
        <v/>
      </c>
      <c r="N1512" s="34" t="str">
        <f aca="false">IF(OR(K1512="",M1512=""),"",K1512-M1512)</f>
        <v/>
      </c>
      <c r="O1512" s="35" t="str">
        <f aca="false">IF(OR(N1512="",K1512=""),"",IF(K1512=0,"",N1512/K1512))</f>
        <v/>
      </c>
      <c r="P1512" s="25"/>
      <c r="Q1512" s="25"/>
      <c r="R1512" s="25"/>
      <c r="S1512" s="36" t="str">
        <f aca="false">IF(A1512="","",YEAR(A1512)+IF(AND(FYStart&gt;1,MONTH(A1512)&gt;=FYStart),1,0))</f>
        <v/>
      </c>
      <c r="T1512" s="36" t="str">
        <f aca="false">IF(A1512="","",MOD(MONTH(A1512)-FYStart,12)+1)</f>
        <v/>
      </c>
      <c r="U1512" s="37" t="str">
        <f aca="false">IF(A1512="","",TEXT(A1512,"mmm"))</f>
        <v/>
      </c>
      <c r="V1512" s="37" t="str">
        <f aca="false">IF(Q1512="","",IFERROR(INDEX(Settings!$I$11:$I$15,MATCH(Q1512,Settings!$H$11:$H$15,0)),"No"))</f>
        <v/>
      </c>
      <c r="W1512" s="37" t="str">
        <f aca="false">IF(Q1512="","",IFERROR(INDEX(Settings!$J$11:$J$15,MATCH(Q1512,Settings!$H$11:$H$15,0)),"No"))</f>
        <v/>
      </c>
    </row>
    <row r="1513" customFormat="false" ht="15" hidden="false" customHeight="false" outlineLevel="0" collapsed="false">
      <c r="A1513" s="30"/>
      <c r="B1513" s="25"/>
      <c r="C1513" s="25"/>
      <c r="D1513" s="25"/>
      <c r="E1513" s="25"/>
      <c r="F1513" s="25"/>
      <c r="G1513" s="25"/>
      <c r="H1513" s="31"/>
      <c r="I1513" s="32"/>
      <c r="J1513" s="33"/>
      <c r="K1513" s="34" t="str">
        <f aca="false">IF(OR(H1513="",I1513=""),"",H1513*I1513*(1-N(J1513)))</f>
        <v/>
      </c>
      <c r="L1513" s="32"/>
      <c r="M1513" s="34" t="str">
        <f aca="false">IF(OR(H1513="",L1513=""),"",H1513*L1513)</f>
        <v/>
      </c>
      <c r="N1513" s="34" t="str">
        <f aca="false">IF(OR(K1513="",M1513=""),"",K1513-M1513)</f>
        <v/>
      </c>
      <c r="O1513" s="35" t="str">
        <f aca="false">IF(OR(N1513="",K1513=""),"",IF(K1513=0,"",N1513/K1513))</f>
        <v/>
      </c>
      <c r="P1513" s="25"/>
      <c r="Q1513" s="25"/>
      <c r="R1513" s="25"/>
      <c r="S1513" s="36" t="str">
        <f aca="false">IF(A1513="","",YEAR(A1513)+IF(AND(FYStart&gt;1,MONTH(A1513)&gt;=FYStart),1,0))</f>
        <v/>
      </c>
      <c r="T1513" s="36" t="str">
        <f aca="false">IF(A1513="","",MOD(MONTH(A1513)-FYStart,12)+1)</f>
        <v/>
      </c>
      <c r="U1513" s="37" t="str">
        <f aca="false">IF(A1513="","",TEXT(A1513,"mmm"))</f>
        <v/>
      </c>
      <c r="V1513" s="37" t="str">
        <f aca="false">IF(Q1513="","",IFERROR(INDEX(Settings!$I$11:$I$15,MATCH(Q1513,Settings!$H$11:$H$15,0)),"No"))</f>
        <v/>
      </c>
      <c r="W1513" s="37" t="str">
        <f aca="false">IF(Q1513="","",IFERROR(INDEX(Settings!$J$11:$J$15,MATCH(Q1513,Settings!$H$11:$H$15,0)),"No"))</f>
        <v/>
      </c>
    </row>
    <row r="1514" customFormat="false" ht="15" hidden="false" customHeight="false" outlineLevel="0" collapsed="false">
      <c r="A1514" s="30"/>
      <c r="B1514" s="25"/>
      <c r="C1514" s="25"/>
      <c r="D1514" s="25"/>
      <c r="E1514" s="25"/>
      <c r="F1514" s="25"/>
      <c r="G1514" s="25"/>
      <c r="H1514" s="31"/>
      <c r="I1514" s="32"/>
      <c r="J1514" s="33"/>
      <c r="K1514" s="34" t="str">
        <f aca="false">IF(OR(H1514="",I1514=""),"",H1514*I1514*(1-N(J1514)))</f>
        <v/>
      </c>
      <c r="L1514" s="32"/>
      <c r="M1514" s="34" t="str">
        <f aca="false">IF(OR(H1514="",L1514=""),"",H1514*L1514)</f>
        <v/>
      </c>
      <c r="N1514" s="34" t="str">
        <f aca="false">IF(OR(K1514="",M1514=""),"",K1514-M1514)</f>
        <v/>
      </c>
      <c r="O1514" s="35" t="str">
        <f aca="false">IF(OR(N1514="",K1514=""),"",IF(K1514=0,"",N1514/K1514))</f>
        <v/>
      </c>
      <c r="P1514" s="25"/>
      <c r="Q1514" s="25"/>
      <c r="R1514" s="25"/>
      <c r="S1514" s="36" t="str">
        <f aca="false">IF(A1514="","",YEAR(A1514)+IF(AND(FYStart&gt;1,MONTH(A1514)&gt;=FYStart),1,0))</f>
        <v/>
      </c>
      <c r="T1514" s="36" t="str">
        <f aca="false">IF(A1514="","",MOD(MONTH(A1514)-FYStart,12)+1)</f>
        <v/>
      </c>
      <c r="U1514" s="37" t="str">
        <f aca="false">IF(A1514="","",TEXT(A1514,"mmm"))</f>
        <v/>
      </c>
      <c r="V1514" s="37" t="str">
        <f aca="false">IF(Q1514="","",IFERROR(INDEX(Settings!$I$11:$I$15,MATCH(Q1514,Settings!$H$11:$H$15,0)),"No"))</f>
        <v/>
      </c>
      <c r="W1514" s="37" t="str">
        <f aca="false">IF(Q1514="","",IFERROR(INDEX(Settings!$J$11:$J$15,MATCH(Q1514,Settings!$H$11:$H$15,0)),"No"))</f>
        <v/>
      </c>
    </row>
    <row r="1515" customFormat="false" ht="15" hidden="false" customHeight="false" outlineLevel="0" collapsed="false">
      <c r="A1515" s="30"/>
      <c r="B1515" s="25"/>
      <c r="C1515" s="25"/>
      <c r="D1515" s="25"/>
      <c r="E1515" s="25"/>
      <c r="F1515" s="25"/>
      <c r="G1515" s="25"/>
      <c r="H1515" s="31"/>
      <c r="I1515" s="32"/>
      <c r="J1515" s="33"/>
      <c r="K1515" s="34" t="str">
        <f aca="false">IF(OR(H1515="",I1515=""),"",H1515*I1515*(1-N(J1515)))</f>
        <v/>
      </c>
      <c r="L1515" s="32"/>
      <c r="M1515" s="34" t="str">
        <f aca="false">IF(OR(H1515="",L1515=""),"",H1515*L1515)</f>
        <v/>
      </c>
      <c r="N1515" s="34" t="str">
        <f aca="false">IF(OR(K1515="",M1515=""),"",K1515-M1515)</f>
        <v/>
      </c>
      <c r="O1515" s="35" t="str">
        <f aca="false">IF(OR(N1515="",K1515=""),"",IF(K1515=0,"",N1515/K1515))</f>
        <v/>
      </c>
      <c r="P1515" s="25"/>
      <c r="Q1515" s="25"/>
      <c r="R1515" s="25"/>
      <c r="S1515" s="36" t="str">
        <f aca="false">IF(A1515="","",YEAR(A1515)+IF(AND(FYStart&gt;1,MONTH(A1515)&gt;=FYStart),1,0))</f>
        <v/>
      </c>
      <c r="T1515" s="36" t="str">
        <f aca="false">IF(A1515="","",MOD(MONTH(A1515)-FYStart,12)+1)</f>
        <v/>
      </c>
      <c r="U1515" s="37" t="str">
        <f aca="false">IF(A1515="","",TEXT(A1515,"mmm"))</f>
        <v/>
      </c>
      <c r="V1515" s="37" t="str">
        <f aca="false">IF(Q1515="","",IFERROR(INDEX(Settings!$I$11:$I$15,MATCH(Q1515,Settings!$H$11:$H$15,0)),"No"))</f>
        <v/>
      </c>
      <c r="W1515" s="37" t="str">
        <f aca="false">IF(Q1515="","",IFERROR(INDEX(Settings!$J$11:$J$15,MATCH(Q1515,Settings!$H$11:$H$15,0)),"No"))</f>
        <v/>
      </c>
    </row>
    <row r="1516" customFormat="false" ht="15" hidden="false" customHeight="false" outlineLevel="0" collapsed="false">
      <c r="A1516" s="30"/>
      <c r="B1516" s="25"/>
      <c r="C1516" s="25"/>
      <c r="D1516" s="25"/>
      <c r="E1516" s="25"/>
      <c r="F1516" s="25"/>
      <c r="G1516" s="25"/>
      <c r="H1516" s="31"/>
      <c r="I1516" s="32"/>
      <c r="J1516" s="33"/>
      <c r="K1516" s="34" t="str">
        <f aca="false">IF(OR(H1516="",I1516=""),"",H1516*I1516*(1-N(J1516)))</f>
        <v/>
      </c>
      <c r="L1516" s="32"/>
      <c r="M1516" s="34" t="str">
        <f aca="false">IF(OR(H1516="",L1516=""),"",H1516*L1516)</f>
        <v/>
      </c>
      <c r="N1516" s="34" t="str">
        <f aca="false">IF(OR(K1516="",M1516=""),"",K1516-M1516)</f>
        <v/>
      </c>
      <c r="O1516" s="35" t="str">
        <f aca="false">IF(OR(N1516="",K1516=""),"",IF(K1516=0,"",N1516/K1516))</f>
        <v/>
      </c>
      <c r="P1516" s="25"/>
      <c r="Q1516" s="25"/>
      <c r="R1516" s="25"/>
      <c r="S1516" s="36" t="str">
        <f aca="false">IF(A1516="","",YEAR(A1516)+IF(AND(FYStart&gt;1,MONTH(A1516)&gt;=FYStart),1,0))</f>
        <v/>
      </c>
      <c r="T1516" s="36" t="str">
        <f aca="false">IF(A1516="","",MOD(MONTH(A1516)-FYStart,12)+1)</f>
        <v/>
      </c>
      <c r="U1516" s="37" t="str">
        <f aca="false">IF(A1516="","",TEXT(A1516,"mmm"))</f>
        <v/>
      </c>
      <c r="V1516" s="37" t="str">
        <f aca="false">IF(Q1516="","",IFERROR(INDEX(Settings!$I$11:$I$15,MATCH(Q1516,Settings!$H$11:$H$15,0)),"No"))</f>
        <v/>
      </c>
      <c r="W1516" s="37" t="str">
        <f aca="false">IF(Q1516="","",IFERROR(INDEX(Settings!$J$11:$J$15,MATCH(Q1516,Settings!$H$11:$H$15,0)),"No"))</f>
        <v/>
      </c>
    </row>
    <row r="1517" customFormat="false" ht="15" hidden="false" customHeight="false" outlineLevel="0" collapsed="false">
      <c r="A1517" s="30"/>
      <c r="B1517" s="25"/>
      <c r="C1517" s="25"/>
      <c r="D1517" s="25"/>
      <c r="E1517" s="25"/>
      <c r="F1517" s="25"/>
      <c r="G1517" s="25"/>
      <c r="H1517" s="31"/>
      <c r="I1517" s="32"/>
      <c r="J1517" s="33"/>
      <c r="K1517" s="34" t="str">
        <f aca="false">IF(OR(H1517="",I1517=""),"",H1517*I1517*(1-N(J1517)))</f>
        <v/>
      </c>
      <c r="L1517" s="32"/>
      <c r="M1517" s="34" t="str">
        <f aca="false">IF(OR(H1517="",L1517=""),"",H1517*L1517)</f>
        <v/>
      </c>
      <c r="N1517" s="34" t="str">
        <f aca="false">IF(OR(K1517="",M1517=""),"",K1517-M1517)</f>
        <v/>
      </c>
      <c r="O1517" s="35" t="str">
        <f aca="false">IF(OR(N1517="",K1517=""),"",IF(K1517=0,"",N1517/K1517))</f>
        <v/>
      </c>
      <c r="P1517" s="25"/>
      <c r="Q1517" s="25"/>
      <c r="R1517" s="25"/>
      <c r="S1517" s="36" t="str">
        <f aca="false">IF(A1517="","",YEAR(A1517)+IF(AND(FYStart&gt;1,MONTH(A1517)&gt;=FYStart),1,0))</f>
        <v/>
      </c>
      <c r="T1517" s="36" t="str">
        <f aca="false">IF(A1517="","",MOD(MONTH(A1517)-FYStart,12)+1)</f>
        <v/>
      </c>
      <c r="U1517" s="37" t="str">
        <f aca="false">IF(A1517="","",TEXT(A1517,"mmm"))</f>
        <v/>
      </c>
      <c r="V1517" s="37" t="str">
        <f aca="false">IF(Q1517="","",IFERROR(INDEX(Settings!$I$11:$I$15,MATCH(Q1517,Settings!$H$11:$H$15,0)),"No"))</f>
        <v/>
      </c>
      <c r="W1517" s="37" t="str">
        <f aca="false">IF(Q1517="","",IFERROR(INDEX(Settings!$J$11:$J$15,MATCH(Q1517,Settings!$H$11:$H$15,0)),"No"))</f>
        <v/>
      </c>
    </row>
    <row r="1518" customFormat="false" ht="15" hidden="false" customHeight="false" outlineLevel="0" collapsed="false">
      <c r="A1518" s="30"/>
      <c r="B1518" s="25"/>
      <c r="C1518" s="25"/>
      <c r="D1518" s="25"/>
      <c r="E1518" s="25"/>
      <c r="F1518" s="25"/>
      <c r="G1518" s="25"/>
      <c r="H1518" s="31"/>
      <c r="I1518" s="32"/>
      <c r="J1518" s="33"/>
      <c r="K1518" s="34" t="str">
        <f aca="false">IF(OR(H1518="",I1518=""),"",H1518*I1518*(1-N(J1518)))</f>
        <v/>
      </c>
      <c r="L1518" s="32"/>
      <c r="M1518" s="34" t="str">
        <f aca="false">IF(OR(H1518="",L1518=""),"",H1518*L1518)</f>
        <v/>
      </c>
      <c r="N1518" s="34" t="str">
        <f aca="false">IF(OR(K1518="",M1518=""),"",K1518-M1518)</f>
        <v/>
      </c>
      <c r="O1518" s="35" t="str">
        <f aca="false">IF(OR(N1518="",K1518=""),"",IF(K1518=0,"",N1518/K1518))</f>
        <v/>
      </c>
      <c r="P1518" s="25"/>
      <c r="Q1518" s="25"/>
      <c r="R1518" s="25"/>
      <c r="S1518" s="36" t="str">
        <f aca="false">IF(A1518="","",YEAR(A1518)+IF(AND(FYStart&gt;1,MONTH(A1518)&gt;=FYStart),1,0))</f>
        <v/>
      </c>
      <c r="T1518" s="36" t="str">
        <f aca="false">IF(A1518="","",MOD(MONTH(A1518)-FYStart,12)+1)</f>
        <v/>
      </c>
      <c r="U1518" s="37" t="str">
        <f aca="false">IF(A1518="","",TEXT(A1518,"mmm"))</f>
        <v/>
      </c>
      <c r="V1518" s="37" t="str">
        <f aca="false">IF(Q1518="","",IFERROR(INDEX(Settings!$I$11:$I$15,MATCH(Q1518,Settings!$H$11:$H$15,0)),"No"))</f>
        <v/>
      </c>
      <c r="W1518" s="37" t="str">
        <f aca="false">IF(Q1518="","",IFERROR(INDEX(Settings!$J$11:$J$15,MATCH(Q1518,Settings!$H$11:$H$15,0)),"No"))</f>
        <v/>
      </c>
    </row>
    <row r="1519" customFormat="false" ht="15" hidden="false" customHeight="false" outlineLevel="0" collapsed="false">
      <c r="A1519" s="30"/>
      <c r="B1519" s="25"/>
      <c r="C1519" s="25"/>
      <c r="D1519" s="25"/>
      <c r="E1519" s="25"/>
      <c r="F1519" s="25"/>
      <c r="G1519" s="25"/>
      <c r="H1519" s="31"/>
      <c r="I1519" s="32"/>
      <c r="J1519" s="33"/>
      <c r="K1519" s="34" t="str">
        <f aca="false">IF(OR(H1519="",I1519=""),"",H1519*I1519*(1-N(J1519)))</f>
        <v/>
      </c>
      <c r="L1519" s="32"/>
      <c r="M1519" s="34" t="str">
        <f aca="false">IF(OR(H1519="",L1519=""),"",H1519*L1519)</f>
        <v/>
      </c>
      <c r="N1519" s="34" t="str">
        <f aca="false">IF(OR(K1519="",M1519=""),"",K1519-M1519)</f>
        <v/>
      </c>
      <c r="O1519" s="35" t="str">
        <f aca="false">IF(OR(N1519="",K1519=""),"",IF(K1519=0,"",N1519/K1519))</f>
        <v/>
      </c>
      <c r="P1519" s="25"/>
      <c r="Q1519" s="25"/>
      <c r="R1519" s="25"/>
      <c r="S1519" s="36" t="str">
        <f aca="false">IF(A1519="","",YEAR(A1519)+IF(AND(FYStart&gt;1,MONTH(A1519)&gt;=FYStart),1,0))</f>
        <v/>
      </c>
      <c r="T1519" s="36" t="str">
        <f aca="false">IF(A1519="","",MOD(MONTH(A1519)-FYStart,12)+1)</f>
        <v/>
      </c>
      <c r="U1519" s="37" t="str">
        <f aca="false">IF(A1519="","",TEXT(A1519,"mmm"))</f>
        <v/>
      </c>
      <c r="V1519" s="37" t="str">
        <f aca="false">IF(Q1519="","",IFERROR(INDEX(Settings!$I$11:$I$15,MATCH(Q1519,Settings!$H$11:$H$15,0)),"No"))</f>
        <v/>
      </c>
      <c r="W1519" s="37" t="str">
        <f aca="false">IF(Q1519="","",IFERROR(INDEX(Settings!$J$11:$J$15,MATCH(Q1519,Settings!$H$11:$H$15,0)),"No"))</f>
        <v/>
      </c>
    </row>
    <row r="1520" customFormat="false" ht="15" hidden="false" customHeight="false" outlineLevel="0" collapsed="false">
      <c r="A1520" s="30"/>
      <c r="B1520" s="25"/>
      <c r="C1520" s="25"/>
      <c r="D1520" s="25"/>
      <c r="E1520" s="25"/>
      <c r="F1520" s="25"/>
      <c r="G1520" s="25"/>
      <c r="H1520" s="31"/>
      <c r="I1520" s="32"/>
      <c r="J1520" s="33"/>
      <c r="K1520" s="34" t="str">
        <f aca="false">IF(OR(H1520="",I1520=""),"",H1520*I1520*(1-N(J1520)))</f>
        <v/>
      </c>
      <c r="L1520" s="32"/>
      <c r="M1520" s="34" t="str">
        <f aca="false">IF(OR(H1520="",L1520=""),"",H1520*L1520)</f>
        <v/>
      </c>
      <c r="N1520" s="34" t="str">
        <f aca="false">IF(OR(K1520="",M1520=""),"",K1520-M1520)</f>
        <v/>
      </c>
      <c r="O1520" s="35" t="str">
        <f aca="false">IF(OR(N1520="",K1520=""),"",IF(K1520=0,"",N1520/K1520))</f>
        <v/>
      </c>
      <c r="P1520" s="25"/>
      <c r="Q1520" s="25"/>
      <c r="R1520" s="25"/>
      <c r="S1520" s="36" t="str">
        <f aca="false">IF(A1520="","",YEAR(A1520)+IF(AND(FYStart&gt;1,MONTH(A1520)&gt;=FYStart),1,0))</f>
        <v/>
      </c>
      <c r="T1520" s="36" t="str">
        <f aca="false">IF(A1520="","",MOD(MONTH(A1520)-FYStart,12)+1)</f>
        <v/>
      </c>
      <c r="U1520" s="37" t="str">
        <f aca="false">IF(A1520="","",TEXT(A1520,"mmm"))</f>
        <v/>
      </c>
      <c r="V1520" s="37" t="str">
        <f aca="false">IF(Q1520="","",IFERROR(INDEX(Settings!$I$11:$I$15,MATCH(Q1520,Settings!$H$11:$H$15,0)),"No"))</f>
        <v/>
      </c>
      <c r="W1520" s="37" t="str">
        <f aca="false">IF(Q1520="","",IFERROR(INDEX(Settings!$J$11:$J$15,MATCH(Q1520,Settings!$H$11:$H$15,0)),"No"))</f>
        <v/>
      </c>
    </row>
    <row r="1521" customFormat="false" ht="15" hidden="false" customHeight="false" outlineLevel="0" collapsed="false">
      <c r="A1521" s="30"/>
      <c r="B1521" s="25"/>
      <c r="C1521" s="25"/>
      <c r="D1521" s="25"/>
      <c r="E1521" s="25"/>
      <c r="F1521" s="25"/>
      <c r="G1521" s="25"/>
      <c r="H1521" s="31"/>
      <c r="I1521" s="32"/>
      <c r="J1521" s="33"/>
      <c r="K1521" s="34" t="str">
        <f aca="false">IF(OR(H1521="",I1521=""),"",H1521*I1521*(1-N(J1521)))</f>
        <v/>
      </c>
      <c r="L1521" s="32"/>
      <c r="M1521" s="34" t="str">
        <f aca="false">IF(OR(H1521="",L1521=""),"",H1521*L1521)</f>
        <v/>
      </c>
      <c r="N1521" s="34" t="str">
        <f aca="false">IF(OR(K1521="",M1521=""),"",K1521-M1521)</f>
        <v/>
      </c>
      <c r="O1521" s="35" t="str">
        <f aca="false">IF(OR(N1521="",K1521=""),"",IF(K1521=0,"",N1521/K1521))</f>
        <v/>
      </c>
      <c r="P1521" s="25"/>
      <c r="Q1521" s="25"/>
      <c r="R1521" s="25"/>
      <c r="S1521" s="36" t="str">
        <f aca="false">IF(A1521="","",YEAR(A1521)+IF(AND(FYStart&gt;1,MONTH(A1521)&gt;=FYStart),1,0))</f>
        <v/>
      </c>
      <c r="T1521" s="36" t="str">
        <f aca="false">IF(A1521="","",MOD(MONTH(A1521)-FYStart,12)+1)</f>
        <v/>
      </c>
      <c r="U1521" s="37" t="str">
        <f aca="false">IF(A1521="","",TEXT(A1521,"mmm"))</f>
        <v/>
      </c>
      <c r="V1521" s="37" t="str">
        <f aca="false">IF(Q1521="","",IFERROR(INDEX(Settings!$I$11:$I$15,MATCH(Q1521,Settings!$H$11:$H$15,0)),"No"))</f>
        <v/>
      </c>
      <c r="W1521" s="37" t="str">
        <f aca="false">IF(Q1521="","",IFERROR(INDEX(Settings!$J$11:$J$15,MATCH(Q1521,Settings!$H$11:$H$15,0)),"No"))</f>
        <v/>
      </c>
    </row>
    <row r="1522" customFormat="false" ht="15" hidden="false" customHeight="false" outlineLevel="0" collapsed="false">
      <c r="A1522" s="30"/>
      <c r="B1522" s="25"/>
      <c r="C1522" s="25"/>
      <c r="D1522" s="25"/>
      <c r="E1522" s="25"/>
      <c r="F1522" s="25"/>
      <c r="G1522" s="25"/>
      <c r="H1522" s="31"/>
      <c r="I1522" s="32"/>
      <c r="J1522" s="33"/>
      <c r="K1522" s="34" t="str">
        <f aca="false">IF(OR(H1522="",I1522=""),"",H1522*I1522*(1-N(J1522)))</f>
        <v/>
      </c>
      <c r="L1522" s="32"/>
      <c r="M1522" s="34" t="str">
        <f aca="false">IF(OR(H1522="",L1522=""),"",H1522*L1522)</f>
        <v/>
      </c>
      <c r="N1522" s="34" t="str">
        <f aca="false">IF(OR(K1522="",M1522=""),"",K1522-M1522)</f>
        <v/>
      </c>
      <c r="O1522" s="35" t="str">
        <f aca="false">IF(OR(N1522="",K1522=""),"",IF(K1522=0,"",N1522/K1522))</f>
        <v/>
      </c>
      <c r="P1522" s="25"/>
      <c r="Q1522" s="25"/>
      <c r="R1522" s="25"/>
      <c r="S1522" s="36" t="str">
        <f aca="false">IF(A1522="","",YEAR(A1522)+IF(AND(FYStart&gt;1,MONTH(A1522)&gt;=FYStart),1,0))</f>
        <v/>
      </c>
      <c r="T1522" s="36" t="str">
        <f aca="false">IF(A1522="","",MOD(MONTH(A1522)-FYStart,12)+1)</f>
        <v/>
      </c>
      <c r="U1522" s="37" t="str">
        <f aca="false">IF(A1522="","",TEXT(A1522,"mmm"))</f>
        <v/>
      </c>
      <c r="V1522" s="37" t="str">
        <f aca="false">IF(Q1522="","",IFERROR(INDEX(Settings!$I$11:$I$15,MATCH(Q1522,Settings!$H$11:$H$15,0)),"No"))</f>
        <v/>
      </c>
      <c r="W1522" s="37" t="str">
        <f aca="false">IF(Q1522="","",IFERROR(INDEX(Settings!$J$11:$J$15,MATCH(Q1522,Settings!$H$11:$H$15,0)),"No"))</f>
        <v/>
      </c>
    </row>
    <row r="1523" customFormat="false" ht="15" hidden="false" customHeight="false" outlineLevel="0" collapsed="false">
      <c r="A1523" s="30"/>
      <c r="B1523" s="25"/>
      <c r="C1523" s="25"/>
      <c r="D1523" s="25"/>
      <c r="E1523" s="25"/>
      <c r="F1523" s="25"/>
      <c r="G1523" s="25"/>
      <c r="H1523" s="31"/>
      <c r="I1523" s="32"/>
      <c r="J1523" s="33"/>
      <c r="K1523" s="34" t="str">
        <f aca="false">IF(OR(H1523="",I1523=""),"",H1523*I1523*(1-N(J1523)))</f>
        <v/>
      </c>
      <c r="L1523" s="32"/>
      <c r="M1523" s="34" t="str">
        <f aca="false">IF(OR(H1523="",L1523=""),"",H1523*L1523)</f>
        <v/>
      </c>
      <c r="N1523" s="34" t="str">
        <f aca="false">IF(OR(K1523="",M1523=""),"",K1523-M1523)</f>
        <v/>
      </c>
      <c r="O1523" s="35" t="str">
        <f aca="false">IF(OR(N1523="",K1523=""),"",IF(K1523=0,"",N1523/K1523))</f>
        <v/>
      </c>
      <c r="P1523" s="25"/>
      <c r="Q1523" s="25"/>
      <c r="R1523" s="25"/>
      <c r="S1523" s="36" t="str">
        <f aca="false">IF(A1523="","",YEAR(A1523)+IF(AND(FYStart&gt;1,MONTH(A1523)&gt;=FYStart),1,0))</f>
        <v/>
      </c>
      <c r="T1523" s="36" t="str">
        <f aca="false">IF(A1523="","",MOD(MONTH(A1523)-FYStart,12)+1)</f>
        <v/>
      </c>
      <c r="U1523" s="37" t="str">
        <f aca="false">IF(A1523="","",TEXT(A1523,"mmm"))</f>
        <v/>
      </c>
      <c r="V1523" s="37" t="str">
        <f aca="false">IF(Q1523="","",IFERROR(INDEX(Settings!$I$11:$I$15,MATCH(Q1523,Settings!$H$11:$H$15,0)),"No"))</f>
        <v/>
      </c>
      <c r="W1523" s="37" t="str">
        <f aca="false">IF(Q1523="","",IFERROR(INDEX(Settings!$J$11:$J$15,MATCH(Q1523,Settings!$H$11:$H$15,0)),"No"))</f>
        <v/>
      </c>
    </row>
    <row r="1524" customFormat="false" ht="15" hidden="false" customHeight="false" outlineLevel="0" collapsed="false">
      <c r="A1524" s="30"/>
      <c r="B1524" s="25"/>
      <c r="C1524" s="25"/>
      <c r="D1524" s="25"/>
      <c r="E1524" s="25"/>
      <c r="F1524" s="25"/>
      <c r="G1524" s="25"/>
      <c r="H1524" s="31"/>
      <c r="I1524" s="32"/>
      <c r="J1524" s="33"/>
      <c r="K1524" s="34" t="str">
        <f aca="false">IF(OR(H1524="",I1524=""),"",H1524*I1524*(1-N(J1524)))</f>
        <v/>
      </c>
      <c r="L1524" s="32"/>
      <c r="M1524" s="34" t="str">
        <f aca="false">IF(OR(H1524="",L1524=""),"",H1524*L1524)</f>
        <v/>
      </c>
      <c r="N1524" s="34" t="str">
        <f aca="false">IF(OR(K1524="",M1524=""),"",K1524-M1524)</f>
        <v/>
      </c>
      <c r="O1524" s="35" t="str">
        <f aca="false">IF(OR(N1524="",K1524=""),"",IF(K1524=0,"",N1524/K1524))</f>
        <v/>
      </c>
      <c r="P1524" s="25"/>
      <c r="Q1524" s="25"/>
      <c r="R1524" s="25"/>
      <c r="S1524" s="36" t="str">
        <f aca="false">IF(A1524="","",YEAR(A1524)+IF(AND(FYStart&gt;1,MONTH(A1524)&gt;=FYStart),1,0))</f>
        <v/>
      </c>
      <c r="T1524" s="36" t="str">
        <f aca="false">IF(A1524="","",MOD(MONTH(A1524)-FYStart,12)+1)</f>
        <v/>
      </c>
      <c r="U1524" s="37" t="str">
        <f aca="false">IF(A1524="","",TEXT(A1524,"mmm"))</f>
        <v/>
      </c>
      <c r="V1524" s="37" t="str">
        <f aca="false">IF(Q1524="","",IFERROR(INDEX(Settings!$I$11:$I$15,MATCH(Q1524,Settings!$H$11:$H$15,0)),"No"))</f>
        <v/>
      </c>
      <c r="W1524" s="37" t="str">
        <f aca="false">IF(Q1524="","",IFERROR(INDEX(Settings!$J$11:$J$15,MATCH(Q1524,Settings!$H$11:$H$15,0)),"No"))</f>
        <v/>
      </c>
    </row>
    <row r="1525" customFormat="false" ht="15" hidden="false" customHeight="false" outlineLevel="0" collapsed="false">
      <c r="A1525" s="30"/>
      <c r="B1525" s="25"/>
      <c r="C1525" s="25"/>
      <c r="D1525" s="25"/>
      <c r="E1525" s="25"/>
      <c r="F1525" s="25"/>
      <c r="G1525" s="25"/>
      <c r="H1525" s="31"/>
      <c r="I1525" s="32"/>
      <c r="J1525" s="33"/>
      <c r="K1525" s="34" t="str">
        <f aca="false">IF(OR(H1525="",I1525=""),"",H1525*I1525*(1-N(J1525)))</f>
        <v/>
      </c>
      <c r="L1525" s="32"/>
      <c r="M1525" s="34" t="str">
        <f aca="false">IF(OR(H1525="",L1525=""),"",H1525*L1525)</f>
        <v/>
      </c>
      <c r="N1525" s="34" t="str">
        <f aca="false">IF(OR(K1525="",M1525=""),"",K1525-M1525)</f>
        <v/>
      </c>
      <c r="O1525" s="35" t="str">
        <f aca="false">IF(OR(N1525="",K1525=""),"",IF(K1525=0,"",N1525/K1525))</f>
        <v/>
      </c>
      <c r="P1525" s="25"/>
      <c r="Q1525" s="25"/>
      <c r="R1525" s="25"/>
      <c r="S1525" s="36" t="str">
        <f aca="false">IF(A1525="","",YEAR(A1525)+IF(AND(FYStart&gt;1,MONTH(A1525)&gt;=FYStart),1,0))</f>
        <v/>
      </c>
      <c r="T1525" s="36" t="str">
        <f aca="false">IF(A1525="","",MOD(MONTH(A1525)-FYStart,12)+1)</f>
        <v/>
      </c>
      <c r="U1525" s="37" t="str">
        <f aca="false">IF(A1525="","",TEXT(A1525,"mmm"))</f>
        <v/>
      </c>
      <c r="V1525" s="37" t="str">
        <f aca="false">IF(Q1525="","",IFERROR(INDEX(Settings!$I$11:$I$15,MATCH(Q1525,Settings!$H$11:$H$15,0)),"No"))</f>
        <v/>
      </c>
      <c r="W1525" s="37" t="str">
        <f aca="false">IF(Q1525="","",IFERROR(INDEX(Settings!$J$11:$J$15,MATCH(Q1525,Settings!$H$11:$H$15,0)),"No"))</f>
        <v/>
      </c>
    </row>
    <row r="1526" customFormat="false" ht="15" hidden="false" customHeight="false" outlineLevel="0" collapsed="false">
      <c r="A1526" s="30"/>
      <c r="B1526" s="25"/>
      <c r="C1526" s="25"/>
      <c r="D1526" s="25"/>
      <c r="E1526" s="25"/>
      <c r="F1526" s="25"/>
      <c r="G1526" s="25"/>
      <c r="H1526" s="31"/>
      <c r="I1526" s="32"/>
      <c r="J1526" s="33"/>
      <c r="K1526" s="34" t="str">
        <f aca="false">IF(OR(H1526="",I1526=""),"",H1526*I1526*(1-N(J1526)))</f>
        <v/>
      </c>
      <c r="L1526" s="32"/>
      <c r="M1526" s="34" t="str">
        <f aca="false">IF(OR(H1526="",L1526=""),"",H1526*L1526)</f>
        <v/>
      </c>
      <c r="N1526" s="34" t="str">
        <f aca="false">IF(OR(K1526="",M1526=""),"",K1526-M1526)</f>
        <v/>
      </c>
      <c r="O1526" s="35" t="str">
        <f aca="false">IF(OR(N1526="",K1526=""),"",IF(K1526=0,"",N1526/K1526))</f>
        <v/>
      </c>
      <c r="P1526" s="25"/>
      <c r="Q1526" s="25"/>
      <c r="R1526" s="25"/>
      <c r="S1526" s="36" t="str">
        <f aca="false">IF(A1526="","",YEAR(A1526)+IF(AND(FYStart&gt;1,MONTH(A1526)&gt;=FYStart),1,0))</f>
        <v/>
      </c>
      <c r="T1526" s="36" t="str">
        <f aca="false">IF(A1526="","",MOD(MONTH(A1526)-FYStart,12)+1)</f>
        <v/>
      </c>
      <c r="U1526" s="37" t="str">
        <f aca="false">IF(A1526="","",TEXT(A1526,"mmm"))</f>
        <v/>
      </c>
      <c r="V1526" s="37" t="str">
        <f aca="false">IF(Q1526="","",IFERROR(INDEX(Settings!$I$11:$I$15,MATCH(Q1526,Settings!$H$11:$H$15,0)),"No"))</f>
        <v/>
      </c>
      <c r="W1526" s="37" t="str">
        <f aca="false">IF(Q1526="","",IFERROR(INDEX(Settings!$J$11:$J$15,MATCH(Q1526,Settings!$H$11:$H$15,0)),"No"))</f>
        <v/>
      </c>
    </row>
    <row r="1527" customFormat="false" ht="15" hidden="false" customHeight="false" outlineLevel="0" collapsed="false">
      <c r="A1527" s="30"/>
      <c r="B1527" s="25"/>
      <c r="C1527" s="25"/>
      <c r="D1527" s="25"/>
      <c r="E1527" s="25"/>
      <c r="F1527" s="25"/>
      <c r="G1527" s="25"/>
      <c r="H1527" s="31"/>
      <c r="I1527" s="32"/>
      <c r="J1527" s="33"/>
      <c r="K1527" s="34" t="str">
        <f aca="false">IF(OR(H1527="",I1527=""),"",H1527*I1527*(1-N(J1527)))</f>
        <v/>
      </c>
      <c r="L1527" s="32"/>
      <c r="M1527" s="34" t="str">
        <f aca="false">IF(OR(H1527="",L1527=""),"",H1527*L1527)</f>
        <v/>
      </c>
      <c r="N1527" s="34" t="str">
        <f aca="false">IF(OR(K1527="",M1527=""),"",K1527-M1527)</f>
        <v/>
      </c>
      <c r="O1527" s="35" t="str">
        <f aca="false">IF(OR(N1527="",K1527=""),"",IF(K1527=0,"",N1527/K1527))</f>
        <v/>
      </c>
      <c r="P1527" s="25"/>
      <c r="Q1527" s="25"/>
      <c r="R1527" s="25"/>
      <c r="S1527" s="36" t="str">
        <f aca="false">IF(A1527="","",YEAR(A1527)+IF(AND(FYStart&gt;1,MONTH(A1527)&gt;=FYStart),1,0))</f>
        <v/>
      </c>
      <c r="T1527" s="36" t="str">
        <f aca="false">IF(A1527="","",MOD(MONTH(A1527)-FYStart,12)+1)</f>
        <v/>
      </c>
      <c r="U1527" s="37" t="str">
        <f aca="false">IF(A1527="","",TEXT(A1527,"mmm"))</f>
        <v/>
      </c>
      <c r="V1527" s="37" t="str">
        <f aca="false">IF(Q1527="","",IFERROR(INDEX(Settings!$I$11:$I$15,MATCH(Q1527,Settings!$H$11:$H$15,0)),"No"))</f>
        <v/>
      </c>
      <c r="W1527" s="37" t="str">
        <f aca="false">IF(Q1527="","",IFERROR(INDEX(Settings!$J$11:$J$15,MATCH(Q1527,Settings!$H$11:$H$15,0)),"No"))</f>
        <v/>
      </c>
    </row>
    <row r="1528" customFormat="false" ht="15" hidden="false" customHeight="false" outlineLevel="0" collapsed="false">
      <c r="A1528" s="30"/>
      <c r="B1528" s="25"/>
      <c r="C1528" s="25"/>
      <c r="D1528" s="25"/>
      <c r="E1528" s="25"/>
      <c r="F1528" s="25"/>
      <c r="G1528" s="25"/>
      <c r="H1528" s="31"/>
      <c r="I1528" s="32"/>
      <c r="J1528" s="33"/>
      <c r="K1528" s="34" t="str">
        <f aca="false">IF(OR(H1528="",I1528=""),"",H1528*I1528*(1-N(J1528)))</f>
        <v/>
      </c>
      <c r="L1528" s="32"/>
      <c r="M1528" s="34" t="str">
        <f aca="false">IF(OR(H1528="",L1528=""),"",H1528*L1528)</f>
        <v/>
      </c>
      <c r="N1528" s="34" t="str">
        <f aca="false">IF(OR(K1528="",M1528=""),"",K1528-M1528)</f>
        <v/>
      </c>
      <c r="O1528" s="35" t="str">
        <f aca="false">IF(OR(N1528="",K1528=""),"",IF(K1528=0,"",N1528/K1528))</f>
        <v/>
      </c>
      <c r="P1528" s="25"/>
      <c r="Q1528" s="25"/>
      <c r="R1528" s="25"/>
      <c r="S1528" s="36" t="str">
        <f aca="false">IF(A1528="","",YEAR(A1528)+IF(AND(FYStart&gt;1,MONTH(A1528)&gt;=FYStart),1,0))</f>
        <v/>
      </c>
      <c r="T1528" s="36" t="str">
        <f aca="false">IF(A1528="","",MOD(MONTH(A1528)-FYStart,12)+1)</f>
        <v/>
      </c>
      <c r="U1528" s="37" t="str">
        <f aca="false">IF(A1528="","",TEXT(A1528,"mmm"))</f>
        <v/>
      </c>
      <c r="V1528" s="37" t="str">
        <f aca="false">IF(Q1528="","",IFERROR(INDEX(Settings!$I$11:$I$15,MATCH(Q1528,Settings!$H$11:$H$15,0)),"No"))</f>
        <v/>
      </c>
      <c r="W1528" s="37" t="str">
        <f aca="false">IF(Q1528="","",IFERROR(INDEX(Settings!$J$11:$J$15,MATCH(Q1528,Settings!$H$11:$H$15,0)),"No"))</f>
        <v/>
      </c>
    </row>
    <row r="1529" customFormat="false" ht="15" hidden="false" customHeight="false" outlineLevel="0" collapsed="false">
      <c r="A1529" s="30"/>
      <c r="B1529" s="25"/>
      <c r="C1529" s="25"/>
      <c r="D1529" s="25"/>
      <c r="E1529" s="25"/>
      <c r="F1529" s="25"/>
      <c r="G1529" s="25"/>
      <c r="H1529" s="31"/>
      <c r="I1529" s="32"/>
      <c r="J1529" s="33"/>
      <c r="K1529" s="34" t="str">
        <f aca="false">IF(OR(H1529="",I1529=""),"",H1529*I1529*(1-N(J1529)))</f>
        <v/>
      </c>
      <c r="L1529" s="32"/>
      <c r="M1529" s="34" t="str">
        <f aca="false">IF(OR(H1529="",L1529=""),"",H1529*L1529)</f>
        <v/>
      </c>
      <c r="N1529" s="34" t="str">
        <f aca="false">IF(OR(K1529="",M1529=""),"",K1529-M1529)</f>
        <v/>
      </c>
      <c r="O1529" s="35" t="str">
        <f aca="false">IF(OR(N1529="",K1529=""),"",IF(K1529=0,"",N1529/K1529))</f>
        <v/>
      </c>
      <c r="P1529" s="25"/>
      <c r="Q1529" s="25"/>
      <c r="R1529" s="25"/>
      <c r="S1529" s="36" t="str">
        <f aca="false">IF(A1529="","",YEAR(A1529)+IF(AND(FYStart&gt;1,MONTH(A1529)&gt;=FYStart),1,0))</f>
        <v/>
      </c>
      <c r="T1529" s="36" t="str">
        <f aca="false">IF(A1529="","",MOD(MONTH(A1529)-FYStart,12)+1)</f>
        <v/>
      </c>
      <c r="U1529" s="37" t="str">
        <f aca="false">IF(A1529="","",TEXT(A1529,"mmm"))</f>
        <v/>
      </c>
      <c r="V1529" s="37" t="str">
        <f aca="false">IF(Q1529="","",IFERROR(INDEX(Settings!$I$11:$I$15,MATCH(Q1529,Settings!$H$11:$H$15,0)),"No"))</f>
        <v/>
      </c>
      <c r="W1529" s="37" t="str">
        <f aca="false">IF(Q1529="","",IFERROR(INDEX(Settings!$J$11:$J$15,MATCH(Q1529,Settings!$H$11:$H$15,0)),"No"))</f>
        <v/>
      </c>
    </row>
    <row r="1530" customFormat="false" ht="15" hidden="false" customHeight="false" outlineLevel="0" collapsed="false">
      <c r="A1530" s="30"/>
      <c r="B1530" s="25"/>
      <c r="C1530" s="25"/>
      <c r="D1530" s="25"/>
      <c r="E1530" s="25"/>
      <c r="F1530" s="25"/>
      <c r="G1530" s="25"/>
      <c r="H1530" s="31"/>
      <c r="I1530" s="32"/>
      <c r="J1530" s="33"/>
      <c r="K1530" s="34" t="str">
        <f aca="false">IF(OR(H1530="",I1530=""),"",H1530*I1530*(1-N(J1530)))</f>
        <v/>
      </c>
      <c r="L1530" s="32"/>
      <c r="M1530" s="34" t="str">
        <f aca="false">IF(OR(H1530="",L1530=""),"",H1530*L1530)</f>
        <v/>
      </c>
      <c r="N1530" s="34" t="str">
        <f aca="false">IF(OR(K1530="",M1530=""),"",K1530-M1530)</f>
        <v/>
      </c>
      <c r="O1530" s="35" t="str">
        <f aca="false">IF(OR(N1530="",K1530=""),"",IF(K1530=0,"",N1530/K1530))</f>
        <v/>
      </c>
      <c r="P1530" s="25"/>
      <c r="Q1530" s="25"/>
      <c r="R1530" s="25"/>
      <c r="S1530" s="36" t="str">
        <f aca="false">IF(A1530="","",YEAR(A1530)+IF(AND(FYStart&gt;1,MONTH(A1530)&gt;=FYStart),1,0))</f>
        <v/>
      </c>
      <c r="T1530" s="36" t="str">
        <f aca="false">IF(A1530="","",MOD(MONTH(A1530)-FYStart,12)+1)</f>
        <v/>
      </c>
      <c r="U1530" s="37" t="str">
        <f aca="false">IF(A1530="","",TEXT(A1530,"mmm"))</f>
        <v/>
      </c>
      <c r="V1530" s="37" t="str">
        <f aca="false">IF(Q1530="","",IFERROR(INDEX(Settings!$I$11:$I$15,MATCH(Q1530,Settings!$H$11:$H$15,0)),"No"))</f>
        <v/>
      </c>
      <c r="W1530" s="37" t="str">
        <f aca="false">IF(Q1530="","",IFERROR(INDEX(Settings!$J$11:$J$15,MATCH(Q1530,Settings!$H$11:$H$15,0)),"No"))</f>
        <v/>
      </c>
    </row>
    <row r="1531" customFormat="false" ht="15" hidden="false" customHeight="false" outlineLevel="0" collapsed="false">
      <c r="A1531" s="30"/>
      <c r="B1531" s="25"/>
      <c r="C1531" s="25"/>
      <c r="D1531" s="25"/>
      <c r="E1531" s="25"/>
      <c r="F1531" s="25"/>
      <c r="G1531" s="25"/>
      <c r="H1531" s="31"/>
      <c r="I1531" s="32"/>
      <c r="J1531" s="33"/>
      <c r="K1531" s="34" t="str">
        <f aca="false">IF(OR(H1531="",I1531=""),"",H1531*I1531*(1-N(J1531)))</f>
        <v/>
      </c>
      <c r="L1531" s="32"/>
      <c r="M1531" s="34" t="str">
        <f aca="false">IF(OR(H1531="",L1531=""),"",H1531*L1531)</f>
        <v/>
      </c>
      <c r="N1531" s="34" t="str">
        <f aca="false">IF(OR(K1531="",M1531=""),"",K1531-M1531)</f>
        <v/>
      </c>
      <c r="O1531" s="35" t="str">
        <f aca="false">IF(OR(N1531="",K1531=""),"",IF(K1531=0,"",N1531/K1531))</f>
        <v/>
      </c>
      <c r="P1531" s="25"/>
      <c r="Q1531" s="25"/>
      <c r="R1531" s="25"/>
      <c r="S1531" s="36" t="str">
        <f aca="false">IF(A1531="","",YEAR(A1531)+IF(AND(FYStart&gt;1,MONTH(A1531)&gt;=FYStart),1,0))</f>
        <v/>
      </c>
      <c r="T1531" s="36" t="str">
        <f aca="false">IF(A1531="","",MOD(MONTH(A1531)-FYStart,12)+1)</f>
        <v/>
      </c>
      <c r="U1531" s="37" t="str">
        <f aca="false">IF(A1531="","",TEXT(A1531,"mmm"))</f>
        <v/>
      </c>
      <c r="V1531" s="37" t="str">
        <f aca="false">IF(Q1531="","",IFERROR(INDEX(Settings!$I$11:$I$15,MATCH(Q1531,Settings!$H$11:$H$15,0)),"No"))</f>
        <v/>
      </c>
      <c r="W1531" s="37" t="str">
        <f aca="false">IF(Q1531="","",IFERROR(INDEX(Settings!$J$11:$J$15,MATCH(Q1531,Settings!$H$11:$H$15,0)),"No"))</f>
        <v/>
      </c>
    </row>
    <row r="1532" customFormat="false" ht="15" hidden="false" customHeight="false" outlineLevel="0" collapsed="false">
      <c r="A1532" s="30"/>
      <c r="B1532" s="25"/>
      <c r="C1532" s="25"/>
      <c r="D1532" s="25"/>
      <c r="E1532" s="25"/>
      <c r="F1532" s="25"/>
      <c r="G1532" s="25"/>
      <c r="H1532" s="31"/>
      <c r="I1532" s="32"/>
      <c r="J1532" s="33"/>
      <c r="K1532" s="34" t="str">
        <f aca="false">IF(OR(H1532="",I1532=""),"",H1532*I1532*(1-N(J1532)))</f>
        <v/>
      </c>
      <c r="L1532" s="32"/>
      <c r="M1532" s="34" t="str">
        <f aca="false">IF(OR(H1532="",L1532=""),"",H1532*L1532)</f>
        <v/>
      </c>
      <c r="N1532" s="34" t="str">
        <f aca="false">IF(OR(K1532="",M1532=""),"",K1532-M1532)</f>
        <v/>
      </c>
      <c r="O1532" s="35" t="str">
        <f aca="false">IF(OR(N1532="",K1532=""),"",IF(K1532=0,"",N1532/K1532))</f>
        <v/>
      </c>
      <c r="P1532" s="25"/>
      <c r="Q1532" s="25"/>
      <c r="R1532" s="25"/>
      <c r="S1532" s="36" t="str">
        <f aca="false">IF(A1532="","",YEAR(A1532)+IF(AND(FYStart&gt;1,MONTH(A1532)&gt;=FYStart),1,0))</f>
        <v/>
      </c>
      <c r="T1532" s="36" t="str">
        <f aca="false">IF(A1532="","",MOD(MONTH(A1532)-FYStart,12)+1)</f>
        <v/>
      </c>
      <c r="U1532" s="37" t="str">
        <f aca="false">IF(A1532="","",TEXT(A1532,"mmm"))</f>
        <v/>
      </c>
      <c r="V1532" s="37" t="str">
        <f aca="false">IF(Q1532="","",IFERROR(INDEX(Settings!$I$11:$I$15,MATCH(Q1532,Settings!$H$11:$H$15,0)),"No"))</f>
        <v/>
      </c>
      <c r="W1532" s="37" t="str">
        <f aca="false">IF(Q1532="","",IFERROR(INDEX(Settings!$J$11:$J$15,MATCH(Q1532,Settings!$H$11:$H$15,0)),"No"))</f>
        <v/>
      </c>
    </row>
    <row r="1533" customFormat="false" ht="15" hidden="false" customHeight="false" outlineLevel="0" collapsed="false">
      <c r="A1533" s="30"/>
      <c r="B1533" s="25"/>
      <c r="C1533" s="25"/>
      <c r="D1533" s="25"/>
      <c r="E1533" s="25"/>
      <c r="F1533" s="25"/>
      <c r="G1533" s="25"/>
      <c r="H1533" s="31"/>
      <c r="I1533" s="32"/>
      <c r="J1533" s="33"/>
      <c r="K1533" s="34" t="str">
        <f aca="false">IF(OR(H1533="",I1533=""),"",H1533*I1533*(1-N(J1533)))</f>
        <v/>
      </c>
      <c r="L1533" s="32"/>
      <c r="M1533" s="34" t="str">
        <f aca="false">IF(OR(H1533="",L1533=""),"",H1533*L1533)</f>
        <v/>
      </c>
      <c r="N1533" s="34" t="str">
        <f aca="false">IF(OR(K1533="",M1533=""),"",K1533-M1533)</f>
        <v/>
      </c>
      <c r="O1533" s="35" t="str">
        <f aca="false">IF(OR(N1533="",K1533=""),"",IF(K1533=0,"",N1533/K1533))</f>
        <v/>
      </c>
      <c r="P1533" s="25"/>
      <c r="Q1533" s="25"/>
      <c r="R1533" s="25"/>
      <c r="S1533" s="36" t="str">
        <f aca="false">IF(A1533="","",YEAR(A1533)+IF(AND(FYStart&gt;1,MONTH(A1533)&gt;=FYStart),1,0))</f>
        <v/>
      </c>
      <c r="T1533" s="36" t="str">
        <f aca="false">IF(A1533="","",MOD(MONTH(A1533)-FYStart,12)+1)</f>
        <v/>
      </c>
      <c r="U1533" s="37" t="str">
        <f aca="false">IF(A1533="","",TEXT(A1533,"mmm"))</f>
        <v/>
      </c>
      <c r="V1533" s="37" t="str">
        <f aca="false">IF(Q1533="","",IFERROR(INDEX(Settings!$I$11:$I$15,MATCH(Q1533,Settings!$H$11:$H$15,0)),"No"))</f>
        <v/>
      </c>
      <c r="W1533" s="37" t="str">
        <f aca="false">IF(Q1533="","",IFERROR(INDEX(Settings!$J$11:$J$15,MATCH(Q1533,Settings!$H$11:$H$15,0)),"No"))</f>
        <v/>
      </c>
    </row>
    <row r="1534" customFormat="false" ht="15" hidden="false" customHeight="false" outlineLevel="0" collapsed="false">
      <c r="A1534" s="30"/>
      <c r="B1534" s="25"/>
      <c r="C1534" s="25"/>
      <c r="D1534" s="25"/>
      <c r="E1534" s="25"/>
      <c r="F1534" s="25"/>
      <c r="G1534" s="25"/>
      <c r="H1534" s="31"/>
      <c r="I1534" s="32"/>
      <c r="J1534" s="33"/>
      <c r="K1534" s="34" t="str">
        <f aca="false">IF(OR(H1534="",I1534=""),"",H1534*I1534*(1-N(J1534)))</f>
        <v/>
      </c>
      <c r="L1534" s="32"/>
      <c r="M1534" s="34" t="str">
        <f aca="false">IF(OR(H1534="",L1534=""),"",H1534*L1534)</f>
        <v/>
      </c>
      <c r="N1534" s="34" t="str">
        <f aca="false">IF(OR(K1534="",M1534=""),"",K1534-M1534)</f>
        <v/>
      </c>
      <c r="O1534" s="35" t="str">
        <f aca="false">IF(OR(N1534="",K1534=""),"",IF(K1534=0,"",N1534/K1534))</f>
        <v/>
      </c>
      <c r="P1534" s="25"/>
      <c r="Q1534" s="25"/>
      <c r="R1534" s="25"/>
      <c r="S1534" s="36" t="str">
        <f aca="false">IF(A1534="","",YEAR(A1534)+IF(AND(FYStart&gt;1,MONTH(A1534)&gt;=FYStart),1,0))</f>
        <v/>
      </c>
      <c r="T1534" s="36" t="str">
        <f aca="false">IF(A1534="","",MOD(MONTH(A1534)-FYStart,12)+1)</f>
        <v/>
      </c>
      <c r="U1534" s="37" t="str">
        <f aca="false">IF(A1534="","",TEXT(A1534,"mmm"))</f>
        <v/>
      </c>
      <c r="V1534" s="37" t="str">
        <f aca="false">IF(Q1534="","",IFERROR(INDEX(Settings!$I$11:$I$15,MATCH(Q1534,Settings!$H$11:$H$15,0)),"No"))</f>
        <v/>
      </c>
      <c r="W1534" s="37" t="str">
        <f aca="false">IF(Q1534="","",IFERROR(INDEX(Settings!$J$11:$J$15,MATCH(Q1534,Settings!$H$11:$H$15,0)),"No"))</f>
        <v/>
      </c>
    </row>
    <row r="1535" customFormat="false" ht="15" hidden="false" customHeight="false" outlineLevel="0" collapsed="false">
      <c r="A1535" s="30"/>
      <c r="B1535" s="25"/>
      <c r="C1535" s="25"/>
      <c r="D1535" s="25"/>
      <c r="E1535" s="25"/>
      <c r="F1535" s="25"/>
      <c r="G1535" s="25"/>
      <c r="H1535" s="31"/>
      <c r="I1535" s="32"/>
      <c r="J1535" s="33"/>
      <c r="K1535" s="34" t="str">
        <f aca="false">IF(OR(H1535="",I1535=""),"",H1535*I1535*(1-N(J1535)))</f>
        <v/>
      </c>
      <c r="L1535" s="32"/>
      <c r="M1535" s="34" t="str">
        <f aca="false">IF(OR(H1535="",L1535=""),"",H1535*L1535)</f>
        <v/>
      </c>
      <c r="N1535" s="34" t="str">
        <f aca="false">IF(OR(K1535="",M1535=""),"",K1535-M1535)</f>
        <v/>
      </c>
      <c r="O1535" s="35" t="str">
        <f aca="false">IF(OR(N1535="",K1535=""),"",IF(K1535=0,"",N1535/K1535))</f>
        <v/>
      </c>
      <c r="P1535" s="25"/>
      <c r="Q1535" s="25"/>
      <c r="R1535" s="25"/>
      <c r="S1535" s="36" t="str">
        <f aca="false">IF(A1535="","",YEAR(A1535)+IF(AND(FYStart&gt;1,MONTH(A1535)&gt;=FYStart),1,0))</f>
        <v/>
      </c>
      <c r="T1535" s="36" t="str">
        <f aca="false">IF(A1535="","",MOD(MONTH(A1535)-FYStart,12)+1)</f>
        <v/>
      </c>
      <c r="U1535" s="37" t="str">
        <f aca="false">IF(A1535="","",TEXT(A1535,"mmm"))</f>
        <v/>
      </c>
      <c r="V1535" s="37" t="str">
        <f aca="false">IF(Q1535="","",IFERROR(INDEX(Settings!$I$11:$I$15,MATCH(Q1535,Settings!$H$11:$H$15,0)),"No"))</f>
        <v/>
      </c>
      <c r="W1535" s="37" t="str">
        <f aca="false">IF(Q1535="","",IFERROR(INDEX(Settings!$J$11:$J$15,MATCH(Q1535,Settings!$H$11:$H$15,0)),"No"))</f>
        <v/>
      </c>
    </row>
    <row r="1536" customFormat="false" ht="15" hidden="false" customHeight="false" outlineLevel="0" collapsed="false">
      <c r="A1536" s="30"/>
      <c r="B1536" s="25"/>
      <c r="C1536" s="25"/>
      <c r="D1536" s="25"/>
      <c r="E1536" s="25"/>
      <c r="F1536" s="25"/>
      <c r="G1536" s="25"/>
      <c r="H1536" s="31"/>
      <c r="I1536" s="32"/>
      <c r="J1536" s="33"/>
      <c r="K1536" s="34" t="str">
        <f aca="false">IF(OR(H1536="",I1536=""),"",H1536*I1536*(1-N(J1536)))</f>
        <v/>
      </c>
      <c r="L1536" s="32"/>
      <c r="M1536" s="34" t="str">
        <f aca="false">IF(OR(H1536="",L1536=""),"",H1536*L1536)</f>
        <v/>
      </c>
      <c r="N1536" s="34" t="str">
        <f aca="false">IF(OR(K1536="",M1536=""),"",K1536-M1536)</f>
        <v/>
      </c>
      <c r="O1536" s="35" t="str">
        <f aca="false">IF(OR(N1536="",K1536=""),"",IF(K1536=0,"",N1536/K1536))</f>
        <v/>
      </c>
      <c r="P1536" s="25"/>
      <c r="Q1536" s="25"/>
      <c r="R1536" s="25"/>
      <c r="S1536" s="36" t="str">
        <f aca="false">IF(A1536="","",YEAR(A1536)+IF(AND(FYStart&gt;1,MONTH(A1536)&gt;=FYStart),1,0))</f>
        <v/>
      </c>
      <c r="T1536" s="36" t="str">
        <f aca="false">IF(A1536="","",MOD(MONTH(A1536)-FYStart,12)+1)</f>
        <v/>
      </c>
      <c r="U1536" s="37" t="str">
        <f aca="false">IF(A1536="","",TEXT(A1536,"mmm"))</f>
        <v/>
      </c>
      <c r="V1536" s="37" t="str">
        <f aca="false">IF(Q1536="","",IFERROR(INDEX(Settings!$I$11:$I$15,MATCH(Q1536,Settings!$H$11:$H$15,0)),"No"))</f>
        <v/>
      </c>
      <c r="W1536" s="37" t="str">
        <f aca="false">IF(Q1536="","",IFERROR(INDEX(Settings!$J$11:$J$15,MATCH(Q1536,Settings!$H$11:$H$15,0)),"No"))</f>
        <v/>
      </c>
    </row>
    <row r="1537" customFormat="false" ht="15" hidden="false" customHeight="false" outlineLevel="0" collapsed="false">
      <c r="A1537" s="30"/>
      <c r="B1537" s="25"/>
      <c r="C1537" s="25"/>
      <c r="D1537" s="25"/>
      <c r="E1537" s="25"/>
      <c r="F1537" s="25"/>
      <c r="G1537" s="25"/>
      <c r="H1537" s="31"/>
      <c r="I1537" s="32"/>
      <c r="J1537" s="33"/>
      <c r="K1537" s="34" t="str">
        <f aca="false">IF(OR(H1537="",I1537=""),"",H1537*I1537*(1-N(J1537)))</f>
        <v/>
      </c>
      <c r="L1537" s="32"/>
      <c r="M1537" s="34" t="str">
        <f aca="false">IF(OR(H1537="",L1537=""),"",H1537*L1537)</f>
        <v/>
      </c>
      <c r="N1537" s="34" t="str">
        <f aca="false">IF(OR(K1537="",M1537=""),"",K1537-M1537)</f>
        <v/>
      </c>
      <c r="O1537" s="35" t="str">
        <f aca="false">IF(OR(N1537="",K1537=""),"",IF(K1537=0,"",N1537/K1537))</f>
        <v/>
      </c>
      <c r="P1537" s="25"/>
      <c r="Q1537" s="25"/>
      <c r="R1537" s="25"/>
      <c r="S1537" s="36" t="str">
        <f aca="false">IF(A1537="","",YEAR(A1537)+IF(AND(FYStart&gt;1,MONTH(A1537)&gt;=FYStart),1,0))</f>
        <v/>
      </c>
      <c r="T1537" s="36" t="str">
        <f aca="false">IF(A1537="","",MOD(MONTH(A1537)-FYStart,12)+1)</f>
        <v/>
      </c>
      <c r="U1537" s="37" t="str">
        <f aca="false">IF(A1537="","",TEXT(A1537,"mmm"))</f>
        <v/>
      </c>
      <c r="V1537" s="37" t="str">
        <f aca="false">IF(Q1537="","",IFERROR(INDEX(Settings!$I$11:$I$15,MATCH(Q1537,Settings!$H$11:$H$15,0)),"No"))</f>
        <v/>
      </c>
      <c r="W1537" s="37" t="str">
        <f aca="false">IF(Q1537="","",IFERROR(INDEX(Settings!$J$11:$J$15,MATCH(Q1537,Settings!$H$11:$H$15,0)),"No"))</f>
        <v/>
      </c>
    </row>
    <row r="1538" customFormat="false" ht="15" hidden="false" customHeight="false" outlineLevel="0" collapsed="false">
      <c r="A1538" s="30"/>
      <c r="B1538" s="25"/>
      <c r="C1538" s="25"/>
      <c r="D1538" s="25"/>
      <c r="E1538" s="25"/>
      <c r="F1538" s="25"/>
      <c r="G1538" s="25"/>
      <c r="H1538" s="31"/>
      <c r="I1538" s="32"/>
      <c r="J1538" s="33"/>
      <c r="K1538" s="34" t="str">
        <f aca="false">IF(OR(H1538="",I1538=""),"",H1538*I1538*(1-N(J1538)))</f>
        <v/>
      </c>
      <c r="L1538" s="32"/>
      <c r="M1538" s="34" t="str">
        <f aca="false">IF(OR(H1538="",L1538=""),"",H1538*L1538)</f>
        <v/>
      </c>
      <c r="N1538" s="34" t="str">
        <f aca="false">IF(OR(K1538="",M1538=""),"",K1538-M1538)</f>
        <v/>
      </c>
      <c r="O1538" s="35" t="str">
        <f aca="false">IF(OR(N1538="",K1538=""),"",IF(K1538=0,"",N1538/K1538))</f>
        <v/>
      </c>
      <c r="P1538" s="25"/>
      <c r="Q1538" s="25"/>
      <c r="R1538" s="25"/>
      <c r="S1538" s="36" t="str">
        <f aca="false">IF(A1538="","",YEAR(A1538)+IF(AND(FYStart&gt;1,MONTH(A1538)&gt;=FYStart),1,0))</f>
        <v/>
      </c>
      <c r="T1538" s="36" t="str">
        <f aca="false">IF(A1538="","",MOD(MONTH(A1538)-FYStart,12)+1)</f>
        <v/>
      </c>
      <c r="U1538" s="37" t="str">
        <f aca="false">IF(A1538="","",TEXT(A1538,"mmm"))</f>
        <v/>
      </c>
      <c r="V1538" s="37" t="str">
        <f aca="false">IF(Q1538="","",IFERROR(INDEX(Settings!$I$11:$I$15,MATCH(Q1538,Settings!$H$11:$H$15,0)),"No"))</f>
        <v/>
      </c>
      <c r="W1538" s="37" t="str">
        <f aca="false">IF(Q1538="","",IFERROR(INDEX(Settings!$J$11:$J$15,MATCH(Q1538,Settings!$H$11:$H$15,0)),"No"))</f>
        <v/>
      </c>
    </row>
    <row r="1539" customFormat="false" ht="15" hidden="false" customHeight="false" outlineLevel="0" collapsed="false">
      <c r="A1539" s="30"/>
      <c r="B1539" s="25"/>
      <c r="C1539" s="25"/>
      <c r="D1539" s="25"/>
      <c r="E1539" s="25"/>
      <c r="F1539" s="25"/>
      <c r="G1539" s="25"/>
      <c r="H1539" s="31"/>
      <c r="I1539" s="32"/>
      <c r="J1539" s="33"/>
      <c r="K1539" s="34" t="str">
        <f aca="false">IF(OR(H1539="",I1539=""),"",H1539*I1539*(1-N(J1539)))</f>
        <v/>
      </c>
      <c r="L1539" s="32"/>
      <c r="M1539" s="34" t="str">
        <f aca="false">IF(OR(H1539="",L1539=""),"",H1539*L1539)</f>
        <v/>
      </c>
      <c r="N1539" s="34" t="str">
        <f aca="false">IF(OR(K1539="",M1539=""),"",K1539-M1539)</f>
        <v/>
      </c>
      <c r="O1539" s="35" t="str">
        <f aca="false">IF(OR(N1539="",K1539=""),"",IF(K1539=0,"",N1539/K1539))</f>
        <v/>
      </c>
      <c r="P1539" s="25"/>
      <c r="Q1539" s="25"/>
      <c r="R1539" s="25"/>
      <c r="S1539" s="36" t="str">
        <f aca="false">IF(A1539="","",YEAR(A1539)+IF(AND(FYStart&gt;1,MONTH(A1539)&gt;=FYStart),1,0))</f>
        <v/>
      </c>
      <c r="T1539" s="36" t="str">
        <f aca="false">IF(A1539="","",MOD(MONTH(A1539)-FYStart,12)+1)</f>
        <v/>
      </c>
      <c r="U1539" s="37" t="str">
        <f aca="false">IF(A1539="","",TEXT(A1539,"mmm"))</f>
        <v/>
      </c>
      <c r="V1539" s="37" t="str">
        <f aca="false">IF(Q1539="","",IFERROR(INDEX(Settings!$I$11:$I$15,MATCH(Q1539,Settings!$H$11:$H$15,0)),"No"))</f>
        <v/>
      </c>
      <c r="W1539" s="37" t="str">
        <f aca="false">IF(Q1539="","",IFERROR(INDEX(Settings!$J$11:$J$15,MATCH(Q1539,Settings!$H$11:$H$15,0)),"No"))</f>
        <v/>
      </c>
    </row>
    <row r="1540" customFormat="false" ht="15" hidden="false" customHeight="false" outlineLevel="0" collapsed="false">
      <c r="A1540" s="30"/>
      <c r="B1540" s="25"/>
      <c r="C1540" s="25"/>
      <c r="D1540" s="25"/>
      <c r="E1540" s="25"/>
      <c r="F1540" s="25"/>
      <c r="G1540" s="25"/>
      <c r="H1540" s="31"/>
      <c r="I1540" s="32"/>
      <c r="J1540" s="33"/>
      <c r="K1540" s="34" t="str">
        <f aca="false">IF(OR(H1540="",I1540=""),"",H1540*I1540*(1-N(J1540)))</f>
        <v/>
      </c>
      <c r="L1540" s="32"/>
      <c r="M1540" s="34" t="str">
        <f aca="false">IF(OR(H1540="",L1540=""),"",H1540*L1540)</f>
        <v/>
      </c>
      <c r="N1540" s="34" t="str">
        <f aca="false">IF(OR(K1540="",M1540=""),"",K1540-M1540)</f>
        <v/>
      </c>
      <c r="O1540" s="35" t="str">
        <f aca="false">IF(OR(N1540="",K1540=""),"",IF(K1540=0,"",N1540/K1540))</f>
        <v/>
      </c>
      <c r="P1540" s="25"/>
      <c r="Q1540" s="25"/>
      <c r="R1540" s="25"/>
      <c r="S1540" s="36" t="str">
        <f aca="false">IF(A1540="","",YEAR(A1540)+IF(AND(FYStart&gt;1,MONTH(A1540)&gt;=FYStart),1,0))</f>
        <v/>
      </c>
      <c r="T1540" s="36" t="str">
        <f aca="false">IF(A1540="","",MOD(MONTH(A1540)-FYStart,12)+1)</f>
        <v/>
      </c>
      <c r="U1540" s="37" t="str">
        <f aca="false">IF(A1540="","",TEXT(A1540,"mmm"))</f>
        <v/>
      </c>
      <c r="V1540" s="37" t="str">
        <f aca="false">IF(Q1540="","",IFERROR(INDEX(Settings!$I$11:$I$15,MATCH(Q1540,Settings!$H$11:$H$15,0)),"No"))</f>
        <v/>
      </c>
      <c r="W1540" s="37" t="str">
        <f aca="false">IF(Q1540="","",IFERROR(INDEX(Settings!$J$11:$J$15,MATCH(Q1540,Settings!$H$11:$H$15,0)),"No"))</f>
        <v/>
      </c>
    </row>
    <row r="1541" customFormat="false" ht="15" hidden="false" customHeight="false" outlineLevel="0" collapsed="false">
      <c r="A1541" s="30"/>
      <c r="B1541" s="25"/>
      <c r="C1541" s="25"/>
      <c r="D1541" s="25"/>
      <c r="E1541" s="25"/>
      <c r="F1541" s="25"/>
      <c r="G1541" s="25"/>
      <c r="H1541" s="31"/>
      <c r="I1541" s="32"/>
      <c r="J1541" s="33"/>
      <c r="K1541" s="34" t="str">
        <f aca="false">IF(OR(H1541="",I1541=""),"",H1541*I1541*(1-N(J1541)))</f>
        <v/>
      </c>
      <c r="L1541" s="32"/>
      <c r="M1541" s="34" t="str">
        <f aca="false">IF(OR(H1541="",L1541=""),"",H1541*L1541)</f>
        <v/>
      </c>
      <c r="N1541" s="34" t="str">
        <f aca="false">IF(OR(K1541="",M1541=""),"",K1541-M1541)</f>
        <v/>
      </c>
      <c r="O1541" s="35" t="str">
        <f aca="false">IF(OR(N1541="",K1541=""),"",IF(K1541=0,"",N1541/K1541))</f>
        <v/>
      </c>
      <c r="P1541" s="25"/>
      <c r="Q1541" s="25"/>
      <c r="R1541" s="25"/>
      <c r="S1541" s="36" t="str">
        <f aca="false">IF(A1541="","",YEAR(A1541)+IF(AND(FYStart&gt;1,MONTH(A1541)&gt;=FYStart),1,0))</f>
        <v/>
      </c>
      <c r="T1541" s="36" t="str">
        <f aca="false">IF(A1541="","",MOD(MONTH(A1541)-FYStart,12)+1)</f>
        <v/>
      </c>
      <c r="U1541" s="37" t="str">
        <f aca="false">IF(A1541="","",TEXT(A1541,"mmm"))</f>
        <v/>
      </c>
      <c r="V1541" s="37" t="str">
        <f aca="false">IF(Q1541="","",IFERROR(INDEX(Settings!$I$11:$I$15,MATCH(Q1541,Settings!$H$11:$H$15,0)),"No"))</f>
        <v/>
      </c>
      <c r="W1541" s="37" t="str">
        <f aca="false">IF(Q1541="","",IFERROR(INDEX(Settings!$J$11:$J$15,MATCH(Q1541,Settings!$H$11:$H$15,0)),"No"))</f>
        <v/>
      </c>
    </row>
    <row r="1542" customFormat="false" ht="15" hidden="false" customHeight="false" outlineLevel="0" collapsed="false">
      <c r="A1542" s="30"/>
      <c r="B1542" s="25"/>
      <c r="C1542" s="25"/>
      <c r="D1542" s="25"/>
      <c r="E1542" s="25"/>
      <c r="F1542" s="25"/>
      <c r="G1542" s="25"/>
      <c r="H1542" s="31"/>
      <c r="I1542" s="32"/>
      <c r="J1542" s="33"/>
      <c r="K1542" s="34" t="str">
        <f aca="false">IF(OR(H1542="",I1542=""),"",H1542*I1542*(1-N(J1542)))</f>
        <v/>
      </c>
      <c r="L1542" s="32"/>
      <c r="M1542" s="34" t="str">
        <f aca="false">IF(OR(H1542="",L1542=""),"",H1542*L1542)</f>
        <v/>
      </c>
      <c r="N1542" s="34" t="str">
        <f aca="false">IF(OR(K1542="",M1542=""),"",K1542-M1542)</f>
        <v/>
      </c>
      <c r="O1542" s="35" t="str">
        <f aca="false">IF(OR(N1542="",K1542=""),"",IF(K1542=0,"",N1542/K1542))</f>
        <v/>
      </c>
      <c r="P1542" s="25"/>
      <c r="Q1542" s="25"/>
      <c r="R1542" s="25"/>
      <c r="S1542" s="36" t="str">
        <f aca="false">IF(A1542="","",YEAR(A1542)+IF(AND(FYStart&gt;1,MONTH(A1542)&gt;=FYStart),1,0))</f>
        <v/>
      </c>
      <c r="T1542" s="36" t="str">
        <f aca="false">IF(A1542="","",MOD(MONTH(A1542)-FYStart,12)+1)</f>
        <v/>
      </c>
      <c r="U1542" s="37" t="str">
        <f aca="false">IF(A1542="","",TEXT(A1542,"mmm"))</f>
        <v/>
      </c>
      <c r="V1542" s="37" t="str">
        <f aca="false">IF(Q1542="","",IFERROR(INDEX(Settings!$I$11:$I$15,MATCH(Q1542,Settings!$H$11:$H$15,0)),"No"))</f>
        <v/>
      </c>
      <c r="W1542" s="37" t="str">
        <f aca="false">IF(Q1542="","",IFERROR(INDEX(Settings!$J$11:$J$15,MATCH(Q1542,Settings!$H$11:$H$15,0)),"No"))</f>
        <v/>
      </c>
    </row>
    <row r="1543" customFormat="false" ht="15" hidden="false" customHeight="false" outlineLevel="0" collapsed="false">
      <c r="A1543" s="30"/>
      <c r="B1543" s="25"/>
      <c r="C1543" s="25"/>
      <c r="D1543" s="25"/>
      <c r="E1543" s="25"/>
      <c r="F1543" s="25"/>
      <c r="G1543" s="25"/>
      <c r="H1543" s="31"/>
      <c r="I1543" s="32"/>
      <c r="J1543" s="33"/>
      <c r="K1543" s="34" t="str">
        <f aca="false">IF(OR(H1543="",I1543=""),"",H1543*I1543*(1-N(J1543)))</f>
        <v/>
      </c>
      <c r="L1543" s="32"/>
      <c r="M1543" s="34" t="str">
        <f aca="false">IF(OR(H1543="",L1543=""),"",H1543*L1543)</f>
        <v/>
      </c>
      <c r="N1543" s="34" t="str">
        <f aca="false">IF(OR(K1543="",M1543=""),"",K1543-M1543)</f>
        <v/>
      </c>
      <c r="O1543" s="35" t="str">
        <f aca="false">IF(OR(N1543="",K1543=""),"",IF(K1543=0,"",N1543/K1543))</f>
        <v/>
      </c>
      <c r="P1543" s="25"/>
      <c r="Q1543" s="25"/>
      <c r="R1543" s="25"/>
      <c r="S1543" s="36" t="str">
        <f aca="false">IF(A1543="","",YEAR(A1543)+IF(AND(FYStart&gt;1,MONTH(A1543)&gt;=FYStart),1,0))</f>
        <v/>
      </c>
      <c r="T1543" s="36" t="str">
        <f aca="false">IF(A1543="","",MOD(MONTH(A1543)-FYStart,12)+1)</f>
        <v/>
      </c>
      <c r="U1543" s="37" t="str">
        <f aca="false">IF(A1543="","",TEXT(A1543,"mmm"))</f>
        <v/>
      </c>
      <c r="V1543" s="37" t="str">
        <f aca="false">IF(Q1543="","",IFERROR(INDEX(Settings!$I$11:$I$15,MATCH(Q1543,Settings!$H$11:$H$15,0)),"No"))</f>
        <v/>
      </c>
      <c r="W1543" s="37" t="str">
        <f aca="false">IF(Q1543="","",IFERROR(INDEX(Settings!$J$11:$J$15,MATCH(Q1543,Settings!$H$11:$H$15,0)),"No"))</f>
        <v/>
      </c>
    </row>
    <row r="1544" customFormat="false" ht="15" hidden="false" customHeight="false" outlineLevel="0" collapsed="false">
      <c r="A1544" s="30"/>
      <c r="B1544" s="25"/>
      <c r="C1544" s="25"/>
      <c r="D1544" s="25"/>
      <c r="E1544" s="25"/>
      <c r="F1544" s="25"/>
      <c r="G1544" s="25"/>
      <c r="H1544" s="31"/>
      <c r="I1544" s="32"/>
      <c r="J1544" s="33"/>
      <c r="K1544" s="34" t="str">
        <f aca="false">IF(OR(H1544="",I1544=""),"",H1544*I1544*(1-N(J1544)))</f>
        <v/>
      </c>
      <c r="L1544" s="32"/>
      <c r="M1544" s="34" t="str">
        <f aca="false">IF(OR(H1544="",L1544=""),"",H1544*L1544)</f>
        <v/>
      </c>
      <c r="N1544" s="34" t="str">
        <f aca="false">IF(OR(K1544="",M1544=""),"",K1544-M1544)</f>
        <v/>
      </c>
      <c r="O1544" s="35" t="str">
        <f aca="false">IF(OR(N1544="",K1544=""),"",IF(K1544=0,"",N1544/K1544))</f>
        <v/>
      </c>
      <c r="P1544" s="25"/>
      <c r="Q1544" s="25"/>
      <c r="R1544" s="25"/>
      <c r="S1544" s="36" t="str">
        <f aca="false">IF(A1544="","",YEAR(A1544)+IF(AND(FYStart&gt;1,MONTH(A1544)&gt;=FYStart),1,0))</f>
        <v/>
      </c>
      <c r="T1544" s="36" t="str">
        <f aca="false">IF(A1544="","",MOD(MONTH(A1544)-FYStart,12)+1)</f>
        <v/>
      </c>
      <c r="U1544" s="37" t="str">
        <f aca="false">IF(A1544="","",TEXT(A1544,"mmm"))</f>
        <v/>
      </c>
      <c r="V1544" s="37" t="str">
        <f aca="false">IF(Q1544="","",IFERROR(INDEX(Settings!$I$11:$I$15,MATCH(Q1544,Settings!$H$11:$H$15,0)),"No"))</f>
        <v/>
      </c>
      <c r="W1544" s="37" t="str">
        <f aca="false">IF(Q1544="","",IFERROR(INDEX(Settings!$J$11:$J$15,MATCH(Q1544,Settings!$H$11:$H$15,0)),"No"))</f>
        <v/>
      </c>
    </row>
    <row r="1545" customFormat="false" ht="15" hidden="false" customHeight="false" outlineLevel="0" collapsed="false">
      <c r="A1545" s="30"/>
      <c r="B1545" s="25"/>
      <c r="C1545" s="25"/>
      <c r="D1545" s="25"/>
      <c r="E1545" s="25"/>
      <c r="F1545" s="25"/>
      <c r="G1545" s="25"/>
      <c r="H1545" s="31"/>
      <c r="I1545" s="32"/>
      <c r="J1545" s="33"/>
      <c r="K1545" s="34" t="str">
        <f aca="false">IF(OR(H1545="",I1545=""),"",H1545*I1545*(1-N(J1545)))</f>
        <v/>
      </c>
      <c r="L1545" s="32"/>
      <c r="M1545" s="34" t="str">
        <f aca="false">IF(OR(H1545="",L1545=""),"",H1545*L1545)</f>
        <v/>
      </c>
      <c r="N1545" s="34" t="str">
        <f aca="false">IF(OR(K1545="",M1545=""),"",K1545-M1545)</f>
        <v/>
      </c>
      <c r="O1545" s="35" t="str">
        <f aca="false">IF(OR(N1545="",K1545=""),"",IF(K1545=0,"",N1545/K1545))</f>
        <v/>
      </c>
      <c r="P1545" s="25"/>
      <c r="Q1545" s="25"/>
      <c r="R1545" s="25"/>
      <c r="S1545" s="36" t="str">
        <f aca="false">IF(A1545="","",YEAR(A1545)+IF(AND(FYStart&gt;1,MONTH(A1545)&gt;=FYStart),1,0))</f>
        <v/>
      </c>
      <c r="T1545" s="36" t="str">
        <f aca="false">IF(A1545="","",MOD(MONTH(A1545)-FYStart,12)+1)</f>
        <v/>
      </c>
      <c r="U1545" s="37" t="str">
        <f aca="false">IF(A1545="","",TEXT(A1545,"mmm"))</f>
        <v/>
      </c>
      <c r="V1545" s="37" t="str">
        <f aca="false">IF(Q1545="","",IFERROR(INDEX(Settings!$I$11:$I$15,MATCH(Q1545,Settings!$H$11:$H$15,0)),"No"))</f>
        <v/>
      </c>
      <c r="W1545" s="37" t="str">
        <f aca="false">IF(Q1545="","",IFERROR(INDEX(Settings!$J$11:$J$15,MATCH(Q1545,Settings!$H$11:$H$15,0)),"No"))</f>
        <v/>
      </c>
    </row>
    <row r="1546" customFormat="false" ht="15" hidden="false" customHeight="false" outlineLevel="0" collapsed="false">
      <c r="A1546" s="30"/>
      <c r="B1546" s="25"/>
      <c r="C1546" s="25"/>
      <c r="D1546" s="25"/>
      <c r="E1546" s="25"/>
      <c r="F1546" s="25"/>
      <c r="G1546" s="25"/>
      <c r="H1546" s="31"/>
      <c r="I1546" s="32"/>
      <c r="J1546" s="33"/>
      <c r="K1546" s="34" t="str">
        <f aca="false">IF(OR(H1546="",I1546=""),"",H1546*I1546*(1-N(J1546)))</f>
        <v/>
      </c>
      <c r="L1546" s="32"/>
      <c r="M1546" s="34" t="str">
        <f aca="false">IF(OR(H1546="",L1546=""),"",H1546*L1546)</f>
        <v/>
      </c>
      <c r="N1546" s="34" t="str">
        <f aca="false">IF(OR(K1546="",M1546=""),"",K1546-M1546)</f>
        <v/>
      </c>
      <c r="O1546" s="35" t="str">
        <f aca="false">IF(OR(N1546="",K1546=""),"",IF(K1546=0,"",N1546/K1546))</f>
        <v/>
      </c>
      <c r="P1546" s="25"/>
      <c r="Q1546" s="25"/>
      <c r="R1546" s="25"/>
      <c r="S1546" s="36" t="str">
        <f aca="false">IF(A1546="","",YEAR(A1546)+IF(AND(FYStart&gt;1,MONTH(A1546)&gt;=FYStart),1,0))</f>
        <v/>
      </c>
      <c r="T1546" s="36" t="str">
        <f aca="false">IF(A1546="","",MOD(MONTH(A1546)-FYStart,12)+1)</f>
        <v/>
      </c>
      <c r="U1546" s="37" t="str">
        <f aca="false">IF(A1546="","",TEXT(A1546,"mmm"))</f>
        <v/>
      </c>
      <c r="V1546" s="37" t="str">
        <f aca="false">IF(Q1546="","",IFERROR(INDEX(Settings!$I$11:$I$15,MATCH(Q1546,Settings!$H$11:$H$15,0)),"No"))</f>
        <v/>
      </c>
      <c r="W1546" s="37" t="str">
        <f aca="false">IF(Q1546="","",IFERROR(INDEX(Settings!$J$11:$J$15,MATCH(Q1546,Settings!$H$11:$H$15,0)),"No"))</f>
        <v/>
      </c>
    </row>
    <row r="1547" customFormat="false" ht="15" hidden="false" customHeight="false" outlineLevel="0" collapsed="false">
      <c r="A1547" s="30"/>
      <c r="B1547" s="25"/>
      <c r="C1547" s="25"/>
      <c r="D1547" s="25"/>
      <c r="E1547" s="25"/>
      <c r="F1547" s="25"/>
      <c r="G1547" s="25"/>
      <c r="H1547" s="31"/>
      <c r="I1547" s="32"/>
      <c r="J1547" s="33"/>
      <c r="K1547" s="34" t="str">
        <f aca="false">IF(OR(H1547="",I1547=""),"",H1547*I1547*(1-N(J1547)))</f>
        <v/>
      </c>
      <c r="L1547" s="32"/>
      <c r="M1547" s="34" t="str">
        <f aca="false">IF(OR(H1547="",L1547=""),"",H1547*L1547)</f>
        <v/>
      </c>
      <c r="N1547" s="34" t="str">
        <f aca="false">IF(OR(K1547="",M1547=""),"",K1547-M1547)</f>
        <v/>
      </c>
      <c r="O1547" s="35" t="str">
        <f aca="false">IF(OR(N1547="",K1547=""),"",IF(K1547=0,"",N1547/K1547))</f>
        <v/>
      </c>
      <c r="P1547" s="25"/>
      <c r="Q1547" s="25"/>
      <c r="R1547" s="25"/>
      <c r="S1547" s="36" t="str">
        <f aca="false">IF(A1547="","",YEAR(A1547)+IF(AND(FYStart&gt;1,MONTH(A1547)&gt;=FYStart),1,0))</f>
        <v/>
      </c>
      <c r="T1547" s="36" t="str">
        <f aca="false">IF(A1547="","",MOD(MONTH(A1547)-FYStart,12)+1)</f>
        <v/>
      </c>
      <c r="U1547" s="37" t="str">
        <f aca="false">IF(A1547="","",TEXT(A1547,"mmm"))</f>
        <v/>
      </c>
      <c r="V1547" s="37" t="str">
        <f aca="false">IF(Q1547="","",IFERROR(INDEX(Settings!$I$11:$I$15,MATCH(Q1547,Settings!$H$11:$H$15,0)),"No"))</f>
        <v/>
      </c>
      <c r="W1547" s="37" t="str">
        <f aca="false">IF(Q1547="","",IFERROR(INDEX(Settings!$J$11:$J$15,MATCH(Q1547,Settings!$H$11:$H$15,0)),"No"))</f>
        <v/>
      </c>
    </row>
    <row r="1548" customFormat="false" ht="15" hidden="false" customHeight="false" outlineLevel="0" collapsed="false">
      <c r="A1548" s="30"/>
      <c r="B1548" s="25"/>
      <c r="C1548" s="25"/>
      <c r="D1548" s="25"/>
      <c r="E1548" s="25"/>
      <c r="F1548" s="25"/>
      <c r="G1548" s="25"/>
      <c r="H1548" s="31"/>
      <c r="I1548" s="32"/>
      <c r="J1548" s="33"/>
      <c r="K1548" s="34" t="str">
        <f aca="false">IF(OR(H1548="",I1548=""),"",H1548*I1548*(1-N(J1548)))</f>
        <v/>
      </c>
      <c r="L1548" s="32"/>
      <c r="M1548" s="34" t="str">
        <f aca="false">IF(OR(H1548="",L1548=""),"",H1548*L1548)</f>
        <v/>
      </c>
      <c r="N1548" s="34" t="str">
        <f aca="false">IF(OR(K1548="",M1548=""),"",K1548-M1548)</f>
        <v/>
      </c>
      <c r="O1548" s="35" t="str">
        <f aca="false">IF(OR(N1548="",K1548=""),"",IF(K1548=0,"",N1548/K1548))</f>
        <v/>
      </c>
      <c r="P1548" s="25"/>
      <c r="Q1548" s="25"/>
      <c r="R1548" s="25"/>
      <c r="S1548" s="36" t="str">
        <f aca="false">IF(A1548="","",YEAR(A1548)+IF(AND(FYStart&gt;1,MONTH(A1548)&gt;=FYStart),1,0))</f>
        <v/>
      </c>
      <c r="T1548" s="36" t="str">
        <f aca="false">IF(A1548="","",MOD(MONTH(A1548)-FYStart,12)+1)</f>
        <v/>
      </c>
      <c r="U1548" s="37" t="str">
        <f aca="false">IF(A1548="","",TEXT(A1548,"mmm"))</f>
        <v/>
      </c>
      <c r="V1548" s="37" t="str">
        <f aca="false">IF(Q1548="","",IFERROR(INDEX(Settings!$I$11:$I$15,MATCH(Q1548,Settings!$H$11:$H$15,0)),"No"))</f>
        <v/>
      </c>
      <c r="W1548" s="37" t="str">
        <f aca="false">IF(Q1548="","",IFERROR(INDEX(Settings!$J$11:$J$15,MATCH(Q1548,Settings!$H$11:$H$15,0)),"No"))</f>
        <v/>
      </c>
    </row>
    <row r="1549" customFormat="false" ht="15" hidden="false" customHeight="false" outlineLevel="0" collapsed="false">
      <c r="A1549" s="30"/>
      <c r="B1549" s="25"/>
      <c r="C1549" s="25"/>
      <c r="D1549" s="25"/>
      <c r="E1549" s="25"/>
      <c r="F1549" s="25"/>
      <c r="G1549" s="25"/>
      <c r="H1549" s="31"/>
      <c r="I1549" s="32"/>
      <c r="J1549" s="33"/>
      <c r="K1549" s="34" t="str">
        <f aca="false">IF(OR(H1549="",I1549=""),"",H1549*I1549*(1-N(J1549)))</f>
        <v/>
      </c>
      <c r="L1549" s="32"/>
      <c r="M1549" s="34" t="str">
        <f aca="false">IF(OR(H1549="",L1549=""),"",H1549*L1549)</f>
        <v/>
      </c>
      <c r="N1549" s="34" t="str">
        <f aca="false">IF(OR(K1549="",M1549=""),"",K1549-M1549)</f>
        <v/>
      </c>
      <c r="O1549" s="35" t="str">
        <f aca="false">IF(OR(N1549="",K1549=""),"",IF(K1549=0,"",N1549/K1549))</f>
        <v/>
      </c>
      <c r="P1549" s="25"/>
      <c r="Q1549" s="25"/>
      <c r="R1549" s="25"/>
      <c r="S1549" s="36" t="str">
        <f aca="false">IF(A1549="","",YEAR(A1549)+IF(AND(FYStart&gt;1,MONTH(A1549)&gt;=FYStart),1,0))</f>
        <v/>
      </c>
      <c r="T1549" s="36" t="str">
        <f aca="false">IF(A1549="","",MOD(MONTH(A1549)-FYStart,12)+1)</f>
        <v/>
      </c>
      <c r="U1549" s="37" t="str">
        <f aca="false">IF(A1549="","",TEXT(A1549,"mmm"))</f>
        <v/>
      </c>
      <c r="V1549" s="37" t="str">
        <f aca="false">IF(Q1549="","",IFERROR(INDEX(Settings!$I$11:$I$15,MATCH(Q1549,Settings!$H$11:$H$15,0)),"No"))</f>
        <v/>
      </c>
      <c r="W1549" s="37" t="str">
        <f aca="false">IF(Q1549="","",IFERROR(INDEX(Settings!$J$11:$J$15,MATCH(Q1549,Settings!$H$11:$H$15,0)),"No"))</f>
        <v/>
      </c>
    </row>
    <row r="1550" customFormat="false" ht="15" hidden="false" customHeight="false" outlineLevel="0" collapsed="false">
      <c r="A1550" s="30"/>
      <c r="B1550" s="25"/>
      <c r="C1550" s="25"/>
      <c r="D1550" s="25"/>
      <c r="E1550" s="25"/>
      <c r="F1550" s="25"/>
      <c r="G1550" s="25"/>
      <c r="H1550" s="31"/>
      <c r="I1550" s="32"/>
      <c r="J1550" s="33"/>
      <c r="K1550" s="34" t="str">
        <f aca="false">IF(OR(H1550="",I1550=""),"",H1550*I1550*(1-N(J1550)))</f>
        <v/>
      </c>
      <c r="L1550" s="32"/>
      <c r="M1550" s="34" t="str">
        <f aca="false">IF(OR(H1550="",L1550=""),"",H1550*L1550)</f>
        <v/>
      </c>
      <c r="N1550" s="34" t="str">
        <f aca="false">IF(OR(K1550="",M1550=""),"",K1550-M1550)</f>
        <v/>
      </c>
      <c r="O1550" s="35" t="str">
        <f aca="false">IF(OR(N1550="",K1550=""),"",IF(K1550=0,"",N1550/K1550))</f>
        <v/>
      </c>
      <c r="P1550" s="25"/>
      <c r="Q1550" s="25"/>
      <c r="R1550" s="25"/>
      <c r="S1550" s="36" t="str">
        <f aca="false">IF(A1550="","",YEAR(A1550)+IF(AND(FYStart&gt;1,MONTH(A1550)&gt;=FYStart),1,0))</f>
        <v/>
      </c>
      <c r="T1550" s="36" t="str">
        <f aca="false">IF(A1550="","",MOD(MONTH(A1550)-FYStart,12)+1)</f>
        <v/>
      </c>
      <c r="U1550" s="37" t="str">
        <f aca="false">IF(A1550="","",TEXT(A1550,"mmm"))</f>
        <v/>
      </c>
      <c r="V1550" s="37" t="str">
        <f aca="false">IF(Q1550="","",IFERROR(INDEX(Settings!$I$11:$I$15,MATCH(Q1550,Settings!$H$11:$H$15,0)),"No"))</f>
        <v/>
      </c>
      <c r="W1550" s="37" t="str">
        <f aca="false">IF(Q1550="","",IFERROR(INDEX(Settings!$J$11:$J$15,MATCH(Q1550,Settings!$H$11:$H$15,0)),"No"))</f>
        <v/>
      </c>
    </row>
    <row r="1551" customFormat="false" ht="15" hidden="false" customHeight="false" outlineLevel="0" collapsed="false">
      <c r="A1551" s="30"/>
      <c r="B1551" s="25"/>
      <c r="C1551" s="25"/>
      <c r="D1551" s="25"/>
      <c r="E1551" s="25"/>
      <c r="F1551" s="25"/>
      <c r="G1551" s="25"/>
      <c r="H1551" s="31"/>
      <c r="I1551" s="32"/>
      <c r="J1551" s="33"/>
      <c r="K1551" s="34" t="str">
        <f aca="false">IF(OR(H1551="",I1551=""),"",H1551*I1551*(1-N(J1551)))</f>
        <v/>
      </c>
      <c r="L1551" s="32"/>
      <c r="M1551" s="34" t="str">
        <f aca="false">IF(OR(H1551="",L1551=""),"",H1551*L1551)</f>
        <v/>
      </c>
      <c r="N1551" s="34" t="str">
        <f aca="false">IF(OR(K1551="",M1551=""),"",K1551-M1551)</f>
        <v/>
      </c>
      <c r="O1551" s="35" t="str">
        <f aca="false">IF(OR(N1551="",K1551=""),"",IF(K1551=0,"",N1551/K1551))</f>
        <v/>
      </c>
      <c r="P1551" s="25"/>
      <c r="Q1551" s="25"/>
      <c r="R1551" s="25"/>
      <c r="S1551" s="36" t="str">
        <f aca="false">IF(A1551="","",YEAR(A1551)+IF(AND(FYStart&gt;1,MONTH(A1551)&gt;=FYStart),1,0))</f>
        <v/>
      </c>
      <c r="T1551" s="36" t="str">
        <f aca="false">IF(A1551="","",MOD(MONTH(A1551)-FYStart,12)+1)</f>
        <v/>
      </c>
      <c r="U1551" s="37" t="str">
        <f aca="false">IF(A1551="","",TEXT(A1551,"mmm"))</f>
        <v/>
      </c>
      <c r="V1551" s="37" t="str">
        <f aca="false">IF(Q1551="","",IFERROR(INDEX(Settings!$I$11:$I$15,MATCH(Q1551,Settings!$H$11:$H$15,0)),"No"))</f>
        <v/>
      </c>
      <c r="W1551" s="37" t="str">
        <f aca="false">IF(Q1551="","",IFERROR(INDEX(Settings!$J$11:$J$15,MATCH(Q1551,Settings!$H$11:$H$15,0)),"No"))</f>
        <v/>
      </c>
    </row>
    <row r="1552" customFormat="false" ht="15" hidden="false" customHeight="false" outlineLevel="0" collapsed="false">
      <c r="A1552" s="30"/>
      <c r="B1552" s="25"/>
      <c r="C1552" s="25"/>
      <c r="D1552" s="25"/>
      <c r="E1552" s="25"/>
      <c r="F1552" s="25"/>
      <c r="G1552" s="25"/>
      <c r="H1552" s="31"/>
      <c r="I1552" s="32"/>
      <c r="J1552" s="33"/>
      <c r="K1552" s="34" t="str">
        <f aca="false">IF(OR(H1552="",I1552=""),"",H1552*I1552*(1-N(J1552)))</f>
        <v/>
      </c>
      <c r="L1552" s="32"/>
      <c r="M1552" s="34" t="str">
        <f aca="false">IF(OR(H1552="",L1552=""),"",H1552*L1552)</f>
        <v/>
      </c>
      <c r="N1552" s="34" t="str">
        <f aca="false">IF(OR(K1552="",M1552=""),"",K1552-M1552)</f>
        <v/>
      </c>
      <c r="O1552" s="35" t="str">
        <f aca="false">IF(OR(N1552="",K1552=""),"",IF(K1552=0,"",N1552/K1552))</f>
        <v/>
      </c>
      <c r="P1552" s="25"/>
      <c r="Q1552" s="25"/>
      <c r="R1552" s="25"/>
      <c r="S1552" s="36" t="str">
        <f aca="false">IF(A1552="","",YEAR(A1552)+IF(AND(FYStart&gt;1,MONTH(A1552)&gt;=FYStart),1,0))</f>
        <v/>
      </c>
      <c r="T1552" s="36" t="str">
        <f aca="false">IF(A1552="","",MOD(MONTH(A1552)-FYStart,12)+1)</f>
        <v/>
      </c>
      <c r="U1552" s="37" t="str">
        <f aca="false">IF(A1552="","",TEXT(A1552,"mmm"))</f>
        <v/>
      </c>
      <c r="V1552" s="37" t="str">
        <f aca="false">IF(Q1552="","",IFERROR(INDEX(Settings!$I$11:$I$15,MATCH(Q1552,Settings!$H$11:$H$15,0)),"No"))</f>
        <v/>
      </c>
      <c r="W1552" s="37" t="str">
        <f aca="false">IF(Q1552="","",IFERROR(INDEX(Settings!$J$11:$J$15,MATCH(Q1552,Settings!$H$11:$H$15,0)),"No"))</f>
        <v/>
      </c>
    </row>
    <row r="1553" customFormat="false" ht="15" hidden="false" customHeight="false" outlineLevel="0" collapsed="false">
      <c r="A1553" s="30"/>
      <c r="B1553" s="25"/>
      <c r="C1553" s="25"/>
      <c r="D1553" s="25"/>
      <c r="E1553" s="25"/>
      <c r="F1553" s="25"/>
      <c r="G1553" s="25"/>
      <c r="H1553" s="31"/>
      <c r="I1553" s="32"/>
      <c r="J1553" s="33"/>
      <c r="K1553" s="34" t="str">
        <f aca="false">IF(OR(H1553="",I1553=""),"",H1553*I1553*(1-N(J1553)))</f>
        <v/>
      </c>
      <c r="L1553" s="32"/>
      <c r="M1553" s="34" t="str">
        <f aca="false">IF(OR(H1553="",L1553=""),"",H1553*L1553)</f>
        <v/>
      </c>
      <c r="N1553" s="34" t="str">
        <f aca="false">IF(OR(K1553="",M1553=""),"",K1553-M1553)</f>
        <v/>
      </c>
      <c r="O1553" s="35" t="str">
        <f aca="false">IF(OR(N1553="",K1553=""),"",IF(K1553=0,"",N1553/K1553))</f>
        <v/>
      </c>
      <c r="P1553" s="25"/>
      <c r="Q1553" s="25"/>
      <c r="R1553" s="25"/>
      <c r="S1553" s="36" t="str">
        <f aca="false">IF(A1553="","",YEAR(A1553)+IF(AND(FYStart&gt;1,MONTH(A1553)&gt;=FYStart),1,0))</f>
        <v/>
      </c>
      <c r="T1553" s="36" t="str">
        <f aca="false">IF(A1553="","",MOD(MONTH(A1553)-FYStart,12)+1)</f>
        <v/>
      </c>
      <c r="U1553" s="37" t="str">
        <f aca="false">IF(A1553="","",TEXT(A1553,"mmm"))</f>
        <v/>
      </c>
      <c r="V1553" s="37" t="str">
        <f aca="false">IF(Q1553="","",IFERROR(INDEX(Settings!$I$11:$I$15,MATCH(Q1553,Settings!$H$11:$H$15,0)),"No"))</f>
        <v/>
      </c>
      <c r="W1553" s="37" t="str">
        <f aca="false">IF(Q1553="","",IFERROR(INDEX(Settings!$J$11:$J$15,MATCH(Q1553,Settings!$H$11:$H$15,0)),"No"))</f>
        <v/>
      </c>
    </row>
    <row r="1554" customFormat="false" ht="15" hidden="false" customHeight="false" outlineLevel="0" collapsed="false">
      <c r="A1554" s="30"/>
      <c r="B1554" s="25"/>
      <c r="C1554" s="25"/>
      <c r="D1554" s="25"/>
      <c r="E1554" s="25"/>
      <c r="F1554" s="25"/>
      <c r="G1554" s="25"/>
      <c r="H1554" s="31"/>
      <c r="I1554" s="32"/>
      <c r="J1554" s="33"/>
      <c r="K1554" s="34" t="str">
        <f aca="false">IF(OR(H1554="",I1554=""),"",H1554*I1554*(1-N(J1554)))</f>
        <v/>
      </c>
      <c r="L1554" s="32"/>
      <c r="M1554" s="34" t="str">
        <f aca="false">IF(OR(H1554="",L1554=""),"",H1554*L1554)</f>
        <v/>
      </c>
      <c r="N1554" s="34" t="str">
        <f aca="false">IF(OR(K1554="",M1554=""),"",K1554-M1554)</f>
        <v/>
      </c>
      <c r="O1554" s="35" t="str">
        <f aca="false">IF(OR(N1554="",K1554=""),"",IF(K1554=0,"",N1554/K1554))</f>
        <v/>
      </c>
      <c r="P1554" s="25"/>
      <c r="Q1554" s="25"/>
      <c r="R1554" s="25"/>
      <c r="S1554" s="36" t="str">
        <f aca="false">IF(A1554="","",YEAR(A1554)+IF(AND(FYStart&gt;1,MONTH(A1554)&gt;=FYStart),1,0))</f>
        <v/>
      </c>
      <c r="T1554" s="36" t="str">
        <f aca="false">IF(A1554="","",MOD(MONTH(A1554)-FYStart,12)+1)</f>
        <v/>
      </c>
      <c r="U1554" s="37" t="str">
        <f aca="false">IF(A1554="","",TEXT(A1554,"mmm"))</f>
        <v/>
      </c>
      <c r="V1554" s="37" t="str">
        <f aca="false">IF(Q1554="","",IFERROR(INDEX(Settings!$I$11:$I$15,MATCH(Q1554,Settings!$H$11:$H$15,0)),"No"))</f>
        <v/>
      </c>
      <c r="W1554" s="37" t="str">
        <f aca="false">IF(Q1554="","",IFERROR(INDEX(Settings!$J$11:$J$15,MATCH(Q1554,Settings!$H$11:$H$15,0)),"No"))</f>
        <v/>
      </c>
    </row>
    <row r="1555" customFormat="false" ht="15" hidden="false" customHeight="false" outlineLevel="0" collapsed="false">
      <c r="A1555" s="30"/>
      <c r="B1555" s="25"/>
      <c r="C1555" s="25"/>
      <c r="D1555" s="25"/>
      <c r="E1555" s="25"/>
      <c r="F1555" s="25"/>
      <c r="G1555" s="25"/>
      <c r="H1555" s="31"/>
      <c r="I1555" s="32"/>
      <c r="J1555" s="33"/>
      <c r="K1555" s="34" t="str">
        <f aca="false">IF(OR(H1555="",I1555=""),"",H1555*I1555*(1-N(J1555)))</f>
        <v/>
      </c>
      <c r="L1555" s="32"/>
      <c r="M1555" s="34" t="str">
        <f aca="false">IF(OR(H1555="",L1555=""),"",H1555*L1555)</f>
        <v/>
      </c>
      <c r="N1555" s="34" t="str">
        <f aca="false">IF(OR(K1555="",M1555=""),"",K1555-M1555)</f>
        <v/>
      </c>
      <c r="O1555" s="35" t="str">
        <f aca="false">IF(OR(N1555="",K1555=""),"",IF(K1555=0,"",N1555/K1555))</f>
        <v/>
      </c>
      <c r="P1555" s="25"/>
      <c r="Q1555" s="25"/>
      <c r="R1555" s="25"/>
      <c r="S1555" s="36" t="str">
        <f aca="false">IF(A1555="","",YEAR(A1555)+IF(AND(FYStart&gt;1,MONTH(A1555)&gt;=FYStart),1,0))</f>
        <v/>
      </c>
      <c r="T1555" s="36" t="str">
        <f aca="false">IF(A1555="","",MOD(MONTH(A1555)-FYStart,12)+1)</f>
        <v/>
      </c>
      <c r="U1555" s="37" t="str">
        <f aca="false">IF(A1555="","",TEXT(A1555,"mmm"))</f>
        <v/>
      </c>
      <c r="V1555" s="37" t="str">
        <f aca="false">IF(Q1555="","",IFERROR(INDEX(Settings!$I$11:$I$15,MATCH(Q1555,Settings!$H$11:$H$15,0)),"No"))</f>
        <v/>
      </c>
      <c r="W1555" s="37" t="str">
        <f aca="false">IF(Q1555="","",IFERROR(INDEX(Settings!$J$11:$J$15,MATCH(Q1555,Settings!$H$11:$H$15,0)),"No"))</f>
        <v/>
      </c>
    </row>
    <row r="1556" customFormat="false" ht="15" hidden="false" customHeight="false" outlineLevel="0" collapsed="false">
      <c r="A1556" s="30"/>
      <c r="B1556" s="25"/>
      <c r="C1556" s="25"/>
      <c r="D1556" s="25"/>
      <c r="E1556" s="25"/>
      <c r="F1556" s="25"/>
      <c r="G1556" s="25"/>
      <c r="H1556" s="31"/>
      <c r="I1556" s="32"/>
      <c r="J1556" s="33"/>
      <c r="K1556" s="34" t="str">
        <f aca="false">IF(OR(H1556="",I1556=""),"",H1556*I1556*(1-N(J1556)))</f>
        <v/>
      </c>
      <c r="L1556" s="32"/>
      <c r="M1556" s="34" t="str">
        <f aca="false">IF(OR(H1556="",L1556=""),"",H1556*L1556)</f>
        <v/>
      </c>
      <c r="N1556" s="34" t="str">
        <f aca="false">IF(OR(K1556="",M1556=""),"",K1556-M1556)</f>
        <v/>
      </c>
      <c r="O1556" s="35" t="str">
        <f aca="false">IF(OR(N1556="",K1556=""),"",IF(K1556=0,"",N1556/K1556))</f>
        <v/>
      </c>
      <c r="P1556" s="25"/>
      <c r="Q1556" s="25"/>
      <c r="R1556" s="25"/>
      <c r="S1556" s="36" t="str">
        <f aca="false">IF(A1556="","",YEAR(A1556)+IF(AND(FYStart&gt;1,MONTH(A1556)&gt;=FYStart),1,0))</f>
        <v/>
      </c>
      <c r="T1556" s="36" t="str">
        <f aca="false">IF(A1556="","",MOD(MONTH(A1556)-FYStart,12)+1)</f>
        <v/>
      </c>
      <c r="U1556" s="37" t="str">
        <f aca="false">IF(A1556="","",TEXT(A1556,"mmm"))</f>
        <v/>
      </c>
      <c r="V1556" s="37" t="str">
        <f aca="false">IF(Q1556="","",IFERROR(INDEX(Settings!$I$11:$I$15,MATCH(Q1556,Settings!$H$11:$H$15,0)),"No"))</f>
        <v/>
      </c>
      <c r="W1556" s="37" t="str">
        <f aca="false">IF(Q1556="","",IFERROR(INDEX(Settings!$J$11:$J$15,MATCH(Q1556,Settings!$H$11:$H$15,0)),"No"))</f>
        <v/>
      </c>
    </row>
    <row r="1557" customFormat="false" ht="15" hidden="false" customHeight="false" outlineLevel="0" collapsed="false">
      <c r="A1557" s="30"/>
      <c r="B1557" s="25"/>
      <c r="C1557" s="25"/>
      <c r="D1557" s="25"/>
      <c r="E1557" s="25"/>
      <c r="F1557" s="25"/>
      <c r="G1557" s="25"/>
      <c r="H1557" s="31"/>
      <c r="I1557" s="32"/>
      <c r="J1557" s="33"/>
      <c r="K1557" s="34" t="str">
        <f aca="false">IF(OR(H1557="",I1557=""),"",H1557*I1557*(1-N(J1557)))</f>
        <v/>
      </c>
      <c r="L1557" s="32"/>
      <c r="M1557" s="34" t="str">
        <f aca="false">IF(OR(H1557="",L1557=""),"",H1557*L1557)</f>
        <v/>
      </c>
      <c r="N1557" s="34" t="str">
        <f aca="false">IF(OR(K1557="",M1557=""),"",K1557-M1557)</f>
        <v/>
      </c>
      <c r="O1557" s="35" t="str">
        <f aca="false">IF(OR(N1557="",K1557=""),"",IF(K1557=0,"",N1557/K1557))</f>
        <v/>
      </c>
      <c r="P1557" s="25"/>
      <c r="Q1557" s="25"/>
      <c r="R1557" s="25"/>
      <c r="S1557" s="36" t="str">
        <f aca="false">IF(A1557="","",YEAR(A1557)+IF(AND(FYStart&gt;1,MONTH(A1557)&gt;=FYStart),1,0))</f>
        <v/>
      </c>
      <c r="T1557" s="36" t="str">
        <f aca="false">IF(A1557="","",MOD(MONTH(A1557)-FYStart,12)+1)</f>
        <v/>
      </c>
      <c r="U1557" s="37" t="str">
        <f aca="false">IF(A1557="","",TEXT(A1557,"mmm"))</f>
        <v/>
      </c>
      <c r="V1557" s="37" t="str">
        <f aca="false">IF(Q1557="","",IFERROR(INDEX(Settings!$I$11:$I$15,MATCH(Q1557,Settings!$H$11:$H$15,0)),"No"))</f>
        <v/>
      </c>
      <c r="W1557" s="37" t="str">
        <f aca="false">IF(Q1557="","",IFERROR(INDEX(Settings!$J$11:$J$15,MATCH(Q1557,Settings!$H$11:$H$15,0)),"No"))</f>
        <v/>
      </c>
    </row>
    <row r="1558" customFormat="false" ht="15" hidden="false" customHeight="false" outlineLevel="0" collapsed="false">
      <c r="A1558" s="30"/>
      <c r="B1558" s="25"/>
      <c r="C1558" s="25"/>
      <c r="D1558" s="25"/>
      <c r="E1558" s="25"/>
      <c r="F1558" s="25"/>
      <c r="G1558" s="25"/>
      <c r="H1558" s="31"/>
      <c r="I1558" s="32"/>
      <c r="J1558" s="33"/>
      <c r="K1558" s="34" t="str">
        <f aca="false">IF(OR(H1558="",I1558=""),"",H1558*I1558*(1-N(J1558)))</f>
        <v/>
      </c>
      <c r="L1558" s="32"/>
      <c r="M1558" s="34" t="str">
        <f aca="false">IF(OR(H1558="",L1558=""),"",H1558*L1558)</f>
        <v/>
      </c>
      <c r="N1558" s="34" t="str">
        <f aca="false">IF(OR(K1558="",M1558=""),"",K1558-M1558)</f>
        <v/>
      </c>
      <c r="O1558" s="35" t="str">
        <f aca="false">IF(OR(N1558="",K1558=""),"",IF(K1558=0,"",N1558/K1558))</f>
        <v/>
      </c>
      <c r="P1558" s="25"/>
      <c r="Q1558" s="25"/>
      <c r="R1558" s="25"/>
      <c r="S1558" s="36" t="str">
        <f aca="false">IF(A1558="","",YEAR(A1558)+IF(AND(FYStart&gt;1,MONTH(A1558)&gt;=FYStart),1,0))</f>
        <v/>
      </c>
      <c r="T1558" s="36" t="str">
        <f aca="false">IF(A1558="","",MOD(MONTH(A1558)-FYStart,12)+1)</f>
        <v/>
      </c>
      <c r="U1558" s="37" t="str">
        <f aca="false">IF(A1558="","",TEXT(A1558,"mmm"))</f>
        <v/>
      </c>
      <c r="V1558" s="37" t="str">
        <f aca="false">IF(Q1558="","",IFERROR(INDEX(Settings!$I$11:$I$15,MATCH(Q1558,Settings!$H$11:$H$15,0)),"No"))</f>
        <v/>
      </c>
      <c r="W1558" s="37" t="str">
        <f aca="false">IF(Q1558="","",IFERROR(INDEX(Settings!$J$11:$J$15,MATCH(Q1558,Settings!$H$11:$H$15,0)),"No"))</f>
        <v/>
      </c>
    </row>
    <row r="1559" customFormat="false" ht="15" hidden="false" customHeight="false" outlineLevel="0" collapsed="false">
      <c r="A1559" s="30"/>
      <c r="B1559" s="25"/>
      <c r="C1559" s="25"/>
      <c r="D1559" s="25"/>
      <c r="E1559" s="25"/>
      <c r="F1559" s="25"/>
      <c r="G1559" s="25"/>
      <c r="H1559" s="31"/>
      <c r="I1559" s="32"/>
      <c r="J1559" s="33"/>
      <c r="K1559" s="34" t="str">
        <f aca="false">IF(OR(H1559="",I1559=""),"",H1559*I1559*(1-N(J1559)))</f>
        <v/>
      </c>
      <c r="L1559" s="32"/>
      <c r="M1559" s="34" t="str">
        <f aca="false">IF(OR(H1559="",L1559=""),"",H1559*L1559)</f>
        <v/>
      </c>
      <c r="N1559" s="34" t="str">
        <f aca="false">IF(OR(K1559="",M1559=""),"",K1559-M1559)</f>
        <v/>
      </c>
      <c r="O1559" s="35" t="str">
        <f aca="false">IF(OR(N1559="",K1559=""),"",IF(K1559=0,"",N1559/K1559))</f>
        <v/>
      </c>
      <c r="P1559" s="25"/>
      <c r="Q1559" s="25"/>
      <c r="R1559" s="25"/>
      <c r="S1559" s="36" t="str">
        <f aca="false">IF(A1559="","",YEAR(A1559)+IF(AND(FYStart&gt;1,MONTH(A1559)&gt;=FYStart),1,0))</f>
        <v/>
      </c>
      <c r="T1559" s="36" t="str">
        <f aca="false">IF(A1559="","",MOD(MONTH(A1559)-FYStart,12)+1)</f>
        <v/>
      </c>
      <c r="U1559" s="37" t="str">
        <f aca="false">IF(A1559="","",TEXT(A1559,"mmm"))</f>
        <v/>
      </c>
      <c r="V1559" s="37" t="str">
        <f aca="false">IF(Q1559="","",IFERROR(INDEX(Settings!$I$11:$I$15,MATCH(Q1559,Settings!$H$11:$H$15,0)),"No"))</f>
        <v/>
      </c>
      <c r="W1559" s="37" t="str">
        <f aca="false">IF(Q1559="","",IFERROR(INDEX(Settings!$J$11:$J$15,MATCH(Q1559,Settings!$H$11:$H$15,0)),"No"))</f>
        <v/>
      </c>
    </row>
    <row r="1560" customFormat="false" ht="15" hidden="false" customHeight="false" outlineLevel="0" collapsed="false">
      <c r="A1560" s="30"/>
      <c r="B1560" s="25"/>
      <c r="C1560" s="25"/>
      <c r="D1560" s="25"/>
      <c r="E1560" s="25"/>
      <c r="F1560" s="25"/>
      <c r="G1560" s="25"/>
      <c r="H1560" s="31"/>
      <c r="I1560" s="32"/>
      <c r="J1560" s="33"/>
      <c r="K1560" s="34" t="str">
        <f aca="false">IF(OR(H1560="",I1560=""),"",H1560*I1560*(1-N(J1560)))</f>
        <v/>
      </c>
      <c r="L1560" s="32"/>
      <c r="M1560" s="34" t="str">
        <f aca="false">IF(OR(H1560="",L1560=""),"",H1560*L1560)</f>
        <v/>
      </c>
      <c r="N1560" s="34" t="str">
        <f aca="false">IF(OR(K1560="",M1560=""),"",K1560-M1560)</f>
        <v/>
      </c>
      <c r="O1560" s="35" t="str">
        <f aca="false">IF(OR(N1560="",K1560=""),"",IF(K1560=0,"",N1560/K1560))</f>
        <v/>
      </c>
      <c r="P1560" s="25"/>
      <c r="Q1560" s="25"/>
      <c r="R1560" s="25"/>
      <c r="S1560" s="36" t="str">
        <f aca="false">IF(A1560="","",YEAR(A1560)+IF(AND(FYStart&gt;1,MONTH(A1560)&gt;=FYStart),1,0))</f>
        <v/>
      </c>
      <c r="T1560" s="36" t="str">
        <f aca="false">IF(A1560="","",MOD(MONTH(A1560)-FYStart,12)+1)</f>
        <v/>
      </c>
      <c r="U1560" s="37" t="str">
        <f aca="false">IF(A1560="","",TEXT(A1560,"mmm"))</f>
        <v/>
      </c>
      <c r="V1560" s="37" t="str">
        <f aca="false">IF(Q1560="","",IFERROR(INDEX(Settings!$I$11:$I$15,MATCH(Q1560,Settings!$H$11:$H$15,0)),"No"))</f>
        <v/>
      </c>
      <c r="W1560" s="37" t="str">
        <f aca="false">IF(Q1560="","",IFERROR(INDEX(Settings!$J$11:$J$15,MATCH(Q1560,Settings!$H$11:$H$15,0)),"No"))</f>
        <v/>
      </c>
    </row>
    <row r="1561" customFormat="false" ht="15" hidden="false" customHeight="false" outlineLevel="0" collapsed="false">
      <c r="A1561" s="30"/>
      <c r="B1561" s="25"/>
      <c r="C1561" s="25"/>
      <c r="D1561" s="25"/>
      <c r="E1561" s="25"/>
      <c r="F1561" s="25"/>
      <c r="G1561" s="25"/>
      <c r="H1561" s="31"/>
      <c r="I1561" s="32"/>
      <c r="J1561" s="33"/>
      <c r="K1561" s="34" t="str">
        <f aca="false">IF(OR(H1561="",I1561=""),"",H1561*I1561*(1-N(J1561)))</f>
        <v/>
      </c>
      <c r="L1561" s="32"/>
      <c r="M1561" s="34" t="str">
        <f aca="false">IF(OR(H1561="",L1561=""),"",H1561*L1561)</f>
        <v/>
      </c>
      <c r="N1561" s="34" t="str">
        <f aca="false">IF(OR(K1561="",M1561=""),"",K1561-M1561)</f>
        <v/>
      </c>
      <c r="O1561" s="35" t="str">
        <f aca="false">IF(OR(N1561="",K1561=""),"",IF(K1561=0,"",N1561/K1561))</f>
        <v/>
      </c>
      <c r="P1561" s="25"/>
      <c r="Q1561" s="25"/>
      <c r="R1561" s="25"/>
      <c r="S1561" s="36" t="str">
        <f aca="false">IF(A1561="","",YEAR(A1561)+IF(AND(FYStart&gt;1,MONTH(A1561)&gt;=FYStart),1,0))</f>
        <v/>
      </c>
      <c r="T1561" s="36" t="str">
        <f aca="false">IF(A1561="","",MOD(MONTH(A1561)-FYStart,12)+1)</f>
        <v/>
      </c>
      <c r="U1561" s="37" t="str">
        <f aca="false">IF(A1561="","",TEXT(A1561,"mmm"))</f>
        <v/>
      </c>
      <c r="V1561" s="37" t="str">
        <f aca="false">IF(Q1561="","",IFERROR(INDEX(Settings!$I$11:$I$15,MATCH(Q1561,Settings!$H$11:$H$15,0)),"No"))</f>
        <v/>
      </c>
      <c r="W1561" s="37" t="str">
        <f aca="false">IF(Q1561="","",IFERROR(INDEX(Settings!$J$11:$J$15,MATCH(Q1561,Settings!$H$11:$H$15,0)),"No"))</f>
        <v/>
      </c>
    </row>
    <row r="1562" customFormat="false" ht="15" hidden="false" customHeight="false" outlineLevel="0" collapsed="false">
      <c r="A1562" s="30"/>
      <c r="B1562" s="25"/>
      <c r="C1562" s="25"/>
      <c r="D1562" s="25"/>
      <c r="E1562" s="25"/>
      <c r="F1562" s="25"/>
      <c r="G1562" s="25"/>
      <c r="H1562" s="31"/>
      <c r="I1562" s="32"/>
      <c r="J1562" s="33"/>
      <c r="K1562" s="34" t="str">
        <f aca="false">IF(OR(H1562="",I1562=""),"",H1562*I1562*(1-N(J1562)))</f>
        <v/>
      </c>
      <c r="L1562" s="32"/>
      <c r="M1562" s="34" t="str">
        <f aca="false">IF(OR(H1562="",L1562=""),"",H1562*L1562)</f>
        <v/>
      </c>
      <c r="N1562" s="34" t="str">
        <f aca="false">IF(OR(K1562="",M1562=""),"",K1562-M1562)</f>
        <v/>
      </c>
      <c r="O1562" s="35" t="str">
        <f aca="false">IF(OR(N1562="",K1562=""),"",IF(K1562=0,"",N1562/K1562))</f>
        <v/>
      </c>
      <c r="P1562" s="25"/>
      <c r="Q1562" s="25"/>
      <c r="R1562" s="25"/>
      <c r="S1562" s="36" t="str">
        <f aca="false">IF(A1562="","",YEAR(A1562)+IF(AND(FYStart&gt;1,MONTH(A1562)&gt;=FYStart),1,0))</f>
        <v/>
      </c>
      <c r="T1562" s="36" t="str">
        <f aca="false">IF(A1562="","",MOD(MONTH(A1562)-FYStart,12)+1)</f>
        <v/>
      </c>
      <c r="U1562" s="37" t="str">
        <f aca="false">IF(A1562="","",TEXT(A1562,"mmm"))</f>
        <v/>
      </c>
      <c r="V1562" s="37" t="str">
        <f aca="false">IF(Q1562="","",IFERROR(INDEX(Settings!$I$11:$I$15,MATCH(Q1562,Settings!$H$11:$H$15,0)),"No"))</f>
        <v/>
      </c>
      <c r="W1562" s="37" t="str">
        <f aca="false">IF(Q1562="","",IFERROR(INDEX(Settings!$J$11:$J$15,MATCH(Q1562,Settings!$H$11:$H$15,0)),"No"))</f>
        <v/>
      </c>
    </row>
    <row r="1563" customFormat="false" ht="15" hidden="false" customHeight="false" outlineLevel="0" collapsed="false">
      <c r="A1563" s="30"/>
      <c r="B1563" s="25"/>
      <c r="C1563" s="25"/>
      <c r="D1563" s="25"/>
      <c r="E1563" s="25"/>
      <c r="F1563" s="25"/>
      <c r="G1563" s="25"/>
      <c r="H1563" s="31"/>
      <c r="I1563" s="32"/>
      <c r="J1563" s="33"/>
      <c r="K1563" s="34" t="str">
        <f aca="false">IF(OR(H1563="",I1563=""),"",H1563*I1563*(1-N(J1563)))</f>
        <v/>
      </c>
      <c r="L1563" s="32"/>
      <c r="M1563" s="34" t="str">
        <f aca="false">IF(OR(H1563="",L1563=""),"",H1563*L1563)</f>
        <v/>
      </c>
      <c r="N1563" s="34" t="str">
        <f aca="false">IF(OR(K1563="",M1563=""),"",K1563-M1563)</f>
        <v/>
      </c>
      <c r="O1563" s="35" t="str">
        <f aca="false">IF(OR(N1563="",K1563=""),"",IF(K1563=0,"",N1563/K1563))</f>
        <v/>
      </c>
      <c r="P1563" s="25"/>
      <c r="Q1563" s="25"/>
      <c r="R1563" s="25"/>
      <c r="S1563" s="36" t="str">
        <f aca="false">IF(A1563="","",YEAR(A1563)+IF(AND(FYStart&gt;1,MONTH(A1563)&gt;=FYStart),1,0))</f>
        <v/>
      </c>
      <c r="T1563" s="36" t="str">
        <f aca="false">IF(A1563="","",MOD(MONTH(A1563)-FYStart,12)+1)</f>
        <v/>
      </c>
      <c r="U1563" s="37" t="str">
        <f aca="false">IF(A1563="","",TEXT(A1563,"mmm"))</f>
        <v/>
      </c>
      <c r="V1563" s="37" t="str">
        <f aca="false">IF(Q1563="","",IFERROR(INDEX(Settings!$I$11:$I$15,MATCH(Q1563,Settings!$H$11:$H$15,0)),"No"))</f>
        <v/>
      </c>
      <c r="W1563" s="37" t="str">
        <f aca="false">IF(Q1563="","",IFERROR(INDEX(Settings!$J$11:$J$15,MATCH(Q1563,Settings!$H$11:$H$15,0)),"No"))</f>
        <v/>
      </c>
    </row>
    <row r="1564" customFormat="false" ht="15" hidden="false" customHeight="false" outlineLevel="0" collapsed="false">
      <c r="A1564" s="30"/>
      <c r="B1564" s="25"/>
      <c r="C1564" s="25"/>
      <c r="D1564" s="25"/>
      <c r="E1564" s="25"/>
      <c r="F1564" s="25"/>
      <c r="G1564" s="25"/>
      <c r="H1564" s="31"/>
      <c r="I1564" s="32"/>
      <c r="J1564" s="33"/>
      <c r="K1564" s="34" t="str">
        <f aca="false">IF(OR(H1564="",I1564=""),"",H1564*I1564*(1-N(J1564)))</f>
        <v/>
      </c>
      <c r="L1564" s="32"/>
      <c r="M1564" s="34" t="str">
        <f aca="false">IF(OR(H1564="",L1564=""),"",H1564*L1564)</f>
        <v/>
      </c>
      <c r="N1564" s="34" t="str">
        <f aca="false">IF(OR(K1564="",M1564=""),"",K1564-M1564)</f>
        <v/>
      </c>
      <c r="O1564" s="35" t="str">
        <f aca="false">IF(OR(N1564="",K1564=""),"",IF(K1564=0,"",N1564/K1564))</f>
        <v/>
      </c>
      <c r="P1564" s="25"/>
      <c r="Q1564" s="25"/>
      <c r="R1564" s="25"/>
      <c r="S1564" s="36" t="str">
        <f aca="false">IF(A1564="","",YEAR(A1564)+IF(AND(FYStart&gt;1,MONTH(A1564)&gt;=FYStart),1,0))</f>
        <v/>
      </c>
      <c r="T1564" s="36" t="str">
        <f aca="false">IF(A1564="","",MOD(MONTH(A1564)-FYStart,12)+1)</f>
        <v/>
      </c>
      <c r="U1564" s="37" t="str">
        <f aca="false">IF(A1564="","",TEXT(A1564,"mmm"))</f>
        <v/>
      </c>
      <c r="V1564" s="37" t="str">
        <f aca="false">IF(Q1564="","",IFERROR(INDEX(Settings!$I$11:$I$15,MATCH(Q1564,Settings!$H$11:$H$15,0)),"No"))</f>
        <v/>
      </c>
      <c r="W1564" s="37" t="str">
        <f aca="false">IF(Q1564="","",IFERROR(INDEX(Settings!$J$11:$J$15,MATCH(Q1564,Settings!$H$11:$H$15,0)),"No"))</f>
        <v/>
      </c>
    </row>
    <row r="1565" customFormat="false" ht="15" hidden="false" customHeight="false" outlineLevel="0" collapsed="false">
      <c r="A1565" s="30"/>
      <c r="B1565" s="25"/>
      <c r="C1565" s="25"/>
      <c r="D1565" s="25"/>
      <c r="E1565" s="25"/>
      <c r="F1565" s="25"/>
      <c r="G1565" s="25"/>
      <c r="H1565" s="31"/>
      <c r="I1565" s="32"/>
      <c r="J1565" s="33"/>
      <c r="K1565" s="34" t="str">
        <f aca="false">IF(OR(H1565="",I1565=""),"",H1565*I1565*(1-N(J1565)))</f>
        <v/>
      </c>
      <c r="L1565" s="32"/>
      <c r="M1565" s="34" t="str">
        <f aca="false">IF(OR(H1565="",L1565=""),"",H1565*L1565)</f>
        <v/>
      </c>
      <c r="N1565" s="34" t="str">
        <f aca="false">IF(OR(K1565="",M1565=""),"",K1565-M1565)</f>
        <v/>
      </c>
      <c r="O1565" s="35" t="str">
        <f aca="false">IF(OR(N1565="",K1565=""),"",IF(K1565=0,"",N1565/K1565))</f>
        <v/>
      </c>
      <c r="P1565" s="25"/>
      <c r="Q1565" s="25"/>
      <c r="R1565" s="25"/>
      <c r="S1565" s="36" t="str">
        <f aca="false">IF(A1565="","",YEAR(A1565)+IF(AND(FYStart&gt;1,MONTH(A1565)&gt;=FYStart),1,0))</f>
        <v/>
      </c>
      <c r="T1565" s="36" t="str">
        <f aca="false">IF(A1565="","",MOD(MONTH(A1565)-FYStart,12)+1)</f>
        <v/>
      </c>
      <c r="U1565" s="37" t="str">
        <f aca="false">IF(A1565="","",TEXT(A1565,"mmm"))</f>
        <v/>
      </c>
      <c r="V1565" s="37" t="str">
        <f aca="false">IF(Q1565="","",IFERROR(INDEX(Settings!$I$11:$I$15,MATCH(Q1565,Settings!$H$11:$H$15,0)),"No"))</f>
        <v/>
      </c>
      <c r="W1565" s="37" t="str">
        <f aca="false">IF(Q1565="","",IFERROR(INDEX(Settings!$J$11:$J$15,MATCH(Q1565,Settings!$H$11:$H$15,0)),"No"))</f>
        <v/>
      </c>
    </row>
    <row r="1566" customFormat="false" ht="15" hidden="false" customHeight="false" outlineLevel="0" collapsed="false">
      <c r="A1566" s="30"/>
      <c r="B1566" s="25"/>
      <c r="C1566" s="25"/>
      <c r="D1566" s="25"/>
      <c r="E1566" s="25"/>
      <c r="F1566" s="25"/>
      <c r="G1566" s="25"/>
      <c r="H1566" s="31"/>
      <c r="I1566" s="32"/>
      <c r="J1566" s="33"/>
      <c r="K1566" s="34" t="str">
        <f aca="false">IF(OR(H1566="",I1566=""),"",H1566*I1566*(1-N(J1566)))</f>
        <v/>
      </c>
      <c r="L1566" s="32"/>
      <c r="M1566" s="34" t="str">
        <f aca="false">IF(OR(H1566="",L1566=""),"",H1566*L1566)</f>
        <v/>
      </c>
      <c r="N1566" s="34" t="str">
        <f aca="false">IF(OR(K1566="",M1566=""),"",K1566-M1566)</f>
        <v/>
      </c>
      <c r="O1566" s="35" t="str">
        <f aca="false">IF(OR(N1566="",K1566=""),"",IF(K1566=0,"",N1566/K1566))</f>
        <v/>
      </c>
      <c r="P1566" s="25"/>
      <c r="Q1566" s="25"/>
      <c r="R1566" s="25"/>
      <c r="S1566" s="36" t="str">
        <f aca="false">IF(A1566="","",YEAR(A1566)+IF(AND(FYStart&gt;1,MONTH(A1566)&gt;=FYStart),1,0))</f>
        <v/>
      </c>
      <c r="T1566" s="36" t="str">
        <f aca="false">IF(A1566="","",MOD(MONTH(A1566)-FYStart,12)+1)</f>
        <v/>
      </c>
      <c r="U1566" s="37" t="str">
        <f aca="false">IF(A1566="","",TEXT(A1566,"mmm"))</f>
        <v/>
      </c>
      <c r="V1566" s="37" t="str">
        <f aca="false">IF(Q1566="","",IFERROR(INDEX(Settings!$I$11:$I$15,MATCH(Q1566,Settings!$H$11:$H$15,0)),"No"))</f>
        <v/>
      </c>
      <c r="W1566" s="37" t="str">
        <f aca="false">IF(Q1566="","",IFERROR(INDEX(Settings!$J$11:$J$15,MATCH(Q1566,Settings!$H$11:$H$15,0)),"No"))</f>
        <v/>
      </c>
    </row>
    <row r="1567" customFormat="false" ht="15" hidden="false" customHeight="false" outlineLevel="0" collapsed="false">
      <c r="A1567" s="30"/>
      <c r="B1567" s="25"/>
      <c r="C1567" s="25"/>
      <c r="D1567" s="25"/>
      <c r="E1567" s="25"/>
      <c r="F1567" s="25"/>
      <c r="G1567" s="25"/>
      <c r="H1567" s="31"/>
      <c r="I1567" s="32"/>
      <c r="J1567" s="33"/>
      <c r="K1567" s="34" t="str">
        <f aca="false">IF(OR(H1567="",I1567=""),"",H1567*I1567*(1-N(J1567)))</f>
        <v/>
      </c>
      <c r="L1567" s="32"/>
      <c r="M1567" s="34" t="str">
        <f aca="false">IF(OR(H1567="",L1567=""),"",H1567*L1567)</f>
        <v/>
      </c>
      <c r="N1567" s="34" t="str">
        <f aca="false">IF(OR(K1567="",M1567=""),"",K1567-M1567)</f>
        <v/>
      </c>
      <c r="O1567" s="35" t="str">
        <f aca="false">IF(OR(N1567="",K1567=""),"",IF(K1567=0,"",N1567/K1567))</f>
        <v/>
      </c>
      <c r="P1567" s="25"/>
      <c r="Q1567" s="25"/>
      <c r="R1567" s="25"/>
      <c r="S1567" s="36" t="str">
        <f aca="false">IF(A1567="","",YEAR(A1567)+IF(AND(FYStart&gt;1,MONTH(A1567)&gt;=FYStart),1,0))</f>
        <v/>
      </c>
      <c r="T1567" s="36" t="str">
        <f aca="false">IF(A1567="","",MOD(MONTH(A1567)-FYStart,12)+1)</f>
        <v/>
      </c>
      <c r="U1567" s="37" t="str">
        <f aca="false">IF(A1567="","",TEXT(A1567,"mmm"))</f>
        <v/>
      </c>
      <c r="V1567" s="37" t="str">
        <f aca="false">IF(Q1567="","",IFERROR(INDEX(Settings!$I$11:$I$15,MATCH(Q1567,Settings!$H$11:$H$15,0)),"No"))</f>
        <v/>
      </c>
      <c r="W1567" s="37" t="str">
        <f aca="false">IF(Q1567="","",IFERROR(INDEX(Settings!$J$11:$J$15,MATCH(Q1567,Settings!$H$11:$H$15,0)),"No"))</f>
        <v/>
      </c>
    </row>
    <row r="1568" customFormat="false" ht="15" hidden="false" customHeight="false" outlineLevel="0" collapsed="false">
      <c r="A1568" s="30"/>
      <c r="B1568" s="25"/>
      <c r="C1568" s="25"/>
      <c r="D1568" s="25"/>
      <c r="E1568" s="25"/>
      <c r="F1568" s="25"/>
      <c r="G1568" s="25"/>
      <c r="H1568" s="31"/>
      <c r="I1568" s="32"/>
      <c r="J1568" s="33"/>
      <c r="K1568" s="34" t="str">
        <f aca="false">IF(OR(H1568="",I1568=""),"",H1568*I1568*(1-N(J1568)))</f>
        <v/>
      </c>
      <c r="L1568" s="32"/>
      <c r="M1568" s="34" t="str">
        <f aca="false">IF(OR(H1568="",L1568=""),"",H1568*L1568)</f>
        <v/>
      </c>
      <c r="N1568" s="34" t="str">
        <f aca="false">IF(OR(K1568="",M1568=""),"",K1568-M1568)</f>
        <v/>
      </c>
      <c r="O1568" s="35" t="str">
        <f aca="false">IF(OR(N1568="",K1568=""),"",IF(K1568=0,"",N1568/K1568))</f>
        <v/>
      </c>
      <c r="P1568" s="25"/>
      <c r="Q1568" s="25"/>
      <c r="R1568" s="25"/>
      <c r="S1568" s="36" t="str">
        <f aca="false">IF(A1568="","",YEAR(A1568)+IF(AND(FYStart&gt;1,MONTH(A1568)&gt;=FYStart),1,0))</f>
        <v/>
      </c>
      <c r="T1568" s="36" t="str">
        <f aca="false">IF(A1568="","",MOD(MONTH(A1568)-FYStart,12)+1)</f>
        <v/>
      </c>
      <c r="U1568" s="37" t="str">
        <f aca="false">IF(A1568="","",TEXT(A1568,"mmm"))</f>
        <v/>
      </c>
      <c r="V1568" s="37" t="str">
        <f aca="false">IF(Q1568="","",IFERROR(INDEX(Settings!$I$11:$I$15,MATCH(Q1568,Settings!$H$11:$H$15,0)),"No"))</f>
        <v/>
      </c>
      <c r="W1568" s="37" t="str">
        <f aca="false">IF(Q1568="","",IFERROR(INDEX(Settings!$J$11:$J$15,MATCH(Q1568,Settings!$H$11:$H$15,0)),"No"))</f>
        <v/>
      </c>
    </row>
    <row r="1569" customFormat="false" ht="15" hidden="false" customHeight="false" outlineLevel="0" collapsed="false">
      <c r="A1569" s="30"/>
      <c r="B1569" s="25"/>
      <c r="C1569" s="25"/>
      <c r="D1569" s="25"/>
      <c r="E1569" s="25"/>
      <c r="F1569" s="25"/>
      <c r="G1569" s="25"/>
      <c r="H1569" s="31"/>
      <c r="I1569" s="32"/>
      <c r="J1569" s="33"/>
      <c r="K1569" s="34" t="str">
        <f aca="false">IF(OR(H1569="",I1569=""),"",H1569*I1569*(1-N(J1569)))</f>
        <v/>
      </c>
      <c r="L1569" s="32"/>
      <c r="M1569" s="34" t="str">
        <f aca="false">IF(OR(H1569="",L1569=""),"",H1569*L1569)</f>
        <v/>
      </c>
      <c r="N1569" s="34" t="str">
        <f aca="false">IF(OR(K1569="",M1569=""),"",K1569-M1569)</f>
        <v/>
      </c>
      <c r="O1569" s="35" t="str">
        <f aca="false">IF(OR(N1569="",K1569=""),"",IF(K1569=0,"",N1569/K1569))</f>
        <v/>
      </c>
      <c r="P1569" s="25"/>
      <c r="Q1569" s="25"/>
      <c r="R1569" s="25"/>
      <c r="S1569" s="36" t="str">
        <f aca="false">IF(A1569="","",YEAR(A1569)+IF(AND(FYStart&gt;1,MONTH(A1569)&gt;=FYStart),1,0))</f>
        <v/>
      </c>
      <c r="T1569" s="36" t="str">
        <f aca="false">IF(A1569="","",MOD(MONTH(A1569)-FYStart,12)+1)</f>
        <v/>
      </c>
      <c r="U1569" s="37" t="str">
        <f aca="false">IF(A1569="","",TEXT(A1569,"mmm"))</f>
        <v/>
      </c>
      <c r="V1569" s="37" t="str">
        <f aca="false">IF(Q1569="","",IFERROR(INDEX(Settings!$I$11:$I$15,MATCH(Q1569,Settings!$H$11:$H$15,0)),"No"))</f>
        <v/>
      </c>
      <c r="W1569" s="37" t="str">
        <f aca="false">IF(Q1569="","",IFERROR(INDEX(Settings!$J$11:$J$15,MATCH(Q1569,Settings!$H$11:$H$15,0)),"No"))</f>
        <v/>
      </c>
    </row>
    <row r="1570" customFormat="false" ht="15" hidden="false" customHeight="false" outlineLevel="0" collapsed="false">
      <c r="A1570" s="30"/>
      <c r="B1570" s="25"/>
      <c r="C1570" s="25"/>
      <c r="D1570" s="25"/>
      <c r="E1570" s="25"/>
      <c r="F1570" s="25"/>
      <c r="G1570" s="25"/>
      <c r="H1570" s="31"/>
      <c r="I1570" s="32"/>
      <c r="J1570" s="33"/>
      <c r="K1570" s="34" t="str">
        <f aca="false">IF(OR(H1570="",I1570=""),"",H1570*I1570*(1-N(J1570)))</f>
        <v/>
      </c>
      <c r="L1570" s="32"/>
      <c r="M1570" s="34" t="str">
        <f aca="false">IF(OR(H1570="",L1570=""),"",H1570*L1570)</f>
        <v/>
      </c>
      <c r="N1570" s="34" t="str">
        <f aca="false">IF(OR(K1570="",M1570=""),"",K1570-M1570)</f>
        <v/>
      </c>
      <c r="O1570" s="35" t="str">
        <f aca="false">IF(OR(N1570="",K1570=""),"",IF(K1570=0,"",N1570/K1570))</f>
        <v/>
      </c>
      <c r="P1570" s="25"/>
      <c r="Q1570" s="25"/>
      <c r="R1570" s="25"/>
      <c r="S1570" s="36" t="str">
        <f aca="false">IF(A1570="","",YEAR(A1570)+IF(AND(FYStart&gt;1,MONTH(A1570)&gt;=FYStart),1,0))</f>
        <v/>
      </c>
      <c r="T1570" s="36" t="str">
        <f aca="false">IF(A1570="","",MOD(MONTH(A1570)-FYStart,12)+1)</f>
        <v/>
      </c>
      <c r="U1570" s="37" t="str">
        <f aca="false">IF(A1570="","",TEXT(A1570,"mmm"))</f>
        <v/>
      </c>
      <c r="V1570" s="37" t="str">
        <f aca="false">IF(Q1570="","",IFERROR(INDEX(Settings!$I$11:$I$15,MATCH(Q1570,Settings!$H$11:$H$15,0)),"No"))</f>
        <v/>
      </c>
      <c r="W1570" s="37" t="str">
        <f aca="false">IF(Q1570="","",IFERROR(INDEX(Settings!$J$11:$J$15,MATCH(Q1570,Settings!$H$11:$H$15,0)),"No"))</f>
        <v/>
      </c>
    </row>
    <row r="1571" customFormat="false" ht="15" hidden="false" customHeight="false" outlineLevel="0" collapsed="false">
      <c r="A1571" s="30"/>
      <c r="B1571" s="25"/>
      <c r="C1571" s="25"/>
      <c r="D1571" s="25"/>
      <c r="E1571" s="25"/>
      <c r="F1571" s="25"/>
      <c r="G1571" s="25"/>
      <c r="H1571" s="31"/>
      <c r="I1571" s="32"/>
      <c r="J1571" s="33"/>
      <c r="K1571" s="34" t="str">
        <f aca="false">IF(OR(H1571="",I1571=""),"",H1571*I1571*(1-N(J1571)))</f>
        <v/>
      </c>
      <c r="L1571" s="32"/>
      <c r="M1571" s="34" t="str">
        <f aca="false">IF(OR(H1571="",L1571=""),"",H1571*L1571)</f>
        <v/>
      </c>
      <c r="N1571" s="34" t="str">
        <f aca="false">IF(OR(K1571="",M1571=""),"",K1571-M1571)</f>
        <v/>
      </c>
      <c r="O1571" s="35" t="str">
        <f aca="false">IF(OR(N1571="",K1571=""),"",IF(K1571=0,"",N1571/K1571))</f>
        <v/>
      </c>
      <c r="P1571" s="25"/>
      <c r="Q1571" s="25"/>
      <c r="R1571" s="25"/>
      <c r="S1571" s="36" t="str">
        <f aca="false">IF(A1571="","",YEAR(A1571)+IF(AND(FYStart&gt;1,MONTH(A1571)&gt;=FYStart),1,0))</f>
        <v/>
      </c>
      <c r="T1571" s="36" t="str">
        <f aca="false">IF(A1571="","",MOD(MONTH(A1571)-FYStart,12)+1)</f>
        <v/>
      </c>
      <c r="U1571" s="37" t="str">
        <f aca="false">IF(A1571="","",TEXT(A1571,"mmm"))</f>
        <v/>
      </c>
      <c r="V1571" s="37" t="str">
        <f aca="false">IF(Q1571="","",IFERROR(INDEX(Settings!$I$11:$I$15,MATCH(Q1571,Settings!$H$11:$H$15,0)),"No"))</f>
        <v/>
      </c>
      <c r="W1571" s="37" t="str">
        <f aca="false">IF(Q1571="","",IFERROR(INDEX(Settings!$J$11:$J$15,MATCH(Q1571,Settings!$H$11:$H$15,0)),"No"))</f>
        <v/>
      </c>
    </row>
    <row r="1572" customFormat="false" ht="15" hidden="false" customHeight="false" outlineLevel="0" collapsed="false">
      <c r="A1572" s="30"/>
      <c r="B1572" s="25"/>
      <c r="C1572" s="25"/>
      <c r="D1572" s="25"/>
      <c r="E1572" s="25"/>
      <c r="F1572" s="25"/>
      <c r="G1572" s="25"/>
      <c r="H1572" s="31"/>
      <c r="I1572" s="32"/>
      <c r="J1572" s="33"/>
      <c r="K1572" s="34" t="str">
        <f aca="false">IF(OR(H1572="",I1572=""),"",H1572*I1572*(1-N(J1572)))</f>
        <v/>
      </c>
      <c r="L1572" s="32"/>
      <c r="M1572" s="34" t="str">
        <f aca="false">IF(OR(H1572="",L1572=""),"",H1572*L1572)</f>
        <v/>
      </c>
      <c r="N1572" s="34" t="str">
        <f aca="false">IF(OR(K1572="",M1572=""),"",K1572-M1572)</f>
        <v/>
      </c>
      <c r="O1572" s="35" t="str">
        <f aca="false">IF(OR(N1572="",K1572=""),"",IF(K1572=0,"",N1572/K1572))</f>
        <v/>
      </c>
      <c r="P1572" s="25"/>
      <c r="Q1572" s="25"/>
      <c r="R1572" s="25"/>
      <c r="S1572" s="36" t="str">
        <f aca="false">IF(A1572="","",YEAR(A1572)+IF(AND(FYStart&gt;1,MONTH(A1572)&gt;=FYStart),1,0))</f>
        <v/>
      </c>
      <c r="T1572" s="36" t="str">
        <f aca="false">IF(A1572="","",MOD(MONTH(A1572)-FYStart,12)+1)</f>
        <v/>
      </c>
      <c r="U1572" s="37" t="str">
        <f aca="false">IF(A1572="","",TEXT(A1572,"mmm"))</f>
        <v/>
      </c>
      <c r="V1572" s="37" t="str">
        <f aca="false">IF(Q1572="","",IFERROR(INDEX(Settings!$I$11:$I$15,MATCH(Q1572,Settings!$H$11:$H$15,0)),"No"))</f>
        <v/>
      </c>
      <c r="W1572" s="37" t="str">
        <f aca="false">IF(Q1572="","",IFERROR(INDEX(Settings!$J$11:$J$15,MATCH(Q1572,Settings!$H$11:$H$15,0)),"No"))</f>
        <v/>
      </c>
    </row>
    <row r="1573" customFormat="false" ht="15" hidden="false" customHeight="false" outlineLevel="0" collapsed="false">
      <c r="A1573" s="30"/>
      <c r="B1573" s="25"/>
      <c r="C1573" s="25"/>
      <c r="D1573" s="25"/>
      <c r="E1573" s="25"/>
      <c r="F1573" s="25"/>
      <c r="G1573" s="25"/>
      <c r="H1573" s="31"/>
      <c r="I1573" s="32"/>
      <c r="J1573" s="33"/>
      <c r="K1573" s="34" t="str">
        <f aca="false">IF(OR(H1573="",I1573=""),"",H1573*I1573*(1-N(J1573)))</f>
        <v/>
      </c>
      <c r="L1573" s="32"/>
      <c r="M1573" s="34" t="str">
        <f aca="false">IF(OR(H1573="",L1573=""),"",H1573*L1573)</f>
        <v/>
      </c>
      <c r="N1573" s="34" t="str">
        <f aca="false">IF(OR(K1573="",M1573=""),"",K1573-M1573)</f>
        <v/>
      </c>
      <c r="O1573" s="35" t="str">
        <f aca="false">IF(OR(N1573="",K1573=""),"",IF(K1573=0,"",N1573/K1573))</f>
        <v/>
      </c>
      <c r="P1573" s="25"/>
      <c r="Q1573" s="25"/>
      <c r="R1573" s="25"/>
      <c r="S1573" s="36" t="str">
        <f aca="false">IF(A1573="","",YEAR(A1573)+IF(AND(FYStart&gt;1,MONTH(A1573)&gt;=FYStart),1,0))</f>
        <v/>
      </c>
      <c r="T1573" s="36" t="str">
        <f aca="false">IF(A1573="","",MOD(MONTH(A1573)-FYStart,12)+1)</f>
        <v/>
      </c>
      <c r="U1573" s="37" t="str">
        <f aca="false">IF(A1573="","",TEXT(A1573,"mmm"))</f>
        <v/>
      </c>
      <c r="V1573" s="37" t="str">
        <f aca="false">IF(Q1573="","",IFERROR(INDEX(Settings!$I$11:$I$15,MATCH(Q1573,Settings!$H$11:$H$15,0)),"No"))</f>
        <v/>
      </c>
      <c r="W1573" s="37" t="str">
        <f aca="false">IF(Q1573="","",IFERROR(INDEX(Settings!$J$11:$J$15,MATCH(Q1573,Settings!$H$11:$H$15,0)),"No"))</f>
        <v/>
      </c>
    </row>
    <row r="1574" customFormat="false" ht="15" hidden="false" customHeight="false" outlineLevel="0" collapsed="false">
      <c r="A1574" s="30"/>
      <c r="B1574" s="25"/>
      <c r="C1574" s="25"/>
      <c r="D1574" s="25"/>
      <c r="E1574" s="25"/>
      <c r="F1574" s="25"/>
      <c r="G1574" s="25"/>
      <c r="H1574" s="31"/>
      <c r="I1574" s="32"/>
      <c r="J1574" s="33"/>
      <c r="K1574" s="34" t="str">
        <f aca="false">IF(OR(H1574="",I1574=""),"",H1574*I1574*(1-N(J1574)))</f>
        <v/>
      </c>
      <c r="L1574" s="32"/>
      <c r="M1574" s="34" t="str">
        <f aca="false">IF(OR(H1574="",L1574=""),"",H1574*L1574)</f>
        <v/>
      </c>
      <c r="N1574" s="34" t="str">
        <f aca="false">IF(OR(K1574="",M1574=""),"",K1574-M1574)</f>
        <v/>
      </c>
      <c r="O1574" s="35" t="str">
        <f aca="false">IF(OR(N1574="",K1574=""),"",IF(K1574=0,"",N1574/K1574))</f>
        <v/>
      </c>
      <c r="P1574" s="25"/>
      <c r="Q1574" s="25"/>
      <c r="R1574" s="25"/>
      <c r="S1574" s="36" t="str">
        <f aca="false">IF(A1574="","",YEAR(A1574)+IF(AND(FYStart&gt;1,MONTH(A1574)&gt;=FYStart),1,0))</f>
        <v/>
      </c>
      <c r="T1574" s="36" t="str">
        <f aca="false">IF(A1574="","",MOD(MONTH(A1574)-FYStart,12)+1)</f>
        <v/>
      </c>
      <c r="U1574" s="37" t="str">
        <f aca="false">IF(A1574="","",TEXT(A1574,"mmm"))</f>
        <v/>
      </c>
      <c r="V1574" s="37" t="str">
        <f aca="false">IF(Q1574="","",IFERROR(INDEX(Settings!$I$11:$I$15,MATCH(Q1574,Settings!$H$11:$H$15,0)),"No"))</f>
        <v/>
      </c>
      <c r="W1574" s="37" t="str">
        <f aca="false">IF(Q1574="","",IFERROR(INDEX(Settings!$J$11:$J$15,MATCH(Q1574,Settings!$H$11:$H$15,0)),"No"))</f>
        <v/>
      </c>
    </row>
    <row r="1575" customFormat="false" ht="15" hidden="false" customHeight="false" outlineLevel="0" collapsed="false">
      <c r="A1575" s="30"/>
      <c r="B1575" s="25"/>
      <c r="C1575" s="25"/>
      <c r="D1575" s="25"/>
      <c r="E1575" s="25"/>
      <c r="F1575" s="25"/>
      <c r="G1575" s="25"/>
      <c r="H1575" s="31"/>
      <c r="I1575" s="32"/>
      <c r="J1575" s="33"/>
      <c r="K1575" s="34" t="str">
        <f aca="false">IF(OR(H1575="",I1575=""),"",H1575*I1575*(1-N(J1575)))</f>
        <v/>
      </c>
      <c r="L1575" s="32"/>
      <c r="M1575" s="34" t="str">
        <f aca="false">IF(OR(H1575="",L1575=""),"",H1575*L1575)</f>
        <v/>
      </c>
      <c r="N1575" s="34" t="str">
        <f aca="false">IF(OR(K1575="",M1575=""),"",K1575-M1575)</f>
        <v/>
      </c>
      <c r="O1575" s="35" t="str">
        <f aca="false">IF(OR(N1575="",K1575=""),"",IF(K1575=0,"",N1575/K1575))</f>
        <v/>
      </c>
      <c r="P1575" s="25"/>
      <c r="Q1575" s="25"/>
      <c r="R1575" s="25"/>
      <c r="S1575" s="36" t="str">
        <f aca="false">IF(A1575="","",YEAR(A1575)+IF(AND(FYStart&gt;1,MONTH(A1575)&gt;=FYStart),1,0))</f>
        <v/>
      </c>
      <c r="T1575" s="36" t="str">
        <f aca="false">IF(A1575="","",MOD(MONTH(A1575)-FYStart,12)+1)</f>
        <v/>
      </c>
      <c r="U1575" s="37" t="str">
        <f aca="false">IF(A1575="","",TEXT(A1575,"mmm"))</f>
        <v/>
      </c>
      <c r="V1575" s="37" t="str">
        <f aca="false">IF(Q1575="","",IFERROR(INDEX(Settings!$I$11:$I$15,MATCH(Q1575,Settings!$H$11:$H$15,0)),"No"))</f>
        <v/>
      </c>
      <c r="W1575" s="37" t="str">
        <f aca="false">IF(Q1575="","",IFERROR(INDEX(Settings!$J$11:$J$15,MATCH(Q1575,Settings!$H$11:$H$15,0)),"No"))</f>
        <v/>
      </c>
    </row>
    <row r="1576" customFormat="false" ht="15" hidden="false" customHeight="false" outlineLevel="0" collapsed="false">
      <c r="A1576" s="30"/>
      <c r="B1576" s="25"/>
      <c r="C1576" s="25"/>
      <c r="D1576" s="25"/>
      <c r="E1576" s="25"/>
      <c r="F1576" s="25"/>
      <c r="G1576" s="25"/>
      <c r="H1576" s="31"/>
      <c r="I1576" s="32"/>
      <c r="J1576" s="33"/>
      <c r="K1576" s="34" t="str">
        <f aca="false">IF(OR(H1576="",I1576=""),"",H1576*I1576*(1-N(J1576)))</f>
        <v/>
      </c>
      <c r="L1576" s="32"/>
      <c r="M1576" s="34" t="str">
        <f aca="false">IF(OR(H1576="",L1576=""),"",H1576*L1576)</f>
        <v/>
      </c>
      <c r="N1576" s="34" t="str">
        <f aca="false">IF(OR(K1576="",M1576=""),"",K1576-M1576)</f>
        <v/>
      </c>
      <c r="O1576" s="35" t="str">
        <f aca="false">IF(OR(N1576="",K1576=""),"",IF(K1576=0,"",N1576/K1576))</f>
        <v/>
      </c>
      <c r="P1576" s="25"/>
      <c r="Q1576" s="25"/>
      <c r="R1576" s="25"/>
      <c r="S1576" s="36" t="str">
        <f aca="false">IF(A1576="","",YEAR(A1576)+IF(AND(FYStart&gt;1,MONTH(A1576)&gt;=FYStart),1,0))</f>
        <v/>
      </c>
      <c r="T1576" s="36" t="str">
        <f aca="false">IF(A1576="","",MOD(MONTH(A1576)-FYStart,12)+1)</f>
        <v/>
      </c>
      <c r="U1576" s="37" t="str">
        <f aca="false">IF(A1576="","",TEXT(A1576,"mmm"))</f>
        <v/>
      </c>
      <c r="V1576" s="37" t="str">
        <f aca="false">IF(Q1576="","",IFERROR(INDEX(Settings!$I$11:$I$15,MATCH(Q1576,Settings!$H$11:$H$15,0)),"No"))</f>
        <v/>
      </c>
      <c r="W1576" s="37" t="str">
        <f aca="false">IF(Q1576="","",IFERROR(INDEX(Settings!$J$11:$J$15,MATCH(Q1576,Settings!$H$11:$H$15,0)),"No"))</f>
        <v/>
      </c>
    </row>
    <row r="1577" customFormat="false" ht="15" hidden="false" customHeight="false" outlineLevel="0" collapsed="false">
      <c r="A1577" s="30"/>
      <c r="B1577" s="25"/>
      <c r="C1577" s="25"/>
      <c r="D1577" s="25"/>
      <c r="E1577" s="25"/>
      <c r="F1577" s="25"/>
      <c r="G1577" s="25"/>
      <c r="H1577" s="31"/>
      <c r="I1577" s="32"/>
      <c r="J1577" s="33"/>
      <c r="K1577" s="34" t="str">
        <f aca="false">IF(OR(H1577="",I1577=""),"",H1577*I1577*(1-N(J1577)))</f>
        <v/>
      </c>
      <c r="L1577" s="32"/>
      <c r="M1577" s="34" t="str">
        <f aca="false">IF(OR(H1577="",L1577=""),"",H1577*L1577)</f>
        <v/>
      </c>
      <c r="N1577" s="34" t="str">
        <f aca="false">IF(OR(K1577="",M1577=""),"",K1577-M1577)</f>
        <v/>
      </c>
      <c r="O1577" s="35" t="str">
        <f aca="false">IF(OR(N1577="",K1577=""),"",IF(K1577=0,"",N1577/K1577))</f>
        <v/>
      </c>
      <c r="P1577" s="25"/>
      <c r="Q1577" s="25"/>
      <c r="R1577" s="25"/>
      <c r="S1577" s="36" t="str">
        <f aca="false">IF(A1577="","",YEAR(A1577)+IF(AND(FYStart&gt;1,MONTH(A1577)&gt;=FYStart),1,0))</f>
        <v/>
      </c>
      <c r="T1577" s="36" t="str">
        <f aca="false">IF(A1577="","",MOD(MONTH(A1577)-FYStart,12)+1)</f>
        <v/>
      </c>
      <c r="U1577" s="37" t="str">
        <f aca="false">IF(A1577="","",TEXT(A1577,"mmm"))</f>
        <v/>
      </c>
      <c r="V1577" s="37" t="str">
        <f aca="false">IF(Q1577="","",IFERROR(INDEX(Settings!$I$11:$I$15,MATCH(Q1577,Settings!$H$11:$H$15,0)),"No"))</f>
        <v/>
      </c>
      <c r="W1577" s="37" t="str">
        <f aca="false">IF(Q1577="","",IFERROR(INDEX(Settings!$J$11:$J$15,MATCH(Q1577,Settings!$H$11:$H$15,0)),"No"))</f>
        <v/>
      </c>
    </row>
    <row r="1578" customFormat="false" ht="15" hidden="false" customHeight="false" outlineLevel="0" collapsed="false">
      <c r="A1578" s="30"/>
      <c r="B1578" s="25"/>
      <c r="C1578" s="25"/>
      <c r="D1578" s="25"/>
      <c r="E1578" s="25"/>
      <c r="F1578" s="25"/>
      <c r="G1578" s="25"/>
      <c r="H1578" s="31"/>
      <c r="I1578" s="32"/>
      <c r="J1578" s="33"/>
      <c r="K1578" s="34" t="str">
        <f aca="false">IF(OR(H1578="",I1578=""),"",H1578*I1578*(1-N(J1578)))</f>
        <v/>
      </c>
      <c r="L1578" s="32"/>
      <c r="M1578" s="34" t="str">
        <f aca="false">IF(OR(H1578="",L1578=""),"",H1578*L1578)</f>
        <v/>
      </c>
      <c r="N1578" s="34" t="str">
        <f aca="false">IF(OR(K1578="",M1578=""),"",K1578-M1578)</f>
        <v/>
      </c>
      <c r="O1578" s="35" t="str">
        <f aca="false">IF(OR(N1578="",K1578=""),"",IF(K1578=0,"",N1578/K1578))</f>
        <v/>
      </c>
      <c r="P1578" s="25"/>
      <c r="Q1578" s="25"/>
      <c r="R1578" s="25"/>
      <c r="S1578" s="36" t="str">
        <f aca="false">IF(A1578="","",YEAR(A1578)+IF(AND(FYStart&gt;1,MONTH(A1578)&gt;=FYStart),1,0))</f>
        <v/>
      </c>
      <c r="T1578" s="36" t="str">
        <f aca="false">IF(A1578="","",MOD(MONTH(A1578)-FYStart,12)+1)</f>
        <v/>
      </c>
      <c r="U1578" s="37" t="str">
        <f aca="false">IF(A1578="","",TEXT(A1578,"mmm"))</f>
        <v/>
      </c>
      <c r="V1578" s="37" t="str">
        <f aca="false">IF(Q1578="","",IFERROR(INDEX(Settings!$I$11:$I$15,MATCH(Q1578,Settings!$H$11:$H$15,0)),"No"))</f>
        <v/>
      </c>
      <c r="W1578" s="37" t="str">
        <f aca="false">IF(Q1578="","",IFERROR(INDEX(Settings!$J$11:$J$15,MATCH(Q1578,Settings!$H$11:$H$15,0)),"No"))</f>
        <v/>
      </c>
    </row>
    <row r="1579" customFormat="false" ht="15" hidden="false" customHeight="false" outlineLevel="0" collapsed="false">
      <c r="A1579" s="30"/>
      <c r="B1579" s="25"/>
      <c r="C1579" s="25"/>
      <c r="D1579" s="25"/>
      <c r="E1579" s="25"/>
      <c r="F1579" s="25"/>
      <c r="G1579" s="25"/>
      <c r="H1579" s="31"/>
      <c r="I1579" s="32"/>
      <c r="J1579" s="33"/>
      <c r="K1579" s="34" t="str">
        <f aca="false">IF(OR(H1579="",I1579=""),"",H1579*I1579*(1-N(J1579)))</f>
        <v/>
      </c>
      <c r="L1579" s="32"/>
      <c r="M1579" s="34" t="str">
        <f aca="false">IF(OR(H1579="",L1579=""),"",H1579*L1579)</f>
        <v/>
      </c>
      <c r="N1579" s="34" t="str">
        <f aca="false">IF(OR(K1579="",M1579=""),"",K1579-M1579)</f>
        <v/>
      </c>
      <c r="O1579" s="35" t="str">
        <f aca="false">IF(OR(N1579="",K1579=""),"",IF(K1579=0,"",N1579/K1579))</f>
        <v/>
      </c>
      <c r="P1579" s="25"/>
      <c r="Q1579" s="25"/>
      <c r="R1579" s="25"/>
      <c r="S1579" s="36" t="str">
        <f aca="false">IF(A1579="","",YEAR(A1579)+IF(AND(FYStart&gt;1,MONTH(A1579)&gt;=FYStart),1,0))</f>
        <v/>
      </c>
      <c r="T1579" s="36" t="str">
        <f aca="false">IF(A1579="","",MOD(MONTH(A1579)-FYStart,12)+1)</f>
        <v/>
      </c>
      <c r="U1579" s="37" t="str">
        <f aca="false">IF(A1579="","",TEXT(A1579,"mmm"))</f>
        <v/>
      </c>
      <c r="V1579" s="37" t="str">
        <f aca="false">IF(Q1579="","",IFERROR(INDEX(Settings!$I$11:$I$15,MATCH(Q1579,Settings!$H$11:$H$15,0)),"No"))</f>
        <v/>
      </c>
      <c r="W1579" s="37" t="str">
        <f aca="false">IF(Q1579="","",IFERROR(INDEX(Settings!$J$11:$J$15,MATCH(Q1579,Settings!$H$11:$H$15,0)),"No"))</f>
        <v/>
      </c>
    </row>
    <row r="1580" customFormat="false" ht="15" hidden="false" customHeight="false" outlineLevel="0" collapsed="false">
      <c r="A1580" s="30"/>
      <c r="B1580" s="25"/>
      <c r="C1580" s="25"/>
      <c r="D1580" s="25"/>
      <c r="E1580" s="25"/>
      <c r="F1580" s="25"/>
      <c r="G1580" s="25"/>
      <c r="H1580" s="31"/>
      <c r="I1580" s="32"/>
      <c r="J1580" s="33"/>
      <c r="K1580" s="34" t="str">
        <f aca="false">IF(OR(H1580="",I1580=""),"",H1580*I1580*(1-N(J1580)))</f>
        <v/>
      </c>
      <c r="L1580" s="32"/>
      <c r="M1580" s="34" t="str">
        <f aca="false">IF(OR(H1580="",L1580=""),"",H1580*L1580)</f>
        <v/>
      </c>
      <c r="N1580" s="34" t="str">
        <f aca="false">IF(OR(K1580="",M1580=""),"",K1580-M1580)</f>
        <v/>
      </c>
      <c r="O1580" s="35" t="str">
        <f aca="false">IF(OR(N1580="",K1580=""),"",IF(K1580=0,"",N1580/K1580))</f>
        <v/>
      </c>
      <c r="P1580" s="25"/>
      <c r="Q1580" s="25"/>
      <c r="R1580" s="25"/>
      <c r="S1580" s="36" t="str">
        <f aca="false">IF(A1580="","",YEAR(A1580)+IF(AND(FYStart&gt;1,MONTH(A1580)&gt;=FYStart),1,0))</f>
        <v/>
      </c>
      <c r="T1580" s="36" t="str">
        <f aca="false">IF(A1580="","",MOD(MONTH(A1580)-FYStart,12)+1)</f>
        <v/>
      </c>
      <c r="U1580" s="37" t="str">
        <f aca="false">IF(A1580="","",TEXT(A1580,"mmm"))</f>
        <v/>
      </c>
      <c r="V1580" s="37" t="str">
        <f aca="false">IF(Q1580="","",IFERROR(INDEX(Settings!$I$11:$I$15,MATCH(Q1580,Settings!$H$11:$H$15,0)),"No"))</f>
        <v/>
      </c>
      <c r="W1580" s="37" t="str">
        <f aca="false">IF(Q1580="","",IFERROR(INDEX(Settings!$J$11:$J$15,MATCH(Q1580,Settings!$H$11:$H$15,0)),"No"))</f>
        <v/>
      </c>
    </row>
    <row r="1581" customFormat="false" ht="15" hidden="false" customHeight="false" outlineLevel="0" collapsed="false">
      <c r="A1581" s="30"/>
      <c r="B1581" s="25"/>
      <c r="C1581" s="25"/>
      <c r="D1581" s="25"/>
      <c r="E1581" s="25"/>
      <c r="F1581" s="25"/>
      <c r="G1581" s="25"/>
      <c r="H1581" s="31"/>
      <c r="I1581" s="32"/>
      <c r="J1581" s="33"/>
      <c r="K1581" s="34" t="str">
        <f aca="false">IF(OR(H1581="",I1581=""),"",H1581*I1581*(1-N(J1581)))</f>
        <v/>
      </c>
      <c r="L1581" s="32"/>
      <c r="M1581" s="34" t="str">
        <f aca="false">IF(OR(H1581="",L1581=""),"",H1581*L1581)</f>
        <v/>
      </c>
      <c r="N1581" s="34" t="str">
        <f aca="false">IF(OR(K1581="",M1581=""),"",K1581-M1581)</f>
        <v/>
      </c>
      <c r="O1581" s="35" t="str">
        <f aca="false">IF(OR(N1581="",K1581=""),"",IF(K1581=0,"",N1581/K1581))</f>
        <v/>
      </c>
      <c r="P1581" s="25"/>
      <c r="Q1581" s="25"/>
      <c r="R1581" s="25"/>
      <c r="S1581" s="36" t="str">
        <f aca="false">IF(A1581="","",YEAR(A1581)+IF(AND(FYStart&gt;1,MONTH(A1581)&gt;=FYStart),1,0))</f>
        <v/>
      </c>
      <c r="T1581" s="36" t="str">
        <f aca="false">IF(A1581="","",MOD(MONTH(A1581)-FYStart,12)+1)</f>
        <v/>
      </c>
      <c r="U1581" s="37" t="str">
        <f aca="false">IF(A1581="","",TEXT(A1581,"mmm"))</f>
        <v/>
      </c>
      <c r="V1581" s="37" t="str">
        <f aca="false">IF(Q1581="","",IFERROR(INDEX(Settings!$I$11:$I$15,MATCH(Q1581,Settings!$H$11:$H$15,0)),"No"))</f>
        <v/>
      </c>
      <c r="W1581" s="37" t="str">
        <f aca="false">IF(Q1581="","",IFERROR(INDEX(Settings!$J$11:$J$15,MATCH(Q1581,Settings!$H$11:$H$15,0)),"No"))</f>
        <v/>
      </c>
    </row>
    <row r="1582" customFormat="false" ht="15" hidden="false" customHeight="false" outlineLevel="0" collapsed="false">
      <c r="A1582" s="30"/>
      <c r="B1582" s="25"/>
      <c r="C1582" s="25"/>
      <c r="D1582" s="25"/>
      <c r="E1582" s="25"/>
      <c r="F1582" s="25"/>
      <c r="G1582" s="25"/>
      <c r="H1582" s="31"/>
      <c r="I1582" s="32"/>
      <c r="J1582" s="33"/>
      <c r="K1582" s="34" t="str">
        <f aca="false">IF(OR(H1582="",I1582=""),"",H1582*I1582*(1-N(J1582)))</f>
        <v/>
      </c>
      <c r="L1582" s="32"/>
      <c r="M1582" s="34" t="str">
        <f aca="false">IF(OR(H1582="",L1582=""),"",H1582*L1582)</f>
        <v/>
      </c>
      <c r="N1582" s="34" t="str">
        <f aca="false">IF(OR(K1582="",M1582=""),"",K1582-M1582)</f>
        <v/>
      </c>
      <c r="O1582" s="35" t="str">
        <f aca="false">IF(OR(N1582="",K1582=""),"",IF(K1582=0,"",N1582/K1582))</f>
        <v/>
      </c>
      <c r="P1582" s="25"/>
      <c r="Q1582" s="25"/>
      <c r="R1582" s="25"/>
      <c r="S1582" s="36" t="str">
        <f aca="false">IF(A1582="","",YEAR(A1582)+IF(AND(FYStart&gt;1,MONTH(A1582)&gt;=FYStart),1,0))</f>
        <v/>
      </c>
      <c r="T1582" s="36" t="str">
        <f aca="false">IF(A1582="","",MOD(MONTH(A1582)-FYStart,12)+1)</f>
        <v/>
      </c>
      <c r="U1582" s="37" t="str">
        <f aca="false">IF(A1582="","",TEXT(A1582,"mmm"))</f>
        <v/>
      </c>
      <c r="V1582" s="37" t="str">
        <f aca="false">IF(Q1582="","",IFERROR(INDEX(Settings!$I$11:$I$15,MATCH(Q1582,Settings!$H$11:$H$15,0)),"No"))</f>
        <v/>
      </c>
      <c r="W1582" s="37" t="str">
        <f aca="false">IF(Q1582="","",IFERROR(INDEX(Settings!$J$11:$J$15,MATCH(Q1582,Settings!$H$11:$H$15,0)),"No"))</f>
        <v/>
      </c>
    </row>
    <row r="1583" customFormat="false" ht="15" hidden="false" customHeight="false" outlineLevel="0" collapsed="false">
      <c r="A1583" s="30"/>
      <c r="B1583" s="25"/>
      <c r="C1583" s="25"/>
      <c r="D1583" s="25"/>
      <c r="E1583" s="25"/>
      <c r="F1583" s="25"/>
      <c r="G1583" s="25"/>
      <c r="H1583" s="31"/>
      <c r="I1583" s="32"/>
      <c r="J1583" s="33"/>
      <c r="K1583" s="34" t="str">
        <f aca="false">IF(OR(H1583="",I1583=""),"",H1583*I1583*(1-N(J1583)))</f>
        <v/>
      </c>
      <c r="L1583" s="32"/>
      <c r="M1583" s="34" t="str">
        <f aca="false">IF(OR(H1583="",L1583=""),"",H1583*L1583)</f>
        <v/>
      </c>
      <c r="N1583" s="34" t="str">
        <f aca="false">IF(OR(K1583="",M1583=""),"",K1583-M1583)</f>
        <v/>
      </c>
      <c r="O1583" s="35" t="str">
        <f aca="false">IF(OR(N1583="",K1583=""),"",IF(K1583=0,"",N1583/K1583))</f>
        <v/>
      </c>
      <c r="P1583" s="25"/>
      <c r="Q1583" s="25"/>
      <c r="R1583" s="25"/>
      <c r="S1583" s="36" t="str">
        <f aca="false">IF(A1583="","",YEAR(A1583)+IF(AND(FYStart&gt;1,MONTH(A1583)&gt;=FYStart),1,0))</f>
        <v/>
      </c>
      <c r="T1583" s="36" t="str">
        <f aca="false">IF(A1583="","",MOD(MONTH(A1583)-FYStart,12)+1)</f>
        <v/>
      </c>
      <c r="U1583" s="37" t="str">
        <f aca="false">IF(A1583="","",TEXT(A1583,"mmm"))</f>
        <v/>
      </c>
      <c r="V1583" s="37" t="str">
        <f aca="false">IF(Q1583="","",IFERROR(INDEX(Settings!$I$11:$I$15,MATCH(Q1583,Settings!$H$11:$H$15,0)),"No"))</f>
        <v/>
      </c>
      <c r="W1583" s="37" t="str">
        <f aca="false">IF(Q1583="","",IFERROR(INDEX(Settings!$J$11:$J$15,MATCH(Q1583,Settings!$H$11:$H$15,0)),"No"))</f>
        <v/>
      </c>
    </row>
    <row r="1584" customFormat="false" ht="15" hidden="false" customHeight="false" outlineLevel="0" collapsed="false">
      <c r="A1584" s="30"/>
      <c r="B1584" s="25"/>
      <c r="C1584" s="25"/>
      <c r="D1584" s="25"/>
      <c r="E1584" s="25"/>
      <c r="F1584" s="25"/>
      <c r="G1584" s="25"/>
      <c r="H1584" s="31"/>
      <c r="I1584" s="32"/>
      <c r="J1584" s="33"/>
      <c r="K1584" s="34" t="str">
        <f aca="false">IF(OR(H1584="",I1584=""),"",H1584*I1584*(1-N(J1584)))</f>
        <v/>
      </c>
      <c r="L1584" s="32"/>
      <c r="M1584" s="34" t="str">
        <f aca="false">IF(OR(H1584="",L1584=""),"",H1584*L1584)</f>
        <v/>
      </c>
      <c r="N1584" s="34" t="str">
        <f aca="false">IF(OR(K1584="",M1584=""),"",K1584-M1584)</f>
        <v/>
      </c>
      <c r="O1584" s="35" t="str">
        <f aca="false">IF(OR(N1584="",K1584=""),"",IF(K1584=0,"",N1584/K1584))</f>
        <v/>
      </c>
      <c r="P1584" s="25"/>
      <c r="Q1584" s="25"/>
      <c r="R1584" s="25"/>
      <c r="S1584" s="36" t="str">
        <f aca="false">IF(A1584="","",YEAR(A1584)+IF(AND(FYStart&gt;1,MONTH(A1584)&gt;=FYStart),1,0))</f>
        <v/>
      </c>
      <c r="T1584" s="36" t="str">
        <f aca="false">IF(A1584="","",MOD(MONTH(A1584)-FYStart,12)+1)</f>
        <v/>
      </c>
      <c r="U1584" s="37" t="str">
        <f aca="false">IF(A1584="","",TEXT(A1584,"mmm"))</f>
        <v/>
      </c>
      <c r="V1584" s="37" t="str">
        <f aca="false">IF(Q1584="","",IFERROR(INDEX(Settings!$I$11:$I$15,MATCH(Q1584,Settings!$H$11:$H$15,0)),"No"))</f>
        <v/>
      </c>
      <c r="W1584" s="37" t="str">
        <f aca="false">IF(Q1584="","",IFERROR(INDEX(Settings!$J$11:$J$15,MATCH(Q1584,Settings!$H$11:$H$15,0)),"No"))</f>
        <v/>
      </c>
    </row>
    <row r="1585" customFormat="false" ht="15" hidden="false" customHeight="false" outlineLevel="0" collapsed="false">
      <c r="A1585" s="30"/>
      <c r="B1585" s="25"/>
      <c r="C1585" s="25"/>
      <c r="D1585" s="25"/>
      <c r="E1585" s="25"/>
      <c r="F1585" s="25"/>
      <c r="G1585" s="25"/>
      <c r="H1585" s="31"/>
      <c r="I1585" s="32"/>
      <c r="J1585" s="33"/>
      <c r="K1585" s="34" t="str">
        <f aca="false">IF(OR(H1585="",I1585=""),"",H1585*I1585*(1-N(J1585)))</f>
        <v/>
      </c>
      <c r="L1585" s="32"/>
      <c r="M1585" s="34" t="str">
        <f aca="false">IF(OR(H1585="",L1585=""),"",H1585*L1585)</f>
        <v/>
      </c>
      <c r="N1585" s="34" t="str">
        <f aca="false">IF(OR(K1585="",M1585=""),"",K1585-M1585)</f>
        <v/>
      </c>
      <c r="O1585" s="35" t="str">
        <f aca="false">IF(OR(N1585="",K1585=""),"",IF(K1585=0,"",N1585/K1585))</f>
        <v/>
      </c>
      <c r="P1585" s="25"/>
      <c r="Q1585" s="25"/>
      <c r="R1585" s="25"/>
      <c r="S1585" s="36" t="str">
        <f aca="false">IF(A1585="","",YEAR(A1585)+IF(AND(FYStart&gt;1,MONTH(A1585)&gt;=FYStart),1,0))</f>
        <v/>
      </c>
      <c r="T1585" s="36" t="str">
        <f aca="false">IF(A1585="","",MOD(MONTH(A1585)-FYStart,12)+1)</f>
        <v/>
      </c>
      <c r="U1585" s="37" t="str">
        <f aca="false">IF(A1585="","",TEXT(A1585,"mmm"))</f>
        <v/>
      </c>
      <c r="V1585" s="37" t="str">
        <f aca="false">IF(Q1585="","",IFERROR(INDEX(Settings!$I$11:$I$15,MATCH(Q1585,Settings!$H$11:$H$15,0)),"No"))</f>
        <v/>
      </c>
      <c r="W1585" s="37" t="str">
        <f aca="false">IF(Q1585="","",IFERROR(INDEX(Settings!$J$11:$J$15,MATCH(Q1585,Settings!$H$11:$H$15,0)),"No"))</f>
        <v/>
      </c>
    </row>
    <row r="1586" customFormat="false" ht="15" hidden="false" customHeight="false" outlineLevel="0" collapsed="false">
      <c r="A1586" s="30"/>
      <c r="B1586" s="25"/>
      <c r="C1586" s="25"/>
      <c r="D1586" s="25"/>
      <c r="E1586" s="25"/>
      <c r="F1586" s="25"/>
      <c r="G1586" s="25"/>
      <c r="H1586" s="31"/>
      <c r="I1586" s="32"/>
      <c r="J1586" s="33"/>
      <c r="K1586" s="34" t="str">
        <f aca="false">IF(OR(H1586="",I1586=""),"",H1586*I1586*(1-N(J1586)))</f>
        <v/>
      </c>
      <c r="L1586" s="32"/>
      <c r="M1586" s="34" t="str">
        <f aca="false">IF(OR(H1586="",L1586=""),"",H1586*L1586)</f>
        <v/>
      </c>
      <c r="N1586" s="34" t="str">
        <f aca="false">IF(OR(K1586="",M1586=""),"",K1586-M1586)</f>
        <v/>
      </c>
      <c r="O1586" s="35" t="str">
        <f aca="false">IF(OR(N1586="",K1586=""),"",IF(K1586=0,"",N1586/K1586))</f>
        <v/>
      </c>
      <c r="P1586" s="25"/>
      <c r="Q1586" s="25"/>
      <c r="R1586" s="25"/>
      <c r="S1586" s="36" t="str">
        <f aca="false">IF(A1586="","",YEAR(A1586)+IF(AND(FYStart&gt;1,MONTH(A1586)&gt;=FYStart),1,0))</f>
        <v/>
      </c>
      <c r="T1586" s="36" t="str">
        <f aca="false">IF(A1586="","",MOD(MONTH(A1586)-FYStart,12)+1)</f>
        <v/>
      </c>
      <c r="U1586" s="37" t="str">
        <f aca="false">IF(A1586="","",TEXT(A1586,"mmm"))</f>
        <v/>
      </c>
      <c r="V1586" s="37" t="str">
        <f aca="false">IF(Q1586="","",IFERROR(INDEX(Settings!$I$11:$I$15,MATCH(Q1586,Settings!$H$11:$H$15,0)),"No"))</f>
        <v/>
      </c>
      <c r="W1586" s="37" t="str">
        <f aca="false">IF(Q1586="","",IFERROR(INDEX(Settings!$J$11:$J$15,MATCH(Q1586,Settings!$H$11:$H$15,0)),"No"))</f>
        <v/>
      </c>
    </row>
    <row r="1587" customFormat="false" ht="15" hidden="false" customHeight="false" outlineLevel="0" collapsed="false">
      <c r="A1587" s="30"/>
      <c r="B1587" s="25"/>
      <c r="C1587" s="25"/>
      <c r="D1587" s="25"/>
      <c r="E1587" s="25"/>
      <c r="F1587" s="25"/>
      <c r="G1587" s="25"/>
      <c r="H1587" s="31"/>
      <c r="I1587" s="32"/>
      <c r="J1587" s="33"/>
      <c r="K1587" s="34" t="str">
        <f aca="false">IF(OR(H1587="",I1587=""),"",H1587*I1587*(1-N(J1587)))</f>
        <v/>
      </c>
      <c r="L1587" s="32"/>
      <c r="M1587" s="34" t="str">
        <f aca="false">IF(OR(H1587="",L1587=""),"",H1587*L1587)</f>
        <v/>
      </c>
      <c r="N1587" s="34" t="str">
        <f aca="false">IF(OR(K1587="",M1587=""),"",K1587-M1587)</f>
        <v/>
      </c>
      <c r="O1587" s="35" t="str">
        <f aca="false">IF(OR(N1587="",K1587=""),"",IF(K1587=0,"",N1587/K1587))</f>
        <v/>
      </c>
      <c r="P1587" s="25"/>
      <c r="Q1587" s="25"/>
      <c r="R1587" s="25"/>
      <c r="S1587" s="36" t="str">
        <f aca="false">IF(A1587="","",YEAR(A1587)+IF(AND(FYStart&gt;1,MONTH(A1587)&gt;=FYStart),1,0))</f>
        <v/>
      </c>
      <c r="T1587" s="36" t="str">
        <f aca="false">IF(A1587="","",MOD(MONTH(A1587)-FYStart,12)+1)</f>
        <v/>
      </c>
      <c r="U1587" s="37" t="str">
        <f aca="false">IF(A1587="","",TEXT(A1587,"mmm"))</f>
        <v/>
      </c>
      <c r="V1587" s="37" t="str">
        <f aca="false">IF(Q1587="","",IFERROR(INDEX(Settings!$I$11:$I$15,MATCH(Q1587,Settings!$H$11:$H$15,0)),"No"))</f>
        <v/>
      </c>
      <c r="W1587" s="37" t="str">
        <f aca="false">IF(Q1587="","",IFERROR(INDEX(Settings!$J$11:$J$15,MATCH(Q1587,Settings!$H$11:$H$15,0)),"No"))</f>
        <v/>
      </c>
    </row>
    <row r="1588" customFormat="false" ht="15" hidden="false" customHeight="false" outlineLevel="0" collapsed="false">
      <c r="A1588" s="30"/>
      <c r="B1588" s="25"/>
      <c r="C1588" s="25"/>
      <c r="D1588" s="25"/>
      <c r="E1588" s="25"/>
      <c r="F1588" s="25"/>
      <c r="G1588" s="25"/>
      <c r="H1588" s="31"/>
      <c r="I1588" s="32"/>
      <c r="J1588" s="33"/>
      <c r="K1588" s="34" t="str">
        <f aca="false">IF(OR(H1588="",I1588=""),"",H1588*I1588*(1-N(J1588)))</f>
        <v/>
      </c>
      <c r="L1588" s="32"/>
      <c r="M1588" s="34" t="str">
        <f aca="false">IF(OR(H1588="",L1588=""),"",H1588*L1588)</f>
        <v/>
      </c>
      <c r="N1588" s="34" t="str">
        <f aca="false">IF(OR(K1588="",M1588=""),"",K1588-M1588)</f>
        <v/>
      </c>
      <c r="O1588" s="35" t="str">
        <f aca="false">IF(OR(N1588="",K1588=""),"",IF(K1588=0,"",N1588/K1588))</f>
        <v/>
      </c>
      <c r="P1588" s="25"/>
      <c r="Q1588" s="25"/>
      <c r="R1588" s="25"/>
      <c r="S1588" s="36" t="str">
        <f aca="false">IF(A1588="","",YEAR(A1588)+IF(AND(FYStart&gt;1,MONTH(A1588)&gt;=FYStart),1,0))</f>
        <v/>
      </c>
      <c r="T1588" s="36" t="str">
        <f aca="false">IF(A1588="","",MOD(MONTH(A1588)-FYStart,12)+1)</f>
        <v/>
      </c>
      <c r="U1588" s="37" t="str">
        <f aca="false">IF(A1588="","",TEXT(A1588,"mmm"))</f>
        <v/>
      </c>
      <c r="V1588" s="37" t="str">
        <f aca="false">IF(Q1588="","",IFERROR(INDEX(Settings!$I$11:$I$15,MATCH(Q1588,Settings!$H$11:$H$15,0)),"No"))</f>
        <v/>
      </c>
      <c r="W1588" s="37" t="str">
        <f aca="false">IF(Q1588="","",IFERROR(INDEX(Settings!$J$11:$J$15,MATCH(Q1588,Settings!$H$11:$H$15,0)),"No"))</f>
        <v/>
      </c>
    </row>
    <row r="1589" customFormat="false" ht="15" hidden="false" customHeight="false" outlineLevel="0" collapsed="false">
      <c r="A1589" s="30"/>
      <c r="B1589" s="25"/>
      <c r="C1589" s="25"/>
      <c r="D1589" s="25"/>
      <c r="E1589" s="25"/>
      <c r="F1589" s="25"/>
      <c r="G1589" s="25"/>
      <c r="H1589" s="31"/>
      <c r="I1589" s="32"/>
      <c r="J1589" s="33"/>
      <c r="K1589" s="34" t="str">
        <f aca="false">IF(OR(H1589="",I1589=""),"",H1589*I1589*(1-N(J1589)))</f>
        <v/>
      </c>
      <c r="L1589" s="32"/>
      <c r="M1589" s="34" t="str">
        <f aca="false">IF(OR(H1589="",L1589=""),"",H1589*L1589)</f>
        <v/>
      </c>
      <c r="N1589" s="34" t="str">
        <f aca="false">IF(OR(K1589="",M1589=""),"",K1589-M1589)</f>
        <v/>
      </c>
      <c r="O1589" s="35" t="str">
        <f aca="false">IF(OR(N1589="",K1589=""),"",IF(K1589=0,"",N1589/K1589))</f>
        <v/>
      </c>
      <c r="P1589" s="25"/>
      <c r="Q1589" s="25"/>
      <c r="R1589" s="25"/>
      <c r="S1589" s="36" t="str">
        <f aca="false">IF(A1589="","",YEAR(A1589)+IF(AND(FYStart&gt;1,MONTH(A1589)&gt;=FYStart),1,0))</f>
        <v/>
      </c>
      <c r="T1589" s="36" t="str">
        <f aca="false">IF(A1589="","",MOD(MONTH(A1589)-FYStart,12)+1)</f>
        <v/>
      </c>
      <c r="U1589" s="37" t="str">
        <f aca="false">IF(A1589="","",TEXT(A1589,"mmm"))</f>
        <v/>
      </c>
      <c r="V1589" s="37" t="str">
        <f aca="false">IF(Q1589="","",IFERROR(INDEX(Settings!$I$11:$I$15,MATCH(Q1589,Settings!$H$11:$H$15,0)),"No"))</f>
        <v/>
      </c>
      <c r="W1589" s="37" t="str">
        <f aca="false">IF(Q1589="","",IFERROR(INDEX(Settings!$J$11:$J$15,MATCH(Q1589,Settings!$H$11:$H$15,0)),"No"))</f>
        <v/>
      </c>
    </row>
    <row r="1590" customFormat="false" ht="15" hidden="false" customHeight="false" outlineLevel="0" collapsed="false">
      <c r="A1590" s="30"/>
      <c r="B1590" s="25"/>
      <c r="C1590" s="25"/>
      <c r="D1590" s="25"/>
      <c r="E1590" s="25"/>
      <c r="F1590" s="25"/>
      <c r="G1590" s="25"/>
      <c r="H1590" s="31"/>
      <c r="I1590" s="32"/>
      <c r="J1590" s="33"/>
      <c r="K1590" s="34" t="str">
        <f aca="false">IF(OR(H1590="",I1590=""),"",H1590*I1590*(1-N(J1590)))</f>
        <v/>
      </c>
      <c r="L1590" s="32"/>
      <c r="M1590" s="34" t="str">
        <f aca="false">IF(OR(H1590="",L1590=""),"",H1590*L1590)</f>
        <v/>
      </c>
      <c r="N1590" s="34" t="str">
        <f aca="false">IF(OR(K1590="",M1590=""),"",K1590-M1590)</f>
        <v/>
      </c>
      <c r="O1590" s="35" t="str">
        <f aca="false">IF(OR(N1590="",K1590=""),"",IF(K1590=0,"",N1590/K1590))</f>
        <v/>
      </c>
      <c r="P1590" s="25"/>
      <c r="Q1590" s="25"/>
      <c r="R1590" s="25"/>
      <c r="S1590" s="36" t="str">
        <f aca="false">IF(A1590="","",YEAR(A1590)+IF(AND(FYStart&gt;1,MONTH(A1590)&gt;=FYStart),1,0))</f>
        <v/>
      </c>
      <c r="T1590" s="36" t="str">
        <f aca="false">IF(A1590="","",MOD(MONTH(A1590)-FYStart,12)+1)</f>
        <v/>
      </c>
      <c r="U1590" s="37" t="str">
        <f aca="false">IF(A1590="","",TEXT(A1590,"mmm"))</f>
        <v/>
      </c>
      <c r="V1590" s="37" t="str">
        <f aca="false">IF(Q1590="","",IFERROR(INDEX(Settings!$I$11:$I$15,MATCH(Q1590,Settings!$H$11:$H$15,0)),"No"))</f>
        <v/>
      </c>
      <c r="W1590" s="37" t="str">
        <f aca="false">IF(Q1590="","",IFERROR(INDEX(Settings!$J$11:$J$15,MATCH(Q1590,Settings!$H$11:$H$15,0)),"No"))</f>
        <v/>
      </c>
    </row>
    <row r="1591" customFormat="false" ht="15" hidden="false" customHeight="false" outlineLevel="0" collapsed="false">
      <c r="A1591" s="30"/>
      <c r="B1591" s="25"/>
      <c r="C1591" s="25"/>
      <c r="D1591" s="25"/>
      <c r="E1591" s="25"/>
      <c r="F1591" s="25"/>
      <c r="G1591" s="25"/>
      <c r="H1591" s="31"/>
      <c r="I1591" s="32"/>
      <c r="J1591" s="33"/>
      <c r="K1591" s="34" t="str">
        <f aca="false">IF(OR(H1591="",I1591=""),"",H1591*I1591*(1-N(J1591)))</f>
        <v/>
      </c>
      <c r="L1591" s="32"/>
      <c r="M1591" s="34" t="str">
        <f aca="false">IF(OR(H1591="",L1591=""),"",H1591*L1591)</f>
        <v/>
      </c>
      <c r="N1591" s="34" t="str">
        <f aca="false">IF(OR(K1591="",M1591=""),"",K1591-M1591)</f>
        <v/>
      </c>
      <c r="O1591" s="35" t="str">
        <f aca="false">IF(OR(N1591="",K1591=""),"",IF(K1591=0,"",N1591/K1591))</f>
        <v/>
      </c>
      <c r="P1591" s="25"/>
      <c r="Q1591" s="25"/>
      <c r="R1591" s="25"/>
      <c r="S1591" s="36" t="str">
        <f aca="false">IF(A1591="","",YEAR(A1591)+IF(AND(FYStart&gt;1,MONTH(A1591)&gt;=FYStart),1,0))</f>
        <v/>
      </c>
      <c r="T1591" s="36" t="str">
        <f aca="false">IF(A1591="","",MOD(MONTH(A1591)-FYStart,12)+1)</f>
        <v/>
      </c>
      <c r="U1591" s="37" t="str">
        <f aca="false">IF(A1591="","",TEXT(A1591,"mmm"))</f>
        <v/>
      </c>
      <c r="V1591" s="37" t="str">
        <f aca="false">IF(Q1591="","",IFERROR(INDEX(Settings!$I$11:$I$15,MATCH(Q1591,Settings!$H$11:$H$15,0)),"No"))</f>
        <v/>
      </c>
      <c r="W1591" s="37" t="str">
        <f aca="false">IF(Q1591="","",IFERROR(INDEX(Settings!$J$11:$J$15,MATCH(Q1591,Settings!$H$11:$H$15,0)),"No"))</f>
        <v/>
      </c>
    </row>
    <row r="1592" customFormat="false" ht="15" hidden="false" customHeight="false" outlineLevel="0" collapsed="false">
      <c r="A1592" s="30"/>
      <c r="B1592" s="25"/>
      <c r="C1592" s="25"/>
      <c r="D1592" s="25"/>
      <c r="E1592" s="25"/>
      <c r="F1592" s="25"/>
      <c r="G1592" s="25"/>
      <c r="H1592" s="31"/>
      <c r="I1592" s="32"/>
      <c r="J1592" s="33"/>
      <c r="K1592" s="34" t="str">
        <f aca="false">IF(OR(H1592="",I1592=""),"",H1592*I1592*(1-N(J1592)))</f>
        <v/>
      </c>
      <c r="L1592" s="32"/>
      <c r="M1592" s="34" t="str">
        <f aca="false">IF(OR(H1592="",L1592=""),"",H1592*L1592)</f>
        <v/>
      </c>
      <c r="N1592" s="34" t="str">
        <f aca="false">IF(OR(K1592="",M1592=""),"",K1592-M1592)</f>
        <v/>
      </c>
      <c r="O1592" s="35" t="str">
        <f aca="false">IF(OR(N1592="",K1592=""),"",IF(K1592=0,"",N1592/K1592))</f>
        <v/>
      </c>
      <c r="P1592" s="25"/>
      <c r="Q1592" s="25"/>
      <c r="R1592" s="25"/>
      <c r="S1592" s="36" t="str">
        <f aca="false">IF(A1592="","",YEAR(A1592)+IF(AND(FYStart&gt;1,MONTH(A1592)&gt;=FYStart),1,0))</f>
        <v/>
      </c>
      <c r="T1592" s="36" t="str">
        <f aca="false">IF(A1592="","",MOD(MONTH(A1592)-FYStart,12)+1)</f>
        <v/>
      </c>
      <c r="U1592" s="37" t="str">
        <f aca="false">IF(A1592="","",TEXT(A1592,"mmm"))</f>
        <v/>
      </c>
      <c r="V1592" s="37" t="str">
        <f aca="false">IF(Q1592="","",IFERROR(INDEX(Settings!$I$11:$I$15,MATCH(Q1592,Settings!$H$11:$H$15,0)),"No"))</f>
        <v/>
      </c>
      <c r="W1592" s="37" t="str">
        <f aca="false">IF(Q1592="","",IFERROR(INDEX(Settings!$J$11:$J$15,MATCH(Q1592,Settings!$H$11:$H$15,0)),"No"))</f>
        <v/>
      </c>
    </row>
    <row r="1593" customFormat="false" ht="15" hidden="false" customHeight="false" outlineLevel="0" collapsed="false">
      <c r="A1593" s="30"/>
      <c r="B1593" s="25"/>
      <c r="C1593" s="25"/>
      <c r="D1593" s="25"/>
      <c r="E1593" s="25"/>
      <c r="F1593" s="25"/>
      <c r="G1593" s="25"/>
      <c r="H1593" s="31"/>
      <c r="I1593" s="32"/>
      <c r="J1593" s="33"/>
      <c r="K1593" s="34" t="str">
        <f aca="false">IF(OR(H1593="",I1593=""),"",H1593*I1593*(1-N(J1593)))</f>
        <v/>
      </c>
      <c r="L1593" s="32"/>
      <c r="M1593" s="34" t="str">
        <f aca="false">IF(OR(H1593="",L1593=""),"",H1593*L1593)</f>
        <v/>
      </c>
      <c r="N1593" s="34" t="str">
        <f aca="false">IF(OR(K1593="",M1593=""),"",K1593-M1593)</f>
        <v/>
      </c>
      <c r="O1593" s="35" t="str">
        <f aca="false">IF(OR(N1593="",K1593=""),"",IF(K1593=0,"",N1593/K1593))</f>
        <v/>
      </c>
      <c r="P1593" s="25"/>
      <c r="Q1593" s="25"/>
      <c r="R1593" s="25"/>
      <c r="S1593" s="36" t="str">
        <f aca="false">IF(A1593="","",YEAR(A1593)+IF(AND(FYStart&gt;1,MONTH(A1593)&gt;=FYStart),1,0))</f>
        <v/>
      </c>
      <c r="T1593" s="36" t="str">
        <f aca="false">IF(A1593="","",MOD(MONTH(A1593)-FYStart,12)+1)</f>
        <v/>
      </c>
      <c r="U1593" s="37" t="str">
        <f aca="false">IF(A1593="","",TEXT(A1593,"mmm"))</f>
        <v/>
      </c>
      <c r="V1593" s="37" t="str">
        <f aca="false">IF(Q1593="","",IFERROR(INDEX(Settings!$I$11:$I$15,MATCH(Q1593,Settings!$H$11:$H$15,0)),"No"))</f>
        <v/>
      </c>
      <c r="W1593" s="37" t="str">
        <f aca="false">IF(Q1593="","",IFERROR(INDEX(Settings!$J$11:$J$15,MATCH(Q1593,Settings!$H$11:$H$15,0)),"No"))</f>
        <v/>
      </c>
    </row>
    <row r="1594" customFormat="false" ht="15" hidden="false" customHeight="false" outlineLevel="0" collapsed="false">
      <c r="A1594" s="30"/>
      <c r="B1594" s="25"/>
      <c r="C1594" s="25"/>
      <c r="D1594" s="25"/>
      <c r="E1594" s="25"/>
      <c r="F1594" s="25"/>
      <c r="G1594" s="25"/>
      <c r="H1594" s="31"/>
      <c r="I1594" s="32"/>
      <c r="J1594" s="33"/>
      <c r="K1594" s="34" t="str">
        <f aca="false">IF(OR(H1594="",I1594=""),"",H1594*I1594*(1-N(J1594)))</f>
        <v/>
      </c>
      <c r="L1594" s="32"/>
      <c r="M1594" s="34" t="str">
        <f aca="false">IF(OR(H1594="",L1594=""),"",H1594*L1594)</f>
        <v/>
      </c>
      <c r="N1594" s="34" t="str">
        <f aca="false">IF(OR(K1594="",M1594=""),"",K1594-M1594)</f>
        <v/>
      </c>
      <c r="O1594" s="35" t="str">
        <f aca="false">IF(OR(N1594="",K1594=""),"",IF(K1594=0,"",N1594/K1594))</f>
        <v/>
      </c>
      <c r="P1594" s="25"/>
      <c r="Q1594" s="25"/>
      <c r="R1594" s="25"/>
      <c r="S1594" s="36" t="str">
        <f aca="false">IF(A1594="","",YEAR(A1594)+IF(AND(FYStart&gt;1,MONTH(A1594)&gt;=FYStart),1,0))</f>
        <v/>
      </c>
      <c r="T1594" s="36" t="str">
        <f aca="false">IF(A1594="","",MOD(MONTH(A1594)-FYStart,12)+1)</f>
        <v/>
      </c>
      <c r="U1594" s="37" t="str">
        <f aca="false">IF(A1594="","",TEXT(A1594,"mmm"))</f>
        <v/>
      </c>
      <c r="V1594" s="37" t="str">
        <f aca="false">IF(Q1594="","",IFERROR(INDEX(Settings!$I$11:$I$15,MATCH(Q1594,Settings!$H$11:$H$15,0)),"No"))</f>
        <v/>
      </c>
      <c r="W1594" s="37" t="str">
        <f aca="false">IF(Q1594="","",IFERROR(INDEX(Settings!$J$11:$J$15,MATCH(Q1594,Settings!$H$11:$H$15,0)),"No"))</f>
        <v/>
      </c>
    </row>
    <row r="1595" customFormat="false" ht="15" hidden="false" customHeight="false" outlineLevel="0" collapsed="false">
      <c r="A1595" s="30"/>
      <c r="B1595" s="25"/>
      <c r="C1595" s="25"/>
      <c r="D1595" s="25"/>
      <c r="E1595" s="25"/>
      <c r="F1595" s="25"/>
      <c r="G1595" s="25"/>
      <c r="H1595" s="31"/>
      <c r="I1595" s="32"/>
      <c r="J1595" s="33"/>
      <c r="K1595" s="34" t="str">
        <f aca="false">IF(OR(H1595="",I1595=""),"",H1595*I1595*(1-N(J1595)))</f>
        <v/>
      </c>
      <c r="L1595" s="32"/>
      <c r="M1595" s="34" t="str">
        <f aca="false">IF(OR(H1595="",L1595=""),"",H1595*L1595)</f>
        <v/>
      </c>
      <c r="N1595" s="34" t="str">
        <f aca="false">IF(OR(K1595="",M1595=""),"",K1595-M1595)</f>
        <v/>
      </c>
      <c r="O1595" s="35" t="str">
        <f aca="false">IF(OR(N1595="",K1595=""),"",IF(K1595=0,"",N1595/K1595))</f>
        <v/>
      </c>
      <c r="P1595" s="25"/>
      <c r="Q1595" s="25"/>
      <c r="R1595" s="25"/>
      <c r="S1595" s="36" t="str">
        <f aca="false">IF(A1595="","",YEAR(A1595)+IF(AND(FYStart&gt;1,MONTH(A1595)&gt;=FYStart),1,0))</f>
        <v/>
      </c>
      <c r="T1595" s="36" t="str">
        <f aca="false">IF(A1595="","",MOD(MONTH(A1595)-FYStart,12)+1)</f>
        <v/>
      </c>
      <c r="U1595" s="37" t="str">
        <f aca="false">IF(A1595="","",TEXT(A1595,"mmm"))</f>
        <v/>
      </c>
      <c r="V1595" s="37" t="str">
        <f aca="false">IF(Q1595="","",IFERROR(INDEX(Settings!$I$11:$I$15,MATCH(Q1595,Settings!$H$11:$H$15,0)),"No"))</f>
        <v/>
      </c>
      <c r="W1595" s="37" t="str">
        <f aca="false">IF(Q1595="","",IFERROR(INDEX(Settings!$J$11:$J$15,MATCH(Q1595,Settings!$H$11:$H$15,0)),"No"))</f>
        <v/>
      </c>
    </row>
    <row r="1596" customFormat="false" ht="15" hidden="false" customHeight="false" outlineLevel="0" collapsed="false">
      <c r="A1596" s="30"/>
      <c r="B1596" s="25"/>
      <c r="C1596" s="25"/>
      <c r="D1596" s="25"/>
      <c r="E1596" s="25"/>
      <c r="F1596" s="25"/>
      <c r="G1596" s="25"/>
      <c r="H1596" s="31"/>
      <c r="I1596" s="32"/>
      <c r="J1596" s="33"/>
      <c r="K1596" s="34" t="str">
        <f aca="false">IF(OR(H1596="",I1596=""),"",H1596*I1596*(1-N(J1596)))</f>
        <v/>
      </c>
      <c r="L1596" s="32"/>
      <c r="M1596" s="34" t="str">
        <f aca="false">IF(OR(H1596="",L1596=""),"",H1596*L1596)</f>
        <v/>
      </c>
      <c r="N1596" s="34" t="str">
        <f aca="false">IF(OR(K1596="",M1596=""),"",K1596-M1596)</f>
        <v/>
      </c>
      <c r="O1596" s="35" t="str">
        <f aca="false">IF(OR(N1596="",K1596=""),"",IF(K1596=0,"",N1596/K1596))</f>
        <v/>
      </c>
      <c r="P1596" s="25"/>
      <c r="Q1596" s="25"/>
      <c r="R1596" s="25"/>
      <c r="S1596" s="36" t="str">
        <f aca="false">IF(A1596="","",YEAR(A1596)+IF(AND(FYStart&gt;1,MONTH(A1596)&gt;=FYStart),1,0))</f>
        <v/>
      </c>
      <c r="T1596" s="36" t="str">
        <f aca="false">IF(A1596="","",MOD(MONTH(A1596)-FYStart,12)+1)</f>
        <v/>
      </c>
      <c r="U1596" s="37" t="str">
        <f aca="false">IF(A1596="","",TEXT(A1596,"mmm"))</f>
        <v/>
      </c>
      <c r="V1596" s="37" t="str">
        <f aca="false">IF(Q1596="","",IFERROR(INDEX(Settings!$I$11:$I$15,MATCH(Q1596,Settings!$H$11:$H$15,0)),"No"))</f>
        <v/>
      </c>
      <c r="W1596" s="37" t="str">
        <f aca="false">IF(Q1596="","",IFERROR(INDEX(Settings!$J$11:$J$15,MATCH(Q1596,Settings!$H$11:$H$15,0)),"No"))</f>
        <v/>
      </c>
    </row>
    <row r="1597" customFormat="false" ht="15" hidden="false" customHeight="false" outlineLevel="0" collapsed="false">
      <c r="A1597" s="30"/>
      <c r="B1597" s="25"/>
      <c r="C1597" s="25"/>
      <c r="D1597" s="25"/>
      <c r="E1597" s="25"/>
      <c r="F1597" s="25"/>
      <c r="G1597" s="25"/>
      <c r="H1597" s="31"/>
      <c r="I1597" s="32"/>
      <c r="J1597" s="33"/>
      <c r="K1597" s="34" t="str">
        <f aca="false">IF(OR(H1597="",I1597=""),"",H1597*I1597*(1-N(J1597)))</f>
        <v/>
      </c>
      <c r="L1597" s="32"/>
      <c r="M1597" s="34" t="str">
        <f aca="false">IF(OR(H1597="",L1597=""),"",H1597*L1597)</f>
        <v/>
      </c>
      <c r="N1597" s="34" t="str">
        <f aca="false">IF(OR(K1597="",M1597=""),"",K1597-M1597)</f>
        <v/>
      </c>
      <c r="O1597" s="35" t="str">
        <f aca="false">IF(OR(N1597="",K1597=""),"",IF(K1597=0,"",N1597/K1597))</f>
        <v/>
      </c>
      <c r="P1597" s="25"/>
      <c r="Q1597" s="25"/>
      <c r="R1597" s="25"/>
      <c r="S1597" s="36" t="str">
        <f aca="false">IF(A1597="","",YEAR(A1597)+IF(AND(FYStart&gt;1,MONTH(A1597)&gt;=FYStart),1,0))</f>
        <v/>
      </c>
      <c r="T1597" s="36" t="str">
        <f aca="false">IF(A1597="","",MOD(MONTH(A1597)-FYStart,12)+1)</f>
        <v/>
      </c>
      <c r="U1597" s="37" t="str">
        <f aca="false">IF(A1597="","",TEXT(A1597,"mmm"))</f>
        <v/>
      </c>
      <c r="V1597" s="37" t="str">
        <f aca="false">IF(Q1597="","",IFERROR(INDEX(Settings!$I$11:$I$15,MATCH(Q1597,Settings!$H$11:$H$15,0)),"No"))</f>
        <v/>
      </c>
      <c r="W1597" s="37" t="str">
        <f aca="false">IF(Q1597="","",IFERROR(INDEX(Settings!$J$11:$J$15,MATCH(Q1597,Settings!$H$11:$H$15,0)),"No"))</f>
        <v/>
      </c>
    </row>
    <row r="1598" customFormat="false" ht="15" hidden="false" customHeight="false" outlineLevel="0" collapsed="false">
      <c r="A1598" s="30"/>
      <c r="B1598" s="25"/>
      <c r="C1598" s="25"/>
      <c r="D1598" s="25"/>
      <c r="E1598" s="25"/>
      <c r="F1598" s="25"/>
      <c r="G1598" s="25"/>
      <c r="H1598" s="31"/>
      <c r="I1598" s="32"/>
      <c r="J1598" s="33"/>
      <c r="K1598" s="34" t="str">
        <f aca="false">IF(OR(H1598="",I1598=""),"",H1598*I1598*(1-N(J1598)))</f>
        <v/>
      </c>
      <c r="L1598" s="32"/>
      <c r="M1598" s="34" t="str">
        <f aca="false">IF(OR(H1598="",L1598=""),"",H1598*L1598)</f>
        <v/>
      </c>
      <c r="N1598" s="34" t="str">
        <f aca="false">IF(OR(K1598="",M1598=""),"",K1598-M1598)</f>
        <v/>
      </c>
      <c r="O1598" s="35" t="str">
        <f aca="false">IF(OR(N1598="",K1598=""),"",IF(K1598=0,"",N1598/K1598))</f>
        <v/>
      </c>
      <c r="P1598" s="25"/>
      <c r="Q1598" s="25"/>
      <c r="R1598" s="25"/>
      <c r="S1598" s="36" t="str">
        <f aca="false">IF(A1598="","",YEAR(A1598)+IF(AND(FYStart&gt;1,MONTH(A1598)&gt;=FYStart),1,0))</f>
        <v/>
      </c>
      <c r="T1598" s="36" t="str">
        <f aca="false">IF(A1598="","",MOD(MONTH(A1598)-FYStart,12)+1)</f>
        <v/>
      </c>
      <c r="U1598" s="37" t="str">
        <f aca="false">IF(A1598="","",TEXT(A1598,"mmm"))</f>
        <v/>
      </c>
      <c r="V1598" s="37" t="str">
        <f aca="false">IF(Q1598="","",IFERROR(INDEX(Settings!$I$11:$I$15,MATCH(Q1598,Settings!$H$11:$H$15,0)),"No"))</f>
        <v/>
      </c>
      <c r="W1598" s="37" t="str">
        <f aca="false">IF(Q1598="","",IFERROR(INDEX(Settings!$J$11:$J$15,MATCH(Q1598,Settings!$H$11:$H$15,0)),"No"))</f>
        <v/>
      </c>
    </row>
    <row r="1599" customFormat="false" ht="15" hidden="false" customHeight="false" outlineLevel="0" collapsed="false">
      <c r="A1599" s="30"/>
      <c r="B1599" s="25"/>
      <c r="C1599" s="25"/>
      <c r="D1599" s="25"/>
      <c r="E1599" s="25"/>
      <c r="F1599" s="25"/>
      <c r="G1599" s="25"/>
      <c r="H1599" s="31"/>
      <c r="I1599" s="32"/>
      <c r="J1599" s="33"/>
      <c r="K1599" s="34" t="str">
        <f aca="false">IF(OR(H1599="",I1599=""),"",H1599*I1599*(1-N(J1599)))</f>
        <v/>
      </c>
      <c r="L1599" s="32"/>
      <c r="M1599" s="34" t="str">
        <f aca="false">IF(OR(H1599="",L1599=""),"",H1599*L1599)</f>
        <v/>
      </c>
      <c r="N1599" s="34" t="str">
        <f aca="false">IF(OR(K1599="",M1599=""),"",K1599-M1599)</f>
        <v/>
      </c>
      <c r="O1599" s="35" t="str">
        <f aca="false">IF(OR(N1599="",K1599=""),"",IF(K1599=0,"",N1599/K1599))</f>
        <v/>
      </c>
      <c r="P1599" s="25"/>
      <c r="Q1599" s="25"/>
      <c r="R1599" s="25"/>
      <c r="S1599" s="36" t="str">
        <f aca="false">IF(A1599="","",YEAR(A1599)+IF(AND(FYStart&gt;1,MONTH(A1599)&gt;=FYStart),1,0))</f>
        <v/>
      </c>
      <c r="T1599" s="36" t="str">
        <f aca="false">IF(A1599="","",MOD(MONTH(A1599)-FYStart,12)+1)</f>
        <v/>
      </c>
      <c r="U1599" s="37" t="str">
        <f aca="false">IF(A1599="","",TEXT(A1599,"mmm"))</f>
        <v/>
      </c>
      <c r="V1599" s="37" t="str">
        <f aca="false">IF(Q1599="","",IFERROR(INDEX(Settings!$I$11:$I$15,MATCH(Q1599,Settings!$H$11:$H$15,0)),"No"))</f>
        <v/>
      </c>
      <c r="W1599" s="37" t="str">
        <f aca="false">IF(Q1599="","",IFERROR(INDEX(Settings!$J$11:$J$15,MATCH(Q1599,Settings!$H$11:$H$15,0)),"No"))</f>
        <v/>
      </c>
    </row>
    <row r="1600" customFormat="false" ht="15" hidden="false" customHeight="false" outlineLevel="0" collapsed="false">
      <c r="A1600" s="30"/>
      <c r="B1600" s="25"/>
      <c r="C1600" s="25"/>
      <c r="D1600" s="25"/>
      <c r="E1600" s="25"/>
      <c r="F1600" s="25"/>
      <c r="G1600" s="25"/>
      <c r="H1600" s="31"/>
      <c r="I1600" s="32"/>
      <c r="J1600" s="33"/>
      <c r="K1600" s="34" t="str">
        <f aca="false">IF(OR(H1600="",I1600=""),"",H1600*I1600*(1-N(J1600)))</f>
        <v/>
      </c>
      <c r="L1600" s="32"/>
      <c r="M1600" s="34" t="str">
        <f aca="false">IF(OR(H1600="",L1600=""),"",H1600*L1600)</f>
        <v/>
      </c>
      <c r="N1600" s="34" t="str">
        <f aca="false">IF(OR(K1600="",M1600=""),"",K1600-M1600)</f>
        <v/>
      </c>
      <c r="O1600" s="35" t="str">
        <f aca="false">IF(OR(N1600="",K1600=""),"",IF(K1600=0,"",N1600/K1600))</f>
        <v/>
      </c>
      <c r="P1600" s="25"/>
      <c r="Q1600" s="25"/>
      <c r="R1600" s="25"/>
      <c r="S1600" s="36" t="str">
        <f aca="false">IF(A1600="","",YEAR(A1600)+IF(AND(FYStart&gt;1,MONTH(A1600)&gt;=FYStart),1,0))</f>
        <v/>
      </c>
      <c r="T1600" s="36" t="str">
        <f aca="false">IF(A1600="","",MOD(MONTH(A1600)-FYStart,12)+1)</f>
        <v/>
      </c>
      <c r="U1600" s="37" t="str">
        <f aca="false">IF(A1600="","",TEXT(A1600,"mmm"))</f>
        <v/>
      </c>
      <c r="V1600" s="37" t="str">
        <f aca="false">IF(Q1600="","",IFERROR(INDEX(Settings!$I$11:$I$15,MATCH(Q1600,Settings!$H$11:$H$15,0)),"No"))</f>
        <v/>
      </c>
      <c r="W1600" s="37" t="str">
        <f aca="false">IF(Q1600="","",IFERROR(INDEX(Settings!$J$11:$J$15,MATCH(Q1600,Settings!$H$11:$H$15,0)),"No"))</f>
        <v/>
      </c>
    </row>
    <row r="1601" customFormat="false" ht="15" hidden="false" customHeight="false" outlineLevel="0" collapsed="false">
      <c r="A1601" s="30"/>
      <c r="B1601" s="25"/>
      <c r="C1601" s="25"/>
      <c r="D1601" s="25"/>
      <c r="E1601" s="25"/>
      <c r="F1601" s="25"/>
      <c r="G1601" s="25"/>
      <c r="H1601" s="31"/>
      <c r="I1601" s="32"/>
      <c r="J1601" s="33"/>
      <c r="K1601" s="34" t="str">
        <f aca="false">IF(OR(H1601="",I1601=""),"",H1601*I1601*(1-N(J1601)))</f>
        <v/>
      </c>
      <c r="L1601" s="32"/>
      <c r="M1601" s="34" t="str">
        <f aca="false">IF(OR(H1601="",L1601=""),"",H1601*L1601)</f>
        <v/>
      </c>
      <c r="N1601" s="34" t="str">
        <f aca="false">IF(OR(K1601="",M1601=""),"",K1601-M1601)</f>
        <v/>
      </c>
      <c r="O1601" s="35" t="str">
        <f aca="false">IF(OR(N1601="",K1601=""),"",IF(K1601=0,"",N1601/K1601))</f>
        <v/>
      </c>
      <c r="P1601" s="25"/>
      <c r="Q1601" s="25"/>
      <c r="R1601" s="25"/>
      <c r="S1601" s="36" t="str">
        <f aca="false">IF(A1601="","",YEAR(A1601)+IF(AND(FYStart&gt;1,MONTH(A1601)&gt;=FYStart),1,0))</f>
        <v/>
      </c>
      <c r="T1601" s="36" t="str">
        <f aca="false">IF(A1601="","",MOD(MONTH(A1601)-FYStart,12)+1)</f>
        <v/>
      </c>
      <c r="U1601" s="37" t="str">
        <f aca="false">IF(A1601="","",TEXT(A1601,"mmm"))</f>
        <v/>
      </c>
      <c r="V1601" s="37" t="str">
        <f aca="false">IF(Q1601="","",IFERROR(INDEX(Settings!$I$11:$I$15,MATCH(Q1601,Settings!$H$11:$H$15,0)),"No"))</f>
        <v/>
      </c>
      <c r="W1601" s="37" t="str">
        <f aca="false">IF(Q1601="","",IFERROR(INDEX(Settings!$J$11:$J$15,MATCH(Q1601,Settings!$H$11:$H$15,0)),"No"))</f>
        <v/>
      </c>
    </row>
    <row r="1602" customFormat="false" ht="15" hidden="false" customHeight="false" outlineLevel="0" collapsed="false">
      <c r="A1602" s="30"/>
      <c r="B1602" s="25"/>
      <c r="C1602" s="25"/>
      <c r="D1602" s="25"/>
      <c r="E1602" s="25"/>
      <c r="F1602" s="25"/>
      <c r="G1602" s="25"/>
      <c r="H1602" s="31"/>
      <c r="I1602" s="32"/>
      <c r="J1602" s="33"/>
      <c r="K1602" s="34" t="str">
        <f aca="false">IF(OR(H1602="",I1602=""),"",H1602*I1602*(1-N(J1602)))</f>
        <v/>
      </c>
      <c r="L1602" s="32"/>
      <c r="M1602" s="34" t="str">
        <f aca="false">IF(OR(H1602="",L1602=""),"",H1602*L1602)</f>
        <v/>
      </c>
      <c r="N1602" s="34" t="str">
        <f aca="false">IF(OR(K1602="",M1602=""),"",K1602-M1602)</f>
        <v/>
      </c>
      <c r="O1602" s="35" t="str">
        <f aca="false">IF(OR(N1602="",K1602=""),"",IF(K1602=0,"",N1602/K1602))</f>
        <v/>
      </c>
      <c r="P1602" s="25"/>
      <c r="Q1602" s="25"/>
      <c r="R1602" s="25"/>
      <c r="S1602" s="36" t="str">
        <f aca="false">IF(A1602="","",YEAR(A1602)+IF(AND(FYStart&gt;1,MONTH(A1602)&gt;=FYStart),1,0))</f>
        <v/>
      </c>
      <c r="T1602" s="36" t="str">
        <f aca="false">IF(A1602="","",MOD(MONTH(A1602)-FYStart,12)+1)</f>
        <v/>
      </c>
      <c r="U1602" s="37" t="str">
        <f aca="false">IF(A1602="","",TEXT(A1602,"mmm"))</f>
        <v/>
      </c>
      <c r="V1602" s="37" t="str">
        <f aca="false">IF(Q1602="","",IFERROR(INDEX(Settings!$I$11:$I$15,MATCH(Q1602,Settings!$H$11:$H$15,0)),"No"))</f>
        <v/>
      </c>
      <c r="W1602" s="37" t="str">
        <f aca="false">IF(Q1602="","",IFERROR(INDEX(Settings!$J$11:$J$15,MATCH(Q1602,Settings!$H$11:$H$15,0)),"No"))</f>
        <v/>
      </c>
    </row>
    <row r="1603" customFormat="false" ht="15" hidden="false" customHeight="false" outlineLevel="0" collapsed="false">
      <c r="A1603" s="30"/>
      <c r="B1603" s="25"/>
      <c r="C1603" s="25"/>
      <c r="D1603" s="25"/>
      <c r="E1603" s="25"/>
      <c r="F1603" s="25"/>
      <c r="G1603" s="25"/>
      <c r="H1603" s="31"/>
      <c r="I1603" s="32"/>
      <c r="J1603" s="33"/>
      <c r="K1603" s="34" t="str">
        <f aca="false">IF(OR(H1603="",I1603=""),"",H1603*I1603*(1-N(J1603)))</f>
        <v/>
      </c>
      <c r="L1603" s="32"/>
      <c r="M1603" s="34" t="str">
        <f aca="false">IF(OR(H1603="",L1603=""),"",H1603*L1603)</f>
        <v/>
      </c>
      <c r="N1603" s="34" t="str">
        <f aca="false">IF(OR(K1603="",M1603=""),"",K1603-M1603)</f>
        <v/>
      </c>
      <c r="O1603" s="35" t="str">
        <f aca="false">IF(OR(N1603="",K1603=""),"",IF(K1603=0,"",N1603/K1603))</f>
        <v/>
      </c>
      <c r="P1603" s="25"/>
      <c r="Q1603" s="25"/>
      <c r="R1603" s="25"/>
      <c r="S1603" s="36" t="str">
        <f aca="false">IF(A1603="","",YEAR(A1603)+IF(AND(FYStart&gt;1,MONTH(A1603)&gt;=FYStart),1,0))</f>
        <v/>
      </c>
      <c r="T1603" s="36" t="str">
        <f aca="false">IF(A1603="","",MOD(MONTH(A1603)-FYStart,12)+1)</f>
        <v/>
      </c>
      <c r="U1603" s="37" t="str">
        <f aca="false">IF(A1603="","",TEXT(A1603,"mmm"))</f>
        <v/>
      </c>
      <c r="V1603" s="37" t="str">
        <f aca="false">IF(Q1603="","",IFERROR(INDEX(Settings!$I$11:$I$15,MATCH(Q1603,Settings!$H$11:$H$15,0)),"No"))</f>
        <v/>
      </c>
      <c r="W1603" s="37" t="str">
        <f aca="false">IF(Q1603="","",IFERROR(INDEX(Settings!$J$11:$J$15,MATCH(Q1603,Settings!$H$11:$H$15,0)),"No"))</f>
        <v/>
      </c>
    </row>
    <row r="1604" customFormat="false" ht="15" hidden="false" customHeight="false" outlineLevel="0" collapsed="false">
      <c r="A1604" s="30"/>
      <c r="B1604" s="25"/>
      <c r="C1604" s="25"/>
      <c r="D1604" s="25"/>
      <c r="E1604" s="25"/>
      <c r="F1604" s="25"/>
      <c r="G1604" s="25"/>
      <c r="H1604" s="31"/>
      <c r="I1604" s="32"/>
      <c r="J1604" s="33"/>
      <c r="K1604" s="34" t="str">
        <f aca="false">IF(OR(H1604="",I1604=""),"",H1604*I1604*(1-N(J1604)))</f>
        <v/>
      </c>
      <c r="L1604" s="32"/>
      <c r="M1604" s="34" t="str">
        <f aca="false">IF(OR(H1604="",L1604=""),"",H1604*L1604)</f>
        <v/>
      </c>
      <c r="N1604" s="34" t="str">
        <f aca="false">IF(OR(K1604="",M1604=""),"",K1604-M1604)</f>
        <v/>
      </c>
      <c r="O1604" s="35" t="str">
        <f aca="false">IF(OR(N1604="",K1604=""),"",IF(K1604=0,"",N1604/K1604))</f>
        <v/>
      </c>
      <c r="P1604" s="25"/>
      <c r="Q1604" s="25"/>
      <c r="R1604" s="25"/>
      <c r="S1604" s="36" t="str">
        <f aca="false">IF(A1604="","",YEAR(A1604)+IF(AND(FYStart&gt;1,MONTH(A1604)&gt;=FYStart),1,0))</f>
        <v/>
      </c>
      <c r="T1604" s="36" t="str">
        <f aca="false">IF(A1604="","",MOD(MONTH(A1604)-FYStart,12)+1)</f>
        <v/>
      </c>
      <c r="U1604" s="37" t="str">
        <f aca="false">IF(A1604="","",TEXT(A1604,"mmm"))</f>
        <v/>
      </c>
      <c r="V1604" s="37" t="str">
        <f aca="false">IF(Q1604="","",IFERROR(INDEX(Settings!$I$11:$I$15,MATCH(Q1604,Settings!$H$11:$H$15,0)),"No"))</f>
        <v/>
      </c>
      <c r="W1604" s="37" t="str">
        <f aca="false">IF(Q1604="","",IFERROR(INDEX(Settings!$J$11:$J$15,MATCH(Q1604,Settings!$H$11:$H$15,0)),"No"))</f>
        <v/>
      </c>
    </row>
    <row r="1605" customFormat="false" ht="15" hidden="false" customHeight="false" outlineLevel="0" collapsed="false">
      <c r="A1605" s="30"/>
      <c r="B1605" s="25"/>
      <c r="C1605" s="25"/>
      <c r="D1605" s="25"/>
      <c r="E1605" s="25"/>
      <c r="F1605" s="25"/>
      <c r="G1605" s="25"/>
      <c r="H1605" s="31"/>
      <c r="I1605" s="32"/>
      <c r="J1605" s="33"/>
      <c r="K1605" s="34" t="str">
        <f aca="false">IF(OR(H1605="",I1605=""),"",H1605*I1605*(1-N(J1605)))</f>
        <v/>
      </c>
      <c r="L1605" s="32"/>
      <c r="M1605" s="34" t="str">
        <f aca="false">IF(OR(H1605="",L1605=""),"",H1605*L1605)</f>
        <v/>
      </c>
      <c r="N1605" s="34" t="str">
        <f aca="false">IF(OR(K1605="",M1605=""),"",K1605-M1605)</f>
        <v/>
      </c>
      <c r="O1605" s="35" t="str">
        <f aca="false">IF(OR(N1605="",K1605=""),"",IF(K1605=0,"",N1605/K1605))</f>
        <v/>
      </c>
      <c r="P1605" s="25"/>
      <c r="Q1605" s="25"/>
      <c r="R1605" s="25"/>
      <c r="S1605" s="36" t="str">
        <f aca="false">IF(A1605="","",YEAR(A1605)+IF(AND(FYStart&gt;1,MONTH(A1605)&gt;=FYStart),1,0))</f>
        <v/>
      </c>
      <c r="T1605" s="36" t="str">
        <f aca="false">IF(A1605="","",MOD(MONTH(A1605)-FYStart,12)+1)</f>
        <v/>
      </c>
      <c r="U1605" s="37" t="str">
        <f aca="false">IF(A1605="","",TEXT(A1605,"mmm"))</f>
        <v/>
      </c>
      <c r="V1605" s="37" t="str">
        <f aca="false">IF(Q1605="","",IFERROR(INDEX(Settings!$I$11:$I$15,MATCH(Q1605,Settings!$H$11:$H$15,0)),"No"))</f>
        <v/>
      </c>
      <c r="W1605" s="37" t="str">
        <f aca="false">IF(Q1605="","",IFERROR(INDEX(Settings!$J$11:$J$15,MATCH(Q1605,Settings!$H$11:$H$15,0)),"No"))</f>
        <v/>
      </c>
    </row>
    <row r="1606" customFormat="false" ht="15" hidden="false" customHeight="false" outlineLevel="0" collapsed="false">
      <c r="A1606" s="30"/>
      <c r="B1606" s="25"/>
      <c r="C1606" s="25"/>
      <c r="D1606" s="25"/>
      <c r="E1606" s="25"/>
      <c r="F1606" s="25"/>
      <c r="G1606" s="25"/>
      <c r="H1606" s="31"/>
      <c r="I1606" s="32"/>
      <c r="J1606" s="33"/>
      <c r="K1606" s="34" t="str">
        <f aca="false">IF(OR(H1606="",I1606=""),"",H1606*I1606*(1-N(J1606)))</f>
        <v/>
      </c>
      <c r="L1606" s="32"/>
      <c r="M1606" s="34" t="str">
        <f aca="false">IF(OR(H1606="",L1606=""),"",H1606*L1606)</f>
        <v/>
      </c>
      <c r="N1606" s="34" t="str">
        <f aca="false">IF(OR(K1606="",M1606=""),"",K1606-M1606)</f>
        <v/>
      </c>
      <c r="O1606" s="35" t="str">
        <f aca="false">IF(OR(N1606="",K1606=""),"",IF(K1606=0,"",N1606/K1606))</f>
        <v/>
      </c>
      <c r="P1606" s="25"/>
      <c r="Q1606" s="25"/>
      <c r="R1606" s="25"/>
      <c r="S1606" s="36" t="str">
        <f aca="false">IF(A1606="","",YEAR(A1606)+IF(AND(FYStart&gt;1,MONTH(A1606)&gt;=FYStart),1,0))</f>
        <v/>
      </c>
      <c r="T1606" s="36" t="str">
        <f aca="false">IF(A1606="","",MOD(MONTH(A1606)-FYStart,12)+1)</f>
        <v/>
      </c>
      <c r="U1606" s="37" t="str">
        <f aca="false">IF(A1606="","",TEXT(A1606,"mmm"))</f>
        <v/>
      </c>
      <c r="V1606" s="37" t="str">
        <f aca="false">IF(Q1606="","",IFERROR(INDEX(Settings!$I$11:$I$15,MATCH(Q1606,Settings!$H$11:$H$15,0)),"No"))</f>
        <v/>
      </c>
      <c r="W1606" s="37" t="str">
        <f aca="false">IF(Q1606="","",IFERROR(INDEX(Settings!$J$11:$J$15,MATCH(Q1606,Settings!$H$11:$H$15,0)),"No"))</f>
        <v/>
      </c>
    </row>
    <row r="1607" customFormat="false" ht="15" hidden="false" customHeight="false" outlineLevel="0" collapsed="false">
      <c r="A1607" s="30"/>
      <c r="B1607" s="25"/>
      <c r="C1607" s="25"/>
      <c r="D1607" s="25"/>
      <c r="E1607" s="25"/>
      <c r="F1607" s="25"/>
      <c r="G1607" s="25"/>
      <c r="H1607" s="31"/>
      <c r="I1607" s="32"/>
      <c r="J1607" s="33"/>
      <c r="K1607" s="34" t="str">
        <f aca="false">IF(OR(H1607="",I1607=""),"",H1607*I1607*(1-N(J1607)))</f>
        <v/>
      </c>
      <c r="L1607" s="32"/>
      <c r="M1607" s="34" t="str">
        <f aca="false">IF(OR(H1607="",L1607=""),"",H1607*L1607)</f>
        <v/>
      </c>
      <c r="N1607" s="34" t="str">
        <f aca="false">IF(OR(K1607="",M1607=""),"",K1607-M1607)</f>
        <v/>
      </c>
      <c r="O1607" s="35" t="str">
        <f aca="false">IF(OR(N1607="",K1607=""),"",IF(K1607=0,"",N1607/K1607))</f>
        <v/>
      </c>
      <c r="P1607" s="25"/>
      <c r="Q1607" s="25"/>
      <c r="R1607" s="25"/>
      <c r="S1607" s="36" t="str">
        <f aca="false">IF(A1607="","",YEAR(A1607)+IF(AND(FYStart&gt;1,MONTH(A1607)&gt;=FYStart),1,0))</f>
        <v/>
      </c>
      <c r="T1607" s="36" t="str">
        <f aca="false">IF(A1607="","",MOD(MONTH(A1607)-FYStart,12)+1)</f>
        <v/>
      </c>
      <c r="U1607" s="37" t="str">
        <f aca="false">IF(A1607="","",TEXT(A1607,"mmm"))</f>
        <v/>
      </c>
      <c r="V1607" s="37" t="str">
        <f aca="false">IF(Q1607="","",IFERROR(INDEX(Settings!$I$11:$I$15,MATCH(Q1607,Settings!$H$11:$H$15,0)),"No"))</f>
        <v/>
      </c>
      <c r="W1607" s="37" t="str">
        <f aca="false">IF(Q1607="","",IFERROR(INDEX(Settings!$J$11:$J$15,MATCH(Q1607,Settings!$H$11:$H$15,0)),"No"))</f>
        <v/>
      </c>
    </row>
    <row r="1608" customFormat="false" ht="15" hidden="false" customHeight="false" outlineLevel="0" collapsed="false">
      <c r="A1608" s="30"/>
      <c r="B1608" s="25"/>
      <c r="C1608" s="25"/>
      <c r="D1608" s="25"/>
      <c r="E1608" s="25"/>
      <c r="F1608" s="25"/>
      <c r="G1608" s="25"/>
      <c r="H1608" s="31"/>
      <c r="I1608" s="32"/>
      <c r="J1608" s="33"/>
      <c r="K1608" s="34" t="str">
        <f aca="false">IF(OR(H1608="",I1608=""),"",H1608*I1608*(1-N(J1608)))</f>
        <v/>
      </c>
      <c r="L1608" s="32"/>
      <c r="M1608" s="34" t="str">
        <f aca="false">IF(OR(H1608="",L1608=""),"",H1608*L1608)</f>
        <v/>
      </c>
      <c r="N1608" s="34" t="str">
        <f aca="false">IF(OR(K1608="",M1608=""),"",K1608-M1608)</f>
        <v/>
      </c>
      <c r="O1608" s="35" t="str">
        <f aca="false">IF(OR(N1608="",K1608=""),"",IF(K1608=0,"",N1608/K1608))</f>
        <v/>
      </c>
      <c r="P1608" s="25"/>
      <c r="Q1608" s="25"/>
      <c r="R1608" s="25"/>
      <c r="S1608" s="36" t="str">
        <f aca="false">IF(A1608="","",YEAR(A1608)+IF(AND(FYStart&gt;1,MONTH(A1608)&gt;=FYStart),1,0))</f>
        <v/>
      </c>
      <c r="T1608" s="36" t="str">
        <f aca="false">IF(A1608="","",MOD(MONTH(A1608)-FYStart,12)+1)</f>
        <v/>
      </c>
      <c r="U1608" s="37" t="str">
        <f aca="false">IF(A1608="","",TEXT(A1608,"mmm"))</f>
        <v/>
      </c>
      <c r="V1608" s="37" t="str">
        <f aca="false">IF(Q1608="","",IFERROR(INDEX(Settings!$I$11:$I$15,MATCH(Q1608,Settings!$H$11:$H$15,0)),"No"))</f>
        <v/>
      </c>
      <c r="W1608" s="37" t="str">
        <f aca="false">IF(Q1608="","",IFERROR(INDEX(Settings!$J$11:$J$15,MATCH(Q1608,Settings!$H$11:$H$15,0)),"No"))</f>
        <v/>
      </c>
    </row>
    <row r="1609" customFormat="false" ht="15" hidden="false" customHeight="false" outlineLevel="0" collapsed="false">
      <c r="A1609" s="30"/>
      <c r="B1609" s="25"/>
      <c r="C1609" s="25"/>
      <c r="D1609" s="25"/>
      <c r="E1609" s="25"/>
      <c r="F1609" s="25"/>
      <c r="G1609" s="25"/>
      <c r="H1609" s="31"/>
      <c r="I1609" s="32"/>
      <c r="J1609" s="33"/>
      <c r="K1609" s="34" t="str">
        <f aca="false">IF(OR(H1609="",I1609=""),"",H1609*I1609*(1-N(J1609)))</f>
        <v/>
      </c>
      <c r="L1609" s="32"/>
      <c r="M1609" s="34" t="str">
        <f aca="false">IF(OR(H1609="",L1609=""),"",H1609*L1609)</f>
        <v/>
      </c>
      <c r="N1609" s="34" t="str">
        <f aca="false">IF(OR(K1609="",M1609=""),"",K1609-M1609)</f>
        <v/>
      </c>
      <c r="O1609" s="35" t="str">
        <f aca="false">IF(OR(N1609="",K1609=""),"",IF(K1609=0,"",N1609/K1609))</f>
        <v/>
      </c>
      <c r="P1609" s="25"/>
      <c r="Q1609" s="25"/>
      <c r="R1609" s="25"/>
      <c r="S1609" s="36" t="str">
        <f aca="false">IF(A1609="","",YEAR(A1609)+IF(AND(FYStart&gt;1,MONTH(A1609)&gt;=FYStart),1,0))</f>
        <v/>
      </c>
      <c r="T1609" s="36" t="str">
        <f aca="false">IF(A1609="","",MOD(MONTH(A1609)-FYStart,12)+1)</f>
        <v/>
      </c>
      <c r="U1609" s="37" t="str">
        <f aca="false">IF(A1609="","",TEXT(A1609,"mmm"))</f>
        <v/>
      </c>
      <c r="V1609" s="37" t="str">
        <f aca="false">IF(Q1609="","",IFERROR(INDEX(Settings!$I$11:$I$15,MATCH(Q1609,Settings!$H$11:$H$15,0)),"No"))</f>
        <v/>
      </c>
      <c r="W1609" s="37" t="str">
        <f aca="false">IF(Q1609="","",IFERROR(INDEX(Settings!$J$11:$J$15,MATCH(Q1609,Settings!$H$11:$H$15,0)),"No"))</f>
        <v/>
      </c>
    </row>
    <row r="1610" customFormat="false" ht="15" hidden="false" customHeight="false" outlineLevel="0" collapsed="false">
      <c r="A1610" s="30"/>
      <c r="B1610" s="25"/>
      <c r="C1610" s="25"/>
      <c r="D1610" s="25"/>
      <c r="E1610" s="25"/>
      <c r="F1610" s="25"/>
      <c r="G1610" s="25"/>
      <c r="H1610" s="31"/>
      <c r="I1610" s="32"/>
      <c r="J1610" s="33"/>
      <c r="K1610" s="34" t="str">
        <f aca="false">IF(OR(H1610="",I1610=""),"",H1610*I1610*(1-N(J1610)))</f>
        <v/>
      </c>
      <c r="L1610" s="32"/>
      <c r="M1610" s="34" t="str">
        <f aca="false">IF(OR(H1610="",L1610=""),"",H1610*L1610)</f>
        <v/>
      </c>
      <c r="N1610" s="34" t="str">
        <f aca="false">IF(OR(K1610="",M1610=""),"",K1610-M1610)</f>
        <v/>
      </c>
      <c r="O1610" s="35" t="str">
        <f aca="false">IF(OR(N1610="",K1610=""),"",IF(K1610=0,"",N1610/K1610))</f>
        <v/>
      </c>
      <c r="P1610" s="25"/>
      <c r="Q1610" s="25"/>
      <c r="R1610" s="25"/>
      <c r="S1610" s="36" t="str">
        <f aca="false">IF(A1610="","",YEAR(A1610)+IF(AND(FYStart&gt;1,MONTH(A1610)&gt;=FYStart),1,0))</f>
        <v/>
      </c>
      <c r="T1610" s="36" t="str">
        <f aca="false">IF(A1610="","",MOD(MONTH(A1610)-FYStart,12)+1)</f>
        <v/>
      </c>
      <c r="U1610" s="37" t="str">
        <f aca="false">IF(A1610="","",TEXT(A1610,"mmm"))</f>
        <v/>
      </c>
      <c r="V1610" s="37" t="str">
        <f aca="false">IF(Q1610="","",IFERROR(INDEX(Settings!$I$11:$I$15,MATCH(Q1610,Settings!$H$11:$H$15,0)),"No"))</f>
        <v/>
      </c>
      <c r="W1610" s="37" t="str">
        <f aca="false">IF(Q1610="","",IFERROR(INDEX(Settings!$J$11:$J$15,MATCH(Q1610,Settings!$H$11:$H$15,0)),"No"))</f>
        <v/>
      </c>
    </row>
    <row r="1611" customFormat="false" ht="15" hidden="false" customHeight="false" outlineLevel="0" collapsed="false">
      <c r="A1611" s="30"/>
      <c r="B1611" s="25"/>
      <c r="C1611" s="25"/>
      <c r="D1611" s="25"/>
      <c r="E1611" s="25"/>
      <c r="F1611" s="25"/>
      <c r="G1611" s="25"/>
      <c r="H1611" s="31"/>
      <c r="I1611" s="32"/>
      <c r="J1611" s="33"/>
      <c r="K1611" s="34" t="str">
        <f aca="false">IF(OR(H1611="",I1611=""),"",H1611*I1611*(1-N(J1611)))</f>
        <v/>
      </c>
      <c r="L1611" s="32"/>
      <c r="M1611" s="34" t="str">
        <f aca="false">IF(OR(H1611="",L1611=""),"",H1611*L1611)</f>
        <v/>
      </c>
      <c r="N1611" s="34" t="str">
        <f aca="false">IF(OR(K1611="",M1611=""),"",K1611-M1611)</f>
        <v/>
      </c>
      <c r="O1611" s="35" t="str">
        <f aca="false">IF(OR(N1611="",K1611=""),"",IF(K1611=0,"",N1611/K1611))</f>
        <v/>
      </c>
      <c r="P1611" s="25"/>
      <c r="Q1611" s="25"/>
      <c r="R1611" s="25"/>
      <c r="S1611" s="36" t="str">
        <f aca="false">IF(A1611="","",YEAR(A1611)+IF(AND(FYStart&gt;1,MONTH(A1611)&gt;=FYStart),1,0))</f>
        <v/>
      </c>
      <c r="T1611" s="36" t="str">
        <f aca="false">IF(A1611="","",MOD(MONTH(A1611)-FYStart,12)+1)</f>
        <v/>
      </c>
      <c r="U1611" s="37" t="str">
        <f aca="false">IF(A1611="","",TEXT(A1611,"mmm"))</f>
        <v/>
      </c>
      <c r="V1611" s="37" t="str">
        <f aca="false">IF(Q1611="","",IFERROR(INDEX(Settings!$I$11:$I$15,MATCH(Q1611,Settings!$H$11:$H$15,0)),"No"))</f>
        <v/>
      </c>
      <c r="W1611" s="37" t="str">
        <f aca="false">IF(Q1611="","",IFERROR(INDEX(Settings!$J$11:$J$15,MATCH(Q1611,Settings!$H$11:$H$15,0)),"No"))</f>
        <v/>
      </c>
    </row>
    <row r="1612" customFormat="false" ht="15" hidden="false" customHeight="false" outlineLevel="0" collapsed="false">
      <c r="A1612" s="30"/>
      <c r="B1612" s="25"/>
      <c r="C1612" s="25"/>
      <c r="D1612" s="25"/>
      <c r="E1612" s="25"/>
      <c r="F1612" s="25"/>
      <c r="G1612" s="25"/>
      <c r="H1612" s="31"/>
      <c r="I1612" s="32"/>
      <c r="J1612" s="33"/>
      <c r="K1612" s="34" t="str">
        <f aca="false">IF(OR(H1612="",I1612=""),"",H1612*I1612*(1-N(J1612)))</f>
        <v/>
      </c>
      <c r="L1612" s="32"/>
      <c r="M1612" s="34" t="str">
        <f aca="false">IF(OR(H1612="",L1612=""),"",H1612*L1612)</f>
        <v/>
      </c>
      <c r="N1612" s="34" t="str">
        <f aca="false">IF(OR(K1612="",M1612=""),"",K1612-M1612)</f>
        <v/>
      </c>
      <c r="O1612" s="35" t="str">
        <f aca="false">IF(OR(N1612="",K1612=""),"",IF(K1612=0,"",N1612/K1612))</f>
        <v/>
      </c>
      <c r="P1612" s="25"/>
      <c r="Q1612" s="25"/>
      <c r="R1612" s="25"/>
      <c r="S1612" s="36" t="str">
        <f aca="false">IF(A1612="","",YEAR(A1612)+IF(AND(FYStart&gt;1,MONTH(A1612)&gt;=FYStart),1,0))</f>
        <v/>
      </c>
      <c r="T1612" s="36" t="str">
        <f aca="false">IF(A1612="","",MOD(MONTH(A1612)-FYStart,12)+1)</f>
        <v/>
      </c>
      <c r="U1612" s="37" t="str">
        <f aca="false">IF(A1612="","",TEXT(A1612,"mmm"))</f>
        <v/>
      </c>
      <c r="V1612" s="37" t="str">
        <f aca="false">IF(Q1612="","",IFERROR(INDEX(Settings!$I$11:$I$15,MATCH(Q1612,Settings!$H$11:$H$15,0)),"No"))</f>
        <v/>
      </c>
      <c r="W1612" s="37" t="str">
        <f aca="false">IF(Q1612="","",IFERROR(INDEX(Settings!$J$11:$J$15,MATCH(Q1612,Settings!$H$11:$H$15,0)),"No"))</f>
        <v/>
      </c>
    </row>
    <row r="1613" customFormat="false" ht="15" hidden="false" customHeight="false" outlineLevel="0" collapsed="false">
      <c r="A1613" s="30"/>
      <c r="B1613" s="25"/>
      <c r="C1613" s="25"/>
      <c r="D1613" s="25"/>
      <c r="E1613" s="25"/>
      <c r="F1613" s="25"/>
      <c r="G1613" s="25"/>
      <c r="H1613" s="31"/>
      <c r="I1613" s="32"/>
      <c r="J1613" s="33"/>
      <c r="K1613" s="34" t="str">
        <f aca="false">IF(OR(H1613="",I1613=""),"",H1613*I1613*(1-N(J1613)))</f>
        <v/>
      </c>
      <c r="L1613" s="32"/>
      <c r="M1613" s="34" t="str">
        <f aca="false">IF(OR(H1613="",L1613=""),"",H1613*L1613)</f>
        <v/>
      </c>
      <c r="N1613" s="34" t="str">
        <f aca="false">IF(OR(K1613="",M1613=""),"",K1613-M1613)</f>
        <v/>
      </c>
      <c r="O1613" s="35" t="str">
        <f aca="false">IF(OR(N1613="",K1613=""),"",IF(K1613=0,"",N1613/K1613))</f>
        <v/>
      </c>
      <c r="P1613" s="25"/>
      <c r="Q1613" s="25"/>
      <c r="R1613" s="25"/>
      <c r="S1613" s="36" t="str">
        <f aca="false">IF(A1613="","",YEAR(A1613)+IF(AND(FYStart&gt;1,MONTH(A1613)&gt;=FYStart),1,0))</f>
        <v/>
      </c>
      <c r="T1613" s="36" t="str">
        <f aca="false">IF(A1613="","",MOD(MONTH(A1613)-FYStart,12)+1)</f>
        <v/>
      </c>
      <c r="U1613" s="37" t="str">
        <f aca="false">IF(A1613="","",TEXT(A1613,"mmm"))</f>
        <v/>
      </c>
      <c r="V1613" s="37" t="str">
        <f aca="false">IF(Q1613="","",IFERROR(INDEX(Settings!$I$11:$I$15,MATCH(Q1613,Settings!$H$11:$H$15,0)),"No"))</f>
        <v/>
      </c>
      <c r="W1613" s="37" t="str">
        <f aca="false">IF(Q1613="","",IFERROR(INDEX(Settings!$J$11:$J$15,MATCH(Q1613,Settings!$H$11:$H$15,0)),"No"))</f>
        <v/>
      </c>
    </row>
    <row r="1614" customFormat="false" ht="15" hidden="false" customHeight="false" outlineLevel="0" collapsed="false">
      <c r="A1614" s="30"/>
      <c r="B1614" s="25"/>
      <c r="C1614" s="25"/>
      <c r="D1614" s="25"/>
      <c r="E1614" s="25"/>
      <c r="F1614" s="25"/>
      <c r="G1614" s="25"/>
      <c r="H1614" s="31"/>
      <c r="I1614" s="32"/>
      <c r="J1614" s="33"/>
      <c r="K1614" s="34" t="str">
        <f aca="false">IF(OR(H1614="",I1614=""),"",H1614*I1614*(1-N(J1614)))</f>
        <v/>
      </c>
      <c r="L1614" s="32"/>
      <c r="M1614" s="34" t="str">
        <f aca="false">IF(OR(H1614="",L1614=""),"",H1614*L1614)</f>
        <v/>
      </c>
      <c r="N1614" s="34" t="str">
        <f aca="false">IF(OR(K1614="",M1614=""),"",K1614-M1614)</f>
        <v/>
      </c>
      <c r="O1614" s="35" t="str">
        <f aca="false">IF(OR(N1614="",K1614=""),"",IF(K1614=0,"",N1614/K1614))</f>
        <v/>
      </c>
      <c r="P1614" s="25"/>
      <c r="Q1614" s="25"/>
      <c r="R1614" s="25"/>
      <c r="S1614" s="36" t="str">
        <f aca="false">IF(A1614="","",YEAR(A1614)+IF(AND(FYStart&gt;1,MONTH(A1614)&gt;=FYStart),1,0))</f>
        <v/>
      </c>
      <c r="T1614" s="36" t="str">
        <f aca="false">IF(A1614="","",MOD(MONTH(A1614)-FYStart,12)+1)</f>
        <v/>
      </c>
      <c r="U1614" s="37" t="str">
        <f aca="false">IF(A1614="","",TEXT(A1614,"mmm"))</f>
        <v/>
      </c>
      <c r="V1614" s="37" t="str">
        <f aca="false">IF(Q1614="","",IFERROR(INDEX(Settings!$I$11:$I$15,MATCH(Q1614,Settings!$H$11:$H$15,0)),"No"))</f>
        <v/>
      </c>
      <c r="W1614" s="37" t="str">
        <f aca="false">IF(Q1614="","",IFERROR(INDEX(Settings!$J$11:$J$15,MATCH(Q1614,Settings!$H$11:$H$15,0)),"No"))</f>
        <v/>
      </c>
    </row>
    <row r="1615" customFormat="false" ht="15" hidden="false" customHeight="false" outlineLevel="0" collapsed="false">
      <c r="A1615" s="30"/>
      <c r="B1615" s="25"/>
      <c r="C1615" s="25"/>
      <c r="D1615" s="25"/>
      <c r="E1615" s="25"/>
      <c r="F1615" s="25"/>
      <c r="G1615" s="25"/>
      <c r="H1615" s="31"/>
      <c r="I1615" s="32"/>
      <c r="J1615" s="33"/>
      <c r="K1615" s="34" t="str">
        <f aca="false">IF(OR(H1615="",I1615=""),"",H1615*I1615*(1-N(J1615)))</f>
        <v/>
      </c>
      <c r="L1615" s="32"/>
      <c r="M1615" s="34" t="str">
        <f aca="false">IF(OR(H1615="",L1615=""),"",H1615*L1615)</f>
        <v/>
      </c>
      <c r="N1615" s="34" t="str">
        <f aca="false">IF(OR(K1615="",M1615=""),"",K1615-M1615)</f>
        <v/>
      </c>
      <c r="O1615" s="35" t="str">
        <f aca="false">IF(OR(N1615="",K1615=""),"",IF(K1615=0,"",N1615/K1615))</f>
        <v/>
      </c>
      <c r="P1615" s="25"/>
      <c r="Q1615" s="25"/>
      <c r="R1615" s="25"/>
      <c r="S1615" s="36" t="str">
        <f aca="false">IF(A1615="","",YEAR(A1615)+IF(AND(FYStart&gt;1,MONTH(A1615)&gt;=FYStart),1,0))</f>
        <v/>
      </c>
      <c r="T1615" s="36" t="str">
        <f aca="false">IF(A1615="","",MOD(MONTH(A1615)-FYStart,12)+1)</f>
        <v/>
      </c>
      <c r="U1615" s="37" t="str">
        <f aca="false">IF(A1615="","",TEXT(A1615,"mmm"))</f>
        <v/>
      </c>
      <c r="V1615" s="37" t="str">
        <f aca="false">IF(Q1615="","",IFERROR(INDEX(Settings!$I$11:$I$15,MATCH(Q1615,Settings!$H$11:$H$15,0)),"No"))</f>
        <v/>
      </c>
      <c r="W1615" s="37" t="str">
        <f aca="false">IF(Q1615="","",IFERROR(INDEX(Settings!$J$11:$J$15,MATCH(Q1615,Settings!$H$11:$H$15,0)),"No"))</f>
        <v/>
      </c>
    </row>
    <row r="1616" customFormat="false" ht="15" hidden="false" customHeight="false" outlineLevel="0" collapsed="false">
      <c r="A1616" s="30"/>
      <c r="B1616" s="25"/>
      <c r="C1616" s="25"/>
      <c r="D1616" s="25"/>
      <c r="E1616" s="25"/>
      <c r="F1616" s="25"/>
      <c r="G1616" s="25"/>
      <c r="H1616" s="31"/>
      <c r="I1616" s="32"/>
      <c r="J1616" s="33"/>
      <c r="K1616" s="34" t="str">
        <f aca="false">IF(OR(H1616="",I1616=""),"",H1616*I1616*(1-N(J1616)))</f>
        <v/>
      </c>
      <c r="L1616" s="32"/>
      <c r="M1616" s="34" t="str">
        <f aca="false">IF(OR(H1616="",L1616=""),"",H1616*L1616)</f>
        <v/>
      </c>
      <c r="N1616" s="34" t="str">
        <f aca="false">IF(OR(K1616="",M1616=""),"",K1616-M1616)</f>
        <v/>
      </c>
      <c r="O1616" s="35" t="str">
        <f aca="false">IF(OR(N1616="",K1616=""),"",IF(K1616=0,"",N1616/K1616))</f>
        <v/>
      </c>
      <c r="P1616" s="25"/>
      <c r="Q1616" s="25"/>
      <c r="R1616" s="25"/>
      <c r="S1616" s="36" t="str">
        <f aca="false">IF(A1616="","",YEAR(A1616)+IF(AND(FYStart&gt;1,MONTH(A1616)&gt;=FYStart),1,0))</f>
        <v/>
      </c>
      <c r="T1616" s="36" t="str">
        <f aca="false">IF(A1616="","",MOD(MONTH(A1616)-FYStart,12)+1)</f>
        <v/>
      </c>
      <c r="U1616" s="37" t="str">
        <f aca="false">IF(A1616="","",TEXT(A1616,"mmm"))</f>
        <v/>
      </c>
      <c r="V1616" s="37" t="str">
        <f aca="false">IF(Q1616="","",IFERROR(INDEX(Settings!$I$11:$I$15,MATCH(Q1616,Settings!$H$11:$H$15,0)),"No"))</f>
        <v/>
      </c>
      <c r="W1616" s="37" t="str">
        <f aca="false">IF(Q1616="","",IFERROR(INDEX(Settings!$J$11:$J$15,MATCH(Q1616,Settings!$H$11:$H$15,0)),"No"))</f>
        <v/>
      </c>
    </row>
    <row r="1617" customFormat="false" ht="15" hidden="false" customHeight="false" outlineLevel="0" collapsed="false">
      <c r="A1617" s="30"/>
      <c r="B1617" s="25"/>
      <c r="C1617" s="25"/>
      <c r="D1617" s="25"/>
      <c r="E1617" s="25"/>
      <c r="F1617" s="25"/>
      <c r="G1617" s="25"/>
      <c r="H1617" s="31"/>
      <c r="I1617" s="32"/>
      <c r="J1617" s="33"/>
      <c r="K1617" s="34" t="str">
        <f aca="false">IF(OR(H1617="",I1617=""),"",H1617*I1617*(1-N(J1617)))</f>
        <v/>
      </c>
      <c r="L1617" s="32"/>
      <c r="M1617" s="34" t="str">
        <f aca="false">IF(OR(H1617="",L1617=""),"",H1617*L1617)</f>
        <v/>
      </c>
      <c r="N1617" s="34" t="str">
        <f aca="false">IF(OR(K1617="",M1617=""),"",K1617-M1617)</f>
        <v/>
      </c>
      <c r="O1617" s="35" t="str">
        <f aca="false">IF(OR(N1617="",K1617=""),"",IF(K1617=0,"",N1617/K1617))</f>
        <v/>
      </c>
      <c r="P1617" s="25"/>
      <c r="Q1617" s="25"/>
      <c r="R1617" s="25"/>
      <c r="S1617" s="36" t="str">
        <f aca="false">IF(A1617="","",YEAR(A1617)+IF(AND(FYStart&gt;1,MONTH(A1617)&gt;=FYStart),1,0))</f>
        <v/>
      </c>
      <c r="T1617" s="36" t="str">
        <f aca="false">IF(A1617="","",MOD(MONTH(A1617)-FYStart,12)+1)</f>
        <v/>
      </c>
      <c r="U1617" s="37" t="str">
        <f aca="false">IF(A1617="","",TEXT(A1617,"mmm"))</f>
        <v/>
      </c>
      <c r="V1617" s="37" t="str">
        <f aca="false">IF(Q1617="","",IFERROR(INDEX(Settings!$I$11:$I$15,MATCH(Q1617,Settings!$H$11:$H$15,0)),"No"))</f>
        <v/>
      </c>
      <c r="W1617" s="37" t="str">
        <f aca="false">IF(Q1617="","",IFERROR(INDEX(Settings!$J$11:$J$15,MATCH(Q1617,Settings!$H$11:$H$15,0)),"No"))</f>
        <v/>
      </c>
    </row>
    <row r="1618" customFormat="false" ht="15" hidden="false" customHeight="false" outlineLevel="0" collapsed="false">
      <c r="A1618" s="30"/>
      <c r="B1618" s="25"/>
      <c r="C1618" s="25"/>
      <c r="D1618" s="25"/>
      <c r="E1618" s="25"/>
      <c r="F1618" s="25"/>
      <c r="G1618" s="25"/>
      <c r="H1618" s="31"/>
      <c r="I1618" s="32"/>
      <c r="J1618" s="33"/>
      <c r="K1618" s="34" t="str">
        <f aca="false">IF(OR(H1618="",I1618=""),"",H1618*I1618*(1-N(J1618)))</f>
        <v/>
      </c>
      <c r="L1618" s="32"/>
      <c r="M1618" s="34" t="str">
        <f aca="false">IF(OR(H1618="",L1618=""),"",H1618*L1618)</f>
        <v/>
      </c>
      <c r="N1618" s="34" t="str">
        <f aca="false">IF(OR(K1618="",M1618=""),"",K1618-M1618)</f>
        <v/>
      </c>
      <c r="O1618" s="35" t="str">
        <f aca="false">IF(OR(N1618="",K1618=""),"",IF(K1618=0,"",N1618/K1618))</f>
        <v/>
      </c>
      <c r="P1618" s="25"/>
      <c r="Q1618" s="25"/>
      <c r="R1618" s="25"/>
      <c r="S1618" s="36" t="str">
        <f aca="false">IF(A1618="","",YEAR(A1618)+IF(AND(FYStart&gt;1,MONTH(A1618)&gt;=FYStart),1,0))</f>
        <v/>
      </c>
      <c r="T1618" s="36" t="str">
        <f aca="false">IF(A1618="","",MOD(MONTH(A1618)-FYStart,12)+1)</f>
        <v/>
      </c>
      <c r="U1618" s="37" t="str">
        <f aca="false">IF(A1618="","",TEXT(A1618,"mmm"))</f>
        <v/>
      </c>
      <c r="V1618" s="37" t="str">
        <f aca="false">IF(Q1618="","",IFERROR(INDEX(Settings!$I$11:$I$15,MATCH(Q1618,Settings!$H$11:$H$15,0)),"No"))</f>
        <v/>
      </c>
      <c r="W1618" s="37" t="str">
        <f aca="false">IF(Q1618="","",IFERROR(INDEX(Settings!$J$11:$J$15,MATCH(Q1618,Settings!$H$11:$H$15,0)),"No"))</f>
        <v/>
      </c>
    </row>
    <row r="1619" customFormat="false" ht="15" hidden="false" customHeight="false" outlineLevel="0" collapsed="false">
      <c r="A1619" s="30"/>
      <c r="B1619" s="25"/>
      <c r="C1619" s="25"/>
      <c r="D1619" s="25"/>
      <c r="E1619" s="25"/>
      <c r="F1619" s="25"/>
      <c r="G1619" s="25"/>
      <c r="H1619" s="31"/>
      <c r="I1619" s="32"/>
      <c r="J1619" s="33"/>
      <c r="K1619" s="34" t="str">
        <f aca="false">IF(OR(H1619="",I1619=""),"",H1619*I1619*(1-N(J1619)))</f>
        <v/>
      </c>
      <c r="L1619" s="32"/>
      <c r="M1619" s="34" t="str">
        <f aca="false">IF(OR(H1619="",L1619=""),"",H1619*L1619)</f>
        <v/>
      </c>
      <c r="N1619" s="34" t="str">
        <f aca="false">IF(OR(K1619="",M1619=""),"",K1619-M1619)</f>
        <v/>
      </c>
      <c r="O1619" s="35" t="str">
        <f aca="false">IF(OR(N1619="",K1619=""),"",IF(K1619=0,"",N1619/K1619))</f>
        <v/>
      </c>
      <c r="P1619" s="25"/>
      <c r="Q1619" s="25"/>
      <c r="R1619" s="25"/>
      <c r="S1619" s="36" t="str">
        <f aca="false">IF(A1619="","",YEAR(A1619)+IF(AND(FYStart&gt;1,MONTH(A1619)&gt;=FYStart),1,0))</f>
        <v/>
      </c>
      <c r="T1619" s="36" t="str">
        <f aca="false">IF(A1619="","",MOD(MONTH(A1619)-FYStart,12)+1)</f>
        <v/>
      </c>
      <c r="U1619" s="37" t="str">
        <f aca="false">IF(A1619="","",TEXT(A1619,"mmm"))</f>
        <v/>
      </c>
      <c r="V1619" s="37" t="str">
        <f aca="false">IF(Q1619="","",IFERROR(INDEX(Settings!$I$11:$I$15,MATCH(Q1619,Settings!$H$11:$H$15,0)),"No"))</f>
        <v/>
      </c>
      <c r="W1619" s="37" t="str">
        <f aca="false">IF(Q1619="","",IFERROR(INDEX(Settings!$J$11:$J$15,MATCH(Q1619,Settings!$H$11:$H$15,0)),"No"))</f>
        <v/>
      </c>
    </row>
    <row r="1620" customFormat="false" ht="15" hidden="false" customHeight="false" outlineLevel="0" collapsed="false">
      <c r="A1620" s="30"/>
      <c r="B1620" s="25"/>
      <c r="C1620" s="25"/>
      <c r="D1620" s="25"/>
      <c r="E1620" s="25"/>
      <c r="F1620" s="25"/>
      <c r="G1620" s="25"/>
      <c r="H1620" s="31"/>
      <c r="I1620" s="32"/>
      <c r="J1620" s="33"/>
      <c r="K1620" s="34" t="str">
        <f aca="false">IF(OR(H1620="",I1620=""),"",H1620*I1620*(1-N(J1620)))</f>
        <v/>
      </c>
      <c r="L1620" s="32"/>
      <c r="M1620" s="34" t="str">
        <f aca="false">IF(OR(H1620="",L1620=""),"",H1620*L1620)</f>
        <v/>
      </c>
      <c r="N1620" s="34" t="str">
        <f aca="false">IF(OR(K1620="",M1620=""),"",K1620-M1620)</f>
        <v/>
      </c>
      <c r="O1620" s="35" t="str">
        <f aca="false">IF(OR(N1620="",K1620=""),"",IF(K1620=0,"",N1620/K1620))</f>
        <v/>
      </c>
      <c r="P1620" s="25"/>
      <c r="Q1620" s="25"/>
      <c r="R1620" s="25"/>
      <c r="S1620" s="36" t="str">
        <f aca="false">IF(A1620="","",YEAR(A1620)+IF(AND(FYStart&gt;1,MONTH(A1620)&gt;=FYStart),1,0))</f>
        <v/>
      </c>
      <c r="T1620" s="36" t="str">
        <f aca="false">IF(A1620="","",MOD(MONTH(A1620)-FYStart,12)+1)</f>
        <v/>
      </c>
      <c r="U1620" s="37" t="str">
        <f aca="false">IF(A1620="","",TEXT(A1620,"mmm"))</f>
        <v/>
      </c>
      <c r="V1620" s="37" t="str">
        <f aca="false">IF(Q1620="","",IFERROR(INDEX(Settings!$I$11:$I$15,MATCH(Q1620,Settings!$H$11:$H$15,0)),"No"))</f>
        <v/>
      </c>
      <c r="W1620" s="37" t="str">
        <f aca="false">IF(Q1620="","",IFERROR(INDEX(Settings!$J$11:$J$15,MATCH(Q1620,Settings!$H$11:$H$15,0)),"No"))</f>
        <v/>
      </c>
    </row>
    <row r="1621" customFormat="false" ht="15" hidden="false" customHeight="false" outlineLevel="0" collapsed="false">
      <c r="A1621" s="30"/>
      <c r="B1621" s="25"/>
      <c r="C1621" s="25"/>
      <c r="D1621" s="25"/>
      <c r="E1621" s="25"/>
      <c r="F1621" s="25"/>
      <c r="G1621" s="25"/>
      <c r="H1621" s="31"/>
      <c r="I1621" s="32"/>
      <c r="J1621" s="33"/>
      <c r="K1621" s="34" t="str">
        <f aca="false">IF(OR(H1621="",I1621=""),"",H1621*I1621*(1-N(J1621)))</f>
        <v/>
      </c>
      <c r="L1621" s="32"/>
      <c r="M1621" s="34" t="str">
        <f aca="false">IF(OR(H1621="",L1621=""),"",H1621*L1621)</f>
        <v/>
      </c>
      <c r="N1621" s="34" t="str">
        <f aca="false">IF(OR(K1621="",M1621=""),"",K1621-M1621)</f>
        <v/>
      </c>
      <c r="O1621" s="35" t="str">
        <f aca="false">IF(OR(N1621="",K1621=""),"",IF(K1621=0,"",N1621/K1621))</f>
        <v/>
      </c>
      <c r="P1621" s="25"/>
      <c r="Q1621" s="25"/>
      <c r="R1621" s="25"/>
      <c r="S1621" s="36" t="str">
        <f aca="false">IF(A1621="","",YEAR(A1621)+IF(AND(FYStart&gt;1,MONTH(A1621)&gt;=FYStart),1,0))</f>
        <v/>
      </c>
      <c r="T1621" s="36" t="str">
        <f aca="false">IF(A1621="","",MOD(MONTH(A1621)-FYStart,12)+1)</f>
        <v/>
      </c>
      <c r="U1621" s="37" t="str">
        <f aca="false">IF(A1621="","",TEXT(A1621,"mmm"))</f>
        <v/>
      </c>
      <c r="V1621" s="37" t="str">
        <f aca="false">IF(Q1621="","",IFERROR(INDEX(Settings!$I$11:$I$15,MATCH(Q1621,Settings!$H$11:$H$15,0)),"No"))</f>
        <v/>
      </c>
      <c r="W1621" s="37" t="str">
        <f aca="false">IF(Q1621="","",IFERROR(INDEX(Settings!$J$11:$J$15,MATCH(Q1621,Settings!$H$11:$H$15,0)),"No"))</f>
        <v/>
      </c>
    </row>
    <row r="1622" customFormat="false" ht="15" hidden="false" customHeight="false" outlineLevel="0" collapsed="false">
      <c r="A1622" s="30"/>
      <c r="B1622" s="25"/>
      <c r="C1622" s="25"/>
      <c r="D1622" s="25"/>
      <c r="E1622" s="25"/>
      <c r="F1622" s="25"/>
      <c r="G1622" s="25"/>
      <c r="H1622" s="31"/>
      <c r="I1622" s="32"/>
      <c r="J1622" s="33"/>
      <c r="K1622" s="34" t="str">
        <f aca="false">IF(OR(H1622="",I1622=""),"",H1622*I1622*(1-N(J1622)))</f>
        <v/>
      </c>
      <c r="L1622" s="32"/>
      <c r="M1622" s="34" t="str">
        <f aca="false">IF(OR(H1622="",L1622=""),"",H1622*L1622)</f>
        <v/>
      </c>
      <c r="N1622" s="34" t="str">
        <f aca="false">IF(OR(K1622="",M1622=""),"",K1622-M1622)</f>
        <v/>
      </c>
      <c r="O1622" s="35" t="str">
        <f aca="false">IF(OR(N1622="",K1622=""),"",IF(K1622=0,"",N1622/K1622))</f>
        <v/>
      </c>
      <c r="P1622" s="25"/>
      <c r="Q1622" s="25"/>
      <c r="R1622" s="25"/>
      <c r="S1622" s="36" t="str">
        <f aca="false">IF(A1622="","",YEAR(A1622)+IF(AND(FYStart&gt;1,MONTH(A1622)&gt;=FYStart),1,0))</f>
        <v/>
      </c>
      <c r="T1622" s="36" t="str">
        <f aca="false">IF(A1622="","",MOD(MONTH(A1622)-FYStart,12)+1)</f>
        <v/>
      </c>
      <c r="U1622" s="37" t="str">
        <f aca="false">IF(A1622="","",TEXT(A1622,"mmm"))</f>
        <v/>
      </c>
      <c r="V1622" s="37" t="str">
        <f aca="false">IF(Q1622="","",IFERROR(INDEX(Settings!$I$11:$I$15,MATCH(Q1622,Settings!$H$11:$H$15,0)),"No"))</f>
        <v/>
      </c>
      <c r="W1622" s="37" t="str">
        <f aca="false">IF(Q1622="","",IFERROR(INDEX(Settings!$J$11:$J$15,MATCH(Q1622,Settings!$H$11:$H$15,0)),"No"))</f>
        <v/>
      </c>
    </row>
    <row r="1623" customFormat="false" ht="15" hidden="false" customHeight="false" outlineLevel="0" collapsed="false">
      <c r="A1623" s="30"/>
      <c r="B1623" s="25"/>
      <c r="C1623" s="25"/>
      <c r="D1623" s="25"/>
      <c r="E1623" s="25"/>
      <c r="F1623" s="25"/>
      <c r="G1623" s="25"/>
      <c r="H1623" s="31"/>
      <c r="I1623" s="32"/>
      <c r="J1623" s="33"/>
      <c r="K1623" s="34" t="str">
        <f aca="false">IF(OR(H1623="",I1623=""),"",H1623*I1623*(1-N(J1623)))</f>
        <v/>
      </c>
      <c r="L1623" s="32"/>
      <c r="M1623" s="34" t="str">
        <f aca="false">IF(OR(H1623="",L1623=""),"",H1623*L1623)</f>
        <v/>
      </c>
      <c r="N1623" s="34" t="str">
        <f aca="false">IF(OR(K1623="",M1623=""),"",K1623-M1623)</f>
        <v/>
      </c>
      <c r="O1623" s="35" t="str">
        <f aca="false">IF(OR(N1623="",K1623=""),"",IF(K1623=0,"",N1623/K1623))</f>
        <v/>
      </c>
      <c r="P1623" s="25"/>
      <c r="Q1623" s="25"/>
      <c r="R1623" s="25"/>
      <c r="S1623" s="36" t="str">
        <f aca="false">IF(A1623="","",YEAR(A1623)+IF(AND(FYStart&gt;1,MONTH(A1623)&gt;=FYStart),1,0))</f>
        <v/>
      </c>
      <c r="T1623" s="36" t="str">
        <f aca="false">IF(A1623="","",MOD(MONTH(A1623)-FYStart,12)+1)</f>
        <v/>
      </c>
      <c r="U1623" s="37" t="str">
        <f aca="false">IF(A1623="","",TEXT(A1623,"mmm"))</f>
        <v/>
      </c>
      <c r="V1623" s="37" t="str">
        <f aca="false">IF(Q1623="","",IFERROR(INDEX(Settings!$I$11:$I$15,MATCH(Q1623,Settings!$H$11:$H$15,0)),"No"))</f>
        <v/>
      </c>
      <c r="W1623" s="37" t="str">
        <f aca="false">IF(Q1623="","",IFERROR(INDEX(Settings!$J$11:$J$15,MATCH(Q1623,Settings!$H$11:$H$15,0)),"No"))</f>
        <v/>
      </c>
    </row>
    <row r="1624" customFormat="false" ht="15" hidden="false" customHeight="false" outlineLevel="0" collapsed="false">
      <c r="A1624" s="30"/>
      <c r="B1624" s="25"/>
      <c r="C1624" s="25"/>
      <c r="D1624" s="25"/>
      <c r="E1624" s="25"/>
      <c r="F1624" s="25"/>
      <c r="G1624" s="25"/>
      <c r="H1624" s="31"/>
      <c r="I1624" s="32"/>
      <c r="J1624" s="33"/>
      <c r="K1624" s="34" t="str">
        <f aca="false">IF(OR(H1624="",I1624=""),"",H1624*I1624*(1-N(J1624)))</f>
        <v/>
      </c>
      <c r="L1624" s="32"/>
      <c r="M1624" s="34" t="str">
        <f aca="false">IF(OR(H1624="",L1624=""),"",H1624*L1624)</f>
        <v/>
      </c>
      <c r="N1624" s="34" t="str">
        <f aca="false">IF(OR(K1624="",M1624=""),"",K1624-M1624)</f>
        <v/>
      </c>
      <c r="O1624" s="35" t="str">
        <f aca="false">IF(OR(N1624="",K1624=""),"",IF(K1624=0,"",N1624/K1624))</f>
        <v/>
      </c>
      <c r="P1624" s="25"/>
      <c r="Q1624" s="25"/>
      <c r="R1624" s="25"/>
      <c r="S1624" s="36" t="str">
        <f aca="false">IF(A1624="","",YEAR(A1624)+IF(AND(FYStart&gt;1,MONTH(A1624)&gt;=FYStart),1,0))</f>
        <v/>
      </c>
      <c r="T1624" s="36" t="str">
        <f aca="false">IF(A1624="","",MOD(MONTH(A1624)-FYStart,12)+1)</f>
        <v/>
      </c>
      <c r="U1624" s="37" t="str">
        <f aca="false">IF(A1624="","",TEXT(A1624,"mmm"))</f>
        <v/>
      </c>
      <c r="V1624" s="37" t="str">
        <f aca="false">IF(Q1624="","",IFERROR(INDEX(Settings!$I$11:$I$15,MATCH(Q1624,Settings!$H$11:$H$15,0)),"No"))</f>
        <v/>
      </c>
      <c r="W1624" s="37" t="str">
        <f aca="false">IF(Q1624="","",IFERROR(INDEX(Settings!$J$11:$J$15,MATCH(Q1624,Settings!$H$11:$H$15,0)),"No"))</f>
        <v/>
      </c>
    </row>
    <row r="1625" customFormat="false" ht="15" hidden="false" customHeight="false" outlineLevel="0" collapsed="false">
      <c r="A1625" s="30"/>
      <c r="B1625" s="25"/>
      <c r="C1625" s="25"/>
      <c r="D1625" s="25"/>
      <c r="E1625" s="25"/>
      <c r="F1625" s="25"/>
      <c r="G1625" s="25"/>
      <c r="H1625" s="31"/>
      <c r="I1625" s="32"/>
      <c r="J1625" s="33"/>
      <c r="K1625" s="34" t="str">
        <f aca="false">IF(OR(H1625="",I1625=""),"",H1625*I1625*(1-N(J1625)))</f>
        <v/>
      </c>
      <c r="L1625" s="32"/>
      <c r="M1625" s="34" t="str">
        <f aca="false">IF(OR(H1625="",L1625=""),"",H1625*L1625)</f>
        <v/>
      </c>
      <c r="N1625" s="34" t="str">
        <f aca="false">IF(OR(K1625="",M1625=""),"",K1625-M1625)</f>
        <v/>
      </c>
      <c r="O1625" s="35" t="str">
        <f aca="false">IF(OR(N1625="",K1625=""),"",IF(K1625=0,"",N1625/K1625))</f>
        <v/>
      </c>
      <c r="P1625" s="25"/>
      <c r="Q1625" s="25"/>
      <c r="R1625" s="25"/>
      <c r="S1625" s="36" t="str">
        <f aca="false">IF(A1625="","",YEAR(A1625)+IF(AND(FYStart&gt;1,MONTH(A1625)&gt;=FYStart),1,0))</f>
        <v/>
      </c>
      <c r="T1625" s="36" t="str">
        <f aca="false">IF(A1625="","",MOD(MONTH(A1625)-FYStart,12)+1)</f>
        <v/>
      </c>
      <c r="U1625" s="37" t="str">
        <f aca="false">IF(A1625="","",TEXT(A1625,"mmm"))</f>
        <v/>
      </c>
      <c r="V1625" s="37" t="str">
        <f aca="false">IF(Q1625="","",IFERROR(INDEX(Settings!$I$11:$I$15,MATCH(Q1625,Settings!$H$11:$H$15,0)),"No"))</f>
        <v/>
      </c>
      <c r="W1625" s="37" t="str">
        <f aca="false">IF(Q1625="","",IFERROR(INDEX(Settings!$J$11:$J$15,MATCH(Q1625,Settings!$H$11:$H$15,0)),"No"))</f>
        <v/>
      </c>
    </row>
    <row r="1626" customFormat="false" ht="15" hidden="false" customHeight="false" outlineLevel="0" collapsed="false">
      <c r="A1626" s="30"/>
      <c r="B1626" s="25"/>
      <c r="C1626" s="25"/>
      <c r="D1626" s="25"/>
      <c r="E1626" s="25"/>
      <c r="F1626" s="25"/>
      <c r="G1626" s="25"/>
      <c r="H1626" s="31"/>
      <c r="I1626" s="32"/>
      <c r="J1626" s="33"/>
      <c r="K1626" s="34" t="str">
        <f aca="false">IF(OR(H1626="",I1626=""),"",H1626*I1626*(1-N(J1626)))</f>
        <v/>
      </c>
      <c r="L1626" s="32"/>
      <c r="M1626" s="34" t="str">
        <f aca="false">IF(OR(H1626="",L1626=""),"",H1626*L1626)</f>
        <v/>
      </c>
      <c r="N1626" s="34" t="str">
        <f aca="false">IF(OR(K1626="",M1626=""),"",K1626-M1626)</f>
        <v/>
      </c>
      <c r="O1626" s="35" t="str">
        <f aca="false">IF(OR(N1626="",K1626=""),"",IF(K1626=0,"",N1626/K1626))</f>
        <v/>
      </c>
      <c r="P1626" s="25"/>
      <c r="Q1626" s="25"/>
      <c r="R1626" s="25"/>
      <c r="S1626" s="36" t="str">
        <f aca="false">IF(A1626="","",YEAR(A1626)+IF(AND(FYStart&gt;1,MONTH(A1626)&gt;=FYStart),1,0))</f>
        <v/>
      </c>
      <c r="T1626" s="36" t="str">
        <f aca="false">IF(A1626="","",MOD(MONTH(A1626)-FYStart,12)+1)</f>
        <v/>
      </c>
      <c r="U1626" s="37" t="str">
        <f aca="false">IF(A1626="","",TEXT(A1626,"mmm"))</f>
        <v/>
      </c>
      <c r="V1626" s="37" t="str">
        <f aca="false">IF(Q1626="","",IFERROR(INDEX(Settings!$I$11:$I$15,MATCH(Q1626,Settings!$H$11:$H$15,0)),"No"))</f>
        <v/>
      </c>
      <c r="W1626" s="37" t="str">
        <f aca="false">IF(Q1626="","",IFERROR(INDEX(Settings!$J$11:$J$15,MATCH(Q1626,Settings!$H$11:$H$15,0)),"No"))</f>
        <v/>
      </c>
    </row>
    <row r="1627" customFormat="false" ht="15" hidden="false" customHeight="false" outlineLevel="0" collapsed="false">
      <c r="A1627" s="30"/>
      <c r="B1627" s="25"/>
      <c r="C1627" s="25"/>
      <c r="D1627" s="25"/>
      <c r="E1627" s="25"/>
      <c r="F1627" s="25"/>
      <c r="G1627" s="25"/>
      <c r="H1627" s="31"/>
      <c r="I1627" s="32"/>
      <c r="J1627" s="33"/>
      <c r="K1627" s="34" t="str">
        <f aca="false">IF(OR(H1627="",I1627=""),"",H1627*I1627*(1-N(J1627)))</f>
        <v/>
      </c>
      <c r="L1627" s="32"/>
      <c r="M1627" s="34" t="str">
        <f aca="false">IF(OR(H1627="",L1627=""),"",H1627*L1627)</f>
        <v/>
      </c>
      <c r="N1627" s="34" t="str">
        <f aca="false">IF(OR(K1627="",M1627=""),"",K1627-M1627)</f>
        <v/>
      </c>
      <c r="O1627" s="35" t="str">
        <f aca="false">IF(OR(N1627="",K1627=""),"",IF(K1627=0,"",N1627/K1627))</f>
        <v/>
      </c>
      <c r="P1627" s="25"/>
      <c r="Q1627" s="25"/>
      <c r="R1627" s="25"/>
      <c r="S1627" s="36" t="str">
        <f aca="false">IF(A1627="","",YEAR(A1627)+IF(AND(FYStart&gt;1,MONTH(A1627)&gt;=FYStart),1,0))</f>
        <v/>
      </c>
      <c r="T1627" s="36" t="str">
        <f aca="false">IF(A1627="","",MOD(MONTH(A1627)-FYStart,12)+1)</f>
        <v/>
      </c>
      <c r="U1627" s="37" t="str">
        <f aca="false">IF(A1627="","",TEXT(A1627,"mmm"))</f>
        <v/>
      </c>
      <c r="V1627" s="37" t="str">
        <f aca="false">IF(Q1627="","",IFERROR(INDEX(Settings!$I$11:$I$15,MATCH(Q1627,Settings!$H$11:$H$15,0)),"No"))</f>
        <v/>
      </c>
      <c r="W1627" s="37" t="str">
        <f aca="false">IF(Q1627="","",IFERROR(INDEX(Settings!$J$11:$J$15,MATCH(Q1627,Settings!$H$11:$H$15,0)),"No"))</f>
        <v/>
      </c>
    </row>
    <row r="1628" customFormat="false" ht="15" hidden="false" customHeight="false" outlineLevel="0" collapsed="false">
      <c r="A1628" s="30"/>
      <c r="B1628" s="25"/>
      <c r="C1628" s="25"/>
      <c r="D1628" s="25"/>
      <c r="E1628" s="25"/>
      <c r="F1628" s="25"/>
      <c r="G1628" s="25"/>
      <c r="H1628" s="31"/>
      <c r="I1628" s="32"/>
      <c r="J1628" s="33"/>
      <c r="K1628" s="34" t="str">
        <f aca="false">IF(OR(H1628="",I1628=""),"",H1628*I1628*(1-N(J1628)))</f>
        <v/>
      </c>
      <c r="L1628" s="32"/>
      <c r="M1628" s="34" t="str">
        <f aca="false">IF(OR(H1628="",L1628=""),"",H1628*L1628)</f>
        <v/>
      </c>
      <c r="N1628" s="34" t="str">
        <f aca="false">IF(OR(K1628="",M1628=""),"",K1628-M1628)</f>
        <v/>
      </c>
      <c r="O1628" s="35" t="str">
        <f aca="false">IF(OR(N1628="",K1628=""),"",IF(K1628=0,"",N1628/K1628))</f>
        <v/>
      </c>
      <c r="P1628" s="25"/>
      <c r="Q1628" s="25"/>
      <c r="R1628" s="25"/>
      <c r="S1628" s="36" t="str">
        <f aca="false">IF(A1628="","",YEAR(A1628)+IF(AND(FYStart&gt;1,MONTH(A1628)&gt;=FYStart),1,0))</f>
        <v/>
      </c>
      <c r="T1628" s="36" t="str">
        <f aca="false">IF(A1628="","",MOD(MONTH(A1628)-FYStart,12)+1)</f>
        <v/>
      </c>
      <c r="U1628" s="37" t="str">
        <f aca="false">IF(A1628="","",TEXT(A1628,"mmm"))</f>
        <v/>
      </c>
      <c r="V1628" s="37" t="str">
        <f aca="false">IF(Q1628="","",IFERROR(INDEX(Settings!$I$11:$I$15,MATCH(Q1628,Settings!$H$11:$H$15,0)),"No"))</f>
        <v/>
      </c>
      <c r="W1628" s="37" t="str">
        <f aca="false">IF(Q1628="","",IFERROR(INDEX(Settings!$J$11:$J$15,MATCH(Q1628,Settings!$H$11:$H$15,0)),"No"))</f>
        <v/>
      </c>
    </row>
    <row r="1629" customFormat="false" ht="15" hidden="false" customHeight="false" outlineLevel="0" collapsed="false">
      <c r="A1629" s="30"/>
      <c r="B1629" s="25"/>
      <c r="C1629" s="25"/>
      <c r="D1629" s="25"/>
      <c r="E1629" s="25"/>
      <c r="F1629" s="25"/>
      <c r="G1629" s="25"/>
      <c r="H1629" s="31"/>
      <c r="I1629" s="32"/>
      <c r="J1629" s="33"/>
      <c r="K1629" s="34" t="str">
        <f aca="false">IF(OR(H1629="",I1629=""),"",H1629*I1629*(1-N(J1629)))</f>
        <v/>
      </c>
      <c r="L1629" s="32"/>
      <c r="M1629" s="34" t="str">
        <f aca="false">IF(OR(H1629="",L1629=""),"",H1629*L1629)</f>
        <v/>
      </c>
      <c r="N1629" s="34" t="str">
        <f aca="false">IF(OR(K1629="",M1629=""),"",K1629-M1629)</f>
        <v/>
      </c>
      <c r="O1629" s="35" t="str">
        <f aca="false">IF(OR(N1629="",K1629=""),"",IF(K1629=0,"",N1629/K1629))</f>
        <v/>
      </c>
      <c r="P1629" s="25"/>
      <c r="Q1629" s="25"/>
      <c r="R1629" s="25"/>
      <c r="S1629" s="36" t="str">
        <f aca="false">IF(A1629="","",YEAR(A1629)+IF(AND(FYStart&gt;1,MONTH(A1629)&gt;=FYStart),1,0))</f>
        <v/>
      </c>
      <c r="T1629" s="36" t="str">
        <f aca="false">IF(A1629="","",MOD(MONTH(A1629)-FYStart,12)+1)</f>
        <v/>
      </c>
      <c r="U1629" s="37" t="str">
        <f aca="false">IF(A1629="","",TEXT(A1629,"mmm"))</f>
        <v/>
      </c>
      <c r="V1629" s="37" t="str">
        <f aca="false">IF(Q1629="","",IFERROR(INDEX(Settings!$I$11:$I$15,MATCH(Q1629,Settings!$H$11:$H$15,0)),"No"))</f>
        <v/>
      </c>
      <c r="W1629" s="37" t="str">
        <f aca="false">IF(Q1629="","",IFERROR(INDEX(Settings!$J$11:$J$15,MATCH(Q1629,Settings!$H$11:$H$15,0)),"No"))</f>
        <v/>
      </c>
    </row>
    <row r="1630" customFormat="false" ht="15" hidden="false" customHeight="false" outlineLevel="0" collapsed="false">
      <c r="A1630" s="30"/>
      <c r="B1630" s="25"/>
      <c r="C1630" s="25"/>
      <c r="D1630" s="25"/>
      <c r="E1630" s="25"/>
      <c r="F1630" s="25"/>
      <c r="G1630" s="25"/>
      <c r="H1630" s="31"/>
      <c r="I1630" s="32"/>
      <c r="J1630" s="33"/>
      <c r="K1630" s="34" t="str">
        <f aca="false">IF(OR(H1630="",I1630=""),"",H1630*I1630*(1-N(J1630)))</f>
        <v/>
      </c>
      <c r="L1630" s="32"/>
      <c r="M1630" s="34" t="str">
        <f aca="false">IF(OR(H1630="",L1630=""),"",H1630*L1630)</f>
        <v/>
      </c>
      <c r="N1630" s="34" t="str">
        <f aca="false">IF(OR(K1630="",M1630=""),"",K1630-M1630)</f>
        <v/>
      </c>
      <c r="O1630" s="35" t="str">
        <f aca="false">IF(OR(N1630="",K1630=""),"",IF(K1630=0,"",N1630/K1630))</f>
        <v/>
      </c>
      <c r="P1630" s="25"/>
      <c r="Q1630" s="25"/>
      <c r="R1630" s="25"/>
      <c r="S1630" s="36" t="str">
        <f aca="false">IF(A1630="","",YEAR(A1630)+IF(AND(FYStart&gt;1,MONTH(A1630)&gt;=FYStart),1,0))</f>
        <v/>
      </c>
      <c r="T1630" s="36" t="str">
        <f aca="false">IF(A1630="","",MOD(MONTH(A1630)-FYStart,12)+1)</f>
        <v/>
      </c>
      <c r="U1630" s="37" t="str">
        <f aca="false">IF(A1630="","",TEXT(A1630,"mmm"))</f>
        <v/>
      </c>
      <c r="V1630" s="37" t="str">
        <f aca="false">IF(Q1630="","",IFERROR(INDEX(Settings!$I$11:$I$15,MATCH(Q1630,Settings!$H$11:$H$15,0)),"No"))</f>
        <v/>
      </c>
      <c r="W1630" s="37" t="str">
        <f aca="false">IF(Q1630="","",IFERROR(INDEX(Settings!$J$11:$J$15,MATCH(Q1630,Settings!$H$11:$H$15,0)),"No"))</f>
        <v/>
      </c>
    </row>
    <row r="1631" customFormat="false" ht="15" hidden="false" customHeight="false" outlineLevel="0" collapsed="false">
      <c r="A1631" s="30"/>
      <c r="B1631" s="25"/>
      <c r="C1631" s="25"/>
      <c r="D1631" s="25"/>
      <c r="E1631" s="25"/>
      <c r="F1631" s="25"/>
      <c r="G1631" s="25"/>
      <c r="H1631" s="31"/>
      <c r="I1631" s="32"/>
      <c r="J1631" s="33"/>
      <c r="K1631" s="34" t="str">
        <f aca="false">IF(OR(H1631="",I1631=""),"",H1631*I1631*(1-N(J1631)))</f>
        <v/>
      </c>
      <c r="L1631" s="32"/>
      <c r="M1631" s="34" t="str">
        <f aca="false">IF(OR(H1631="",L1631=""),"",H1631*L1631)</f>
        <v/>
      </c>
      <c r="N1631" s="34" t="str">
        <f aca="false">IF(OR(K1631="",M1631=""),"",K1631-M1631)</f>
        <v/>
      </c>
      <c r="O1631" s="35" t="str">
        <f aca="false">IF(OR(N1631="",K1631=""),"",IF(K1631=0,"",N1631/K1631))</f>
        <v/>
      </c>
      <c r="P1631" s="25"/>
      <c r="Q1631" s="25"/>
      <c r="R1631" s="25"/>
      <c r="S1631" s="36" t="str">
        <f aca="false">IF(A1631="","",YEAR(A1631)+IF(AND(FYStart&gt;1,MONTH(A1631)&gt;=FYStart),1,0))</f>
        <v/>
      </c>
      <c r="T1631" s="36" t="str">
        <f aca="false">IF(A1631="","",MOD(MONTH(A1631)-FYStart,12)+1)</f>
        <v/>
      </c>
      <c r="U1631" s="37" t="str">
        <f aca="false">IF(A1631="","",TEXT(A1631,"mmm"))</f>
        <v/>
      </c>
      <c r="V1631" s="37" t="str">
        <f aca="false">IF(Q1631="","",IFERROR(INDEX(Settings!$I$11:$I$15,MATCH(Q1631,Settings!$H$11:$H$15,0)),"No"))</f>
        <v/>
      </c>
      <c r="W1631" s="37" t="str">
        <f aca="false">IF(Q1631="","",IFERROR(INDEX(Settings!$J$11:$J$15,MATCH(Q1631,Settings!$H$11:$H$15,0)),"No"))</f>
        <v/>
      </c>
    </row>
    <row r="1632" customFormat="false" ht="15" hidden="false" customHeight="false" outlineLevel="0" collapsed="false">
      <c r="A1632" s="30"/>
      <c r="B1632" s="25"/>
      <c r="C1632" s="25"/>
      <c r="D1632" s="25"/>
      <c r="E1632" s="25"/>
      <c r="F1632" s="25"/>
      <c r="G1632" s="25"/>
      <c r="H1632" s="31"/>
      <c r="I1632" s="32"/>
      <c r="J1632" s="33"/>
      <c r="K1632" s="34" t="str">
        <f aca="false">IF(OR(H1632="",I1632=""),"",H1632*I1632*(1-N(J1632)))</f>
        <v/>
      </c>
      <c r="L1632" s="32"/>
      <c r="M1632" s="34" t="str">
        <f aca="false">IF(OR(H1632="",L1632=""),"",H1632*L1632)</f>
        <v/>
      </c>
      <c r="N1632" s="34" t="str">
        <f aca="false">IF(OR(K1632="",M1632=""),"",K1632-M1632)</f>
        <v/>
      </c>
      <c r="O1632" s="35" t="str">
        <f aca="false">IF(OR(N1632="",K1632=""),"",IF(K1632=0,"",N1632/K1632))</f>
        <v/>
      </c>
      <c r="P1632" s="25"/>
      <c r="Q1632" s="25"/>
      <c r="R1632" s="25"/>
      <c r="S1632" s="36" t="str">
        <f aca="false">IF(A1632="","",YEAR(A1632)+IF(AND(FYStart&gt;1,MONTH(A1632)&gt;=FYStart),1,0))</f>
        <v/>
      </c>
      <c r="T1632" s="36" t="str">
        <f aca="false">IF(A1632="","",MOD(MONTH(A1632)-FYStart,12)+1)</f>
        <v/>
      </c>
      <c r="U1632" s="37" t="str">
        <f aca="false">IF(A1632="","",TEXT(A1632,"mmm"))</f>
        <v/>
      </c>
      <c r="V1632" s="37" t="str">
        <f aca="false">IF(Q1632="","",IFERROR(INDEX(Settings!$I$11:$I$15,MATCH(Q1632,Settings!$H$11:$H$15,0)),"No"))</f>
        <v/>
      </c>
      <c r="W1632" s="37" t="str">
        <f aca="false">IF(Q1632="","",IFERROR(INDEX(Settings!$J$11:$J$15,MATCH(Q1632,Settings!$H$11:$H$15,0)),"No"))</f>
        <v/>
      </c>
    </row>
    <row r="1633" customFormat="false" ht="15" hidden="false" customHeight="false" outlineLevel="0" collapsed="false">
      <c r="A1633" s="30"/>
      <c r="B1633" s="25"/>
      <c r="C1633" s="25"/>
      <c r="D1633" s="25"/>
      <c r="E1633" s="25"/>
      <c r="F1633" s="25"/>
      <c r="G1633" s="25"/>
      <c r="H1633" s="31"/>
      <c r="I1633" s="32"/>
      <c r="J1633" s="33"/>
      <c r="K1633" s="34" t="str">
        <f aca="false">IF(OR(H1633="",I1633=""),"",H1633*I1633*(1-N(J1633)))</f>
        <v/>
      </c>
      <c r="L1633" s="32"/>
      <c r="M1633" s="34" t="str">
        <f aca="false">IF(OR(H1633="",L1633=""),"",H1633*L1633)</f>
        <v/>
      </c>
      <c r="N1633" s="34" t="str">
        <f aca="false">IF(OR(K1633="",M1633=""),"",K1633-M1633)</f>
        <v/>
      </c>
      <c r="O1633" s="35" t="str">
        <f aca="false">IF(OR(N1633="",K1633=""),"",IF(K1633=0,"",N1633/K1633))</f>
        <v/>
      </c>
      <c r="P1633" s="25"/>
      <c r="Q1633" s="25"/>
      <c r="R1633" s="25"/>
      <c r="S1633" s="36" t="str">
        <f aca="false">IF(A1633="","",YEAR(A1633)+IF(AND(FYStart&gt;1,MONTH(A1633)&gt;=FYStart),1,0))</f>
        <v/>
      </c>
      <c r="T1633" s="36" t="str">
        <f aca="false">IF(A1633="","",MOD(MONTH(A1633)-FYStart,12)+1)</f>
        <v/>
      </c>
      <c r="U1633" s="37" t="str">
        <f aca="false">IF(A1633="","",TEXT(A1633,"mmm"))</f>
        <v/>
      </c>
      <c r="V1633" s="37" t="str">
        <f aca="false">IF(Q1633="","",IFERROR(INDEX(Settings!$I$11:$I$15,MATCH(Q1633,Settings!$H$11:$H$15,0)),"No"))</f>
        <v/>
      </c>
      <c r="W1633" s="37" t="str">
        <f aca="false">IF(Q1633="","",IFERROR(INDEX(Settings!$J$11:$J$15,MATCH(Q1633,Settings!$H$11:$H$15,0)),"No"))</f>
        <v/>
      </c>
    </row>
    <row r="1634" customFormat="false" ht="15" hidden="false" customHeight="false" outlineLevel="0" collapsed="false">
      <c r="A1634" s="30"/>
      <c r="B1634" s="25"/>
      <c r="C1634" s="25"/>
      <c r="D1634" s="25"/>
      <c r="E1634" s="25"/>
      <c r="F1634" s="25"/>
      <c r="G1634" s="25"/>
      <c r="H1634" s="31"/>
      <c r="I1634" s="32"/>
      <c r="J1634" s="33"/>
      <c r="K1634" s="34" t="str">
        <f aca="false">IF(OR(H1634="",I1634=""),"",H1634*I1634*(1-N(J1634)))</f>
        <v/>
      </c>
      <c r="L1634" s="32"/>
      <c r="M1634" s="34" t="str">
        <f aca="false">IF(OR(H1634="",L1634=""),"",H1634*L1634)</f>
        <v/>
      </c>
      <c r="N1634" s="34" t="str">
        <f aca="false">IF(OR(K1634="",M1634=""),"",K1634-M1634)</f>
        <v/>
      </c>
      <c r="O1634" s="35" t="str">
        <f aca="false">IF(OR(N1634="",K1634=""),"",IF(K1634=0,"",N1634/K1634))</f>
        <v/>
      </c>
      <c r="P1634" s="25"/>
      <c r="Q1634" s="25"/>
      <c r="R1634" s="25"/>
      <c r="S1634" s="36" t="str">
        <f aca="false">IF(A1634="","",YEAR(A1634)+IF(AND(FYStart&gt;1,MONTH(A1634)&gt;=FYStart),1,0))</f>
        <v/>
      </c>
      <c r="T1634" s="36" t="str">
        <f aca="false">IF(A1634="","",MOD(MONTH(A1634)-FYStart,12)+1)</f>
        <v/>
      </c>
      <c r="U1634" s="37" t="str">
        <f aca="false">IF(A1634="","",TEXT(A1634,"mmm"))</f>
        <v/>
      </c>
      <c r="V1634" s="37" t="str">
        <f aca="false">IF(Q1634="","",IFERROR(INDEX(Settings!$I$11:$I$15,MATCH(Q1634,Settings!$H$11:$H$15,0)),"No"))</f>
        <v/>
      </c>
      <c r="W1634" s="37" t="str">
        <f aca="false">IF(Q1634="","",IFERROR(INDEX(Settings!$J$11:$J$15,MATCH(Q1634,Settings!$H$11:$H$15,0)),"No"))</f>
        <v/>
      </c>
    </row>
    <row r="1635" customFormat="false" ht="15" hidden="false" customHeight="false" outlineLevel="0" collapsed="false">
      <c r="A1635" s="30"/>
      <c r="B1635" s="25"/>
      <c r="C1635" s="25"/>
      <c r="D1635" s="25"/>
      <c r="E1635" s="25"/>
      <c r="F1635" s="25"/>
      <c r="G1635" s="25"/>
      <c r="H1635" s="31"/>
      <c r="I1635" s="32"/>
      <c r="J1635" s="33"/>
      <c r="K1635" s="34" t="str">
        <f aca="false">IF(OR(H1635="",I1635=""),"",H1635*I1635*(1-N(J1635)))</f>
        <v/>
      </c>
      <c r="L1635" s="32"/>
      <c r="M1635" s="34" t="str">
        <f aca="false">IF(OR(H1635="",L1635=""),"",H1635*L1635)</f>
        <v/>
      </c>
      <c r="N1635" s="34" t="str">
        <f aca="false">IF(OR(K1635="",M1635=""),"",K1635-M1635)</f>
        <v/>
      </c>
      <c r="O1635" s="35" t="str">
        <f aca="false">IF(OR(N1635="",K1635=""),"",IF(K1635=0,"",N1635/K1635))</f>
        <v/>
      </c>
      <c r="P1635" s="25"/>
      <c r="Q1635" s="25"/>
      <c r="R1635" s="25"/>
      <c r="S1635" s="36" t="str">
        <f aca="false">IF(A1635="","",YEAR(A1635)+IF(AND(FYStart&gt;1,MONTH(A1635)&gt;=FYStart),1,0))</f>
        <v/>
      </c>
      <c r="T1635" s="36" t="str">
        <f aca="false">IF(A1635="","",MOD(MONTH(A1635)-FYStart,12)+1)</f>
        <v/>
      </c>
      <c r="U1635" s="37" t="str">
        <f aca="false">IF(A1635="","",TEXT(A1635,"mmm"))</f>
        <v/>
      </c>
      <c r="V1635" s="37" t="str">
        <f aca="false">IF(Q1635="","",IFERROR(INDEX(Settings!$I$11:$I$15,MATCH(Q1635,Settings!$H$11:$H$15,0)),"No"))</f>
        <v/>
      </c>
      <c r="W1635" s="37" t="str">
        <f aca="false">IF(Q1635="","",IFERROR(INDEX(Settings!$J$11:$J$15,MATCH(Q1635,Settings!$H$11:$H$15,0)),"No"))</f>
        <v/>
      </c>
    </row>
    <row r="1636" customFormat="false" ht="15" hidden="false" customHeight="false" outlineLevel="0" collapsed="false">
      <c r="A1636" s="30"/>
      <c r="B1636" s="25"/>
      <c r="C1636" s="25"/>
      <c r="D1636" s="25"/>
      <c r="E1636" s="25"/>
      <c r="F1636" s="25"/>
      <c r="G1636" s="25"/>
      <c r="H1636" s="31"/>
      <c r="I1636" s="32"/>
      <c r="J1636" s="33"/>
      <c r="K1636" s="34" t="str">
        <f aca="false">IF(OR(H1636="",I1636=""),"",H1636*I1636*(1-N(J1636)))</f>
        <v/>
      </c>
      <c r="L1636" s="32"/>
      <c r="M1636" s="34" t="str">
        <f aca="false">IF(OR(H1636="",L1636=""),"",H1636*L1636)</f>
        <v/>
      </c>
      <c r="N1636" s="34" t="str">
        <f aca="false">IF(OR(K1636="",M1636=""),"",K1636-M1636)</f>
        <v/>
      </c>
      <c r="O1636" s="35" t="str">
        <f aca="false">IF(OR(N1636="",K1636=""),"",IF(K1636=0,"",N1636/K1636))</f>
        <v/>
      </c>
      <c r="P1636" s="25"/>
      <c r="Q1636" s="25"/>
      <c r="R1636" s="25"/>
      <c r="S1636" s="36" t="str">
        <f aca="false">IF(A1636="","",YEAR(A1636)+IF(AND(FYStart&gt;1,MONTH(A1636)&gt;=FYStart),1,0))</f>
        <v/>
      </c>
      <c r="T1636" s="36" t="str">
        <f aca="false">IF(A1636="","",MOD(MONTH(A1636)-FYStart,12)+1)</f>
        <v/>
      </c>
      <c r="U1636" s="37" t="str">
        <f aca="false">IF(A1636="","",TEXT(A1636,"mmm"))</f>
        <v/>
      </c>
      <c r="V1636" s="37" t="str">
        <f aca="false">IF(Q1636="","",IFERROR(INDEX(Settings!$I$11:$I$15,MATCH(Q1636,Settings!$H$11:$H$15,0)),"No"))</f>
        <v/>
      </c>
      <c r="W1636" s="37" t="str">
        <f aca="false">IF(Q1636="","",IFERROR(INDEX(Settings!$J$11:$J$15,MATCH(Q1636,Settings!$H$11:$H$15,0)),"No"))</f>
        <v/>
      </c>
    </row>
    <row r="1637" customFormat="false" ht="15" hidden="false" customHeight="false" outlineLevel="0" collapsed="false">
      <c r="A1637" s="30"/>
      <c r="B1637" s="25"/>
      <c r="C1637" s="25"/>
      <c r="D1637" s="25"/>
      <c r="E1637" s="25"/>
      <c r="F1637" s="25"/>
      <c r="G1637" s="25"/>
      <c r="H1637" s="31"/>
      <c r="I1637" s="32"/>
      <c r="J1637" s="33"/>
      <c r="K1637" s="34" t="str">
        <f aca="false">IF(OR(H1637="",I1637=""),"",H1637*I1637*(1-N(J1637)))</f>
        <v/>
      </c>
      <c r="L1637" s="32"/>
      <c r="M1637" s="34" t="str">
        <f aca="false">IF(OR(H1637="",L1637=""),"",H1637*L1637)</f>
        <v/>
      </c>
      <c r="N1637" s="34" t="str">
        <f aca="false">IF(OR(K1637="",M1637=""),"",K1637-M1637)</f>
        <v/>
      </c>
      <c r="O1637" s="35" t="str">
        <f aca="false">IF(OR(N1637="",K1637=""),"",IF(K1637=0,"",N1637/K1637))</f>
        <v/>
      </c>
      <c r="P1637" s="25"/>
      <c r="Q1637" s="25"/>
      <c r="R1637" s="25"/>
      <c r="S1637" s="36" t="str">
        <f aca="false">IF(A1637="","",YEAR(A1637)+IF(AND(FYStart&gt;1,MONTH(A1637)&gt;=FYStart),1,0))</f>
        <v/>
      </c>
      <c r="T1637" s="36" t="str">
        <f aca="false">IF(A1637="","",MOD(MONTH(A1637)-FYStart,12)+1)</f>
        <v/>
      </c>
      <c r="U1637" s="37" t="str">
        <f aca="false">IF(A1637="","",TEXT(A1637,"mmm"))</f>
        <v/>
      </c>
      <c r="V1637" s="37" t="str">
        <f aca="false">IF(Q1637="","",IFERROR(INDEX(Settings!$I$11:$I$15,MATCH(Q1637,Settings!$H$11:$H$15,0)),"No"))</f>
        <v/>
      </c>
      <c r="W1637" s="37" t="str">
        <f aca="false">IF(Q1637="","",IFERROR(INDEX(Settings!$J$11:$J$15,MATCH(Q1637,Settings!$H$11:$H$15,0)),"No"))</f>
        <v/>
      </c>
    </row>
    <row r="1638" customFormat="false" ht="15" hidden="false" customHeight="false" outlineLevel="0" collapsed="false">
      <c r="A1638" s="30"/>
      <c r="B1638" s="25"/>
      <c r="C1638" s="25"/>
      <c r="D1638" s="25"/>
      <c r="E1638" s="25"/>
      <c r="F1638" s="25"/>
      <c r="G1638" s="25"/>
      <c r="H1638" s="31"/>
      <c r="I1638" s="32"/>
      <c r="J1638" s="33"/>
      <c r="K1638" s="34" t="str">
        <f aca="false">IF(OR(H1638="",I1638=""),"",H1638*I1638*(1-N(J1638)))</f>
        <v/>
      </c>
      <c r="L1638" s="32"/>
      <c r="M1638" s="34" t="str">
        <f aca="false">IF(OR(H1638="",L1638=""),"",H1638*L1638)</f>
        <v/>
      </c>
      <c r="N1638" s="34" t="str">
        <f aca="false">IF(OR(K1638="",M1638=""),"",K1638-M1638)</f>
        <v/>
      </c>
      <c r="O1638" s="35" t="str">
        <f aca="false">IF(OR(N1638="",K1638=""),"",IF(K1638=0,"",N1638/K1638))</f>
        <v/>
      </c>
      <c r="P1638" s="25"/>
      <c r="Q1638" s="25"/>
      <c r="R1638" s="25"/>
      <c r="S1638" s="36" t="str">
        <f aca="false">IF(A1638="","",YEAR(A1638)+IF(AND(FYStart&gt;1,MONTH(A1638)&gt;=FYStart),1,0))</f>
        <v/>
      </c>
      <c r="T1638" s="36" t="str">
        <f aca="false">IF(A1638="","",MOD(MONTH(A1638)-FYStart,12)+1)</f>
        <v/>
      </c>
      <c r="U1638" s="37" t="str">
        <f aca="false">IF(A1638="","",TEXT(A1638,"mmm"))</f>
        <v/>
      </c>
      <c r="V1638" s="37" t="str">
        <f aca="false">IF(Q1638="","",IFERROR(INDEX(Settings!$I$11:$I$15,MATCH(Q1638,Settings!$H$11:$H$15,0)),"No"))</f>
        <v/>
      </c>
      <c r="W1638" s="37" t="str">
        <f aca="false">IF(Q1638="","",IFERROR(INDEX(Settings!$J$11:$J$15,MATCH(Q1638,Settings!$H$11:$H$15,0)),"No"))</f>
        <v/>
      </c>
    </row>
    <row r="1639" customFormat="false" ht="15" hidden="false" customHeight="false" outlineLevel="0" collapsed="false">
      <c r="A1639" s="30"/>
      <c r="B1639" s="25"/>
      <c r="C1639" s="25"/>
      <c r="D1639" s="25"/>
      <c r="E1639" s="25"/>
      <c r="F1639" s="25"/>
      <c r="G1639" s="25"/>
      <c r="H1639" s="31"/>
      <c r="I1639" s="32"/>
      <c r="J1639" s="33"/>
      <c r="K1639" s="34" t="str">
        <f aca="false">IF(OR(H1639="",I1639=""),"",H1639*I1639*(1-N(J1639)))</f>
        <v/>
      </c>
      <c r="L1639" s="32"/>
      <c r="M1639" s="34" t="str">
        <f aca="false">IF(OR(H1639="",L1639=""),"",H1639*L1639)</f>
        <v/>
      </c>
      <c r="N1639" s="34" t="str">
        <f aca="false">IF(OR(K1639="",M1639=""),"",K1639-M1639)</f>
        <v/>
      </c>
      <c r="O1639" s="35" t="str">
        <f aca="false">IF(OR(N1639="",K1639=""),"",IF(K1639=0,"",N1639/K1639))</f>
        <v/>
      </c>
      <c r="P1639" s="25"/>
      <c r="Q1639" s="25"/>
      <c r="R1639" s="25"/>
      <c r="S1639" s="36" t="str">
        <f aca="false">IF(A1639="","",YEAR(A1639)+IF(AND(FYStart&gt;1,MONTH(A1639)&gt;=FYStart),1,0))</f>
        <v/>
      </c>
      <c r="T1639" s="36" t="str">
        <f aca="false">IF(A1639="","",MOD(MONTH(A1639)-FYStart,12)+1)</f>
        <v/>
      </c>
      <c r="U1639" s="37" t="str">
        <f aca="false">IF(A1639="","",TEXT(A1639,"mmm"))</f>
        <v/>
      </c>
      <c r="V1639" s="37" t="str">
        <f aca="false">IF(Q1639="","",IFERROR(INDEX(Settings!$I$11:$I$15,MATCH(Q1639,Settings!$H$11:$H$15,0)),"No"))</f>
        <v/>
      </c>
      <c r="W1639" s="37" t="str">
        <f aca="false">IF(Q1639="","",IFERROR(INDEX(Settings!$J$11:$J$15,MATCH(Q1639,Settings!$H$11:$H$15,0)),"No"))</f>
        <v/>
      </c>
    </row>
    <row r="1640" customFormat="false" ht="15" hidden="false" customHeight="false" outlineLevel="0" collapsed="false">
      <c r="A1640" s="30"/>
      <c r="B1640" s="25"/>
      <c r="C1640" s="25"/>
      <c r="D1640" s="25"/>
      <c r="E1640" s="25"/>
      <c r="F1640" s="25"/>
      <c r="G1640" s="25"/>
      <c r="H1640" s="31"/>
      <c r="I1640" s="32"/>
      <c r="J1640" s="33"/>
      <c r="K1640" s="34" t="str">
        <f aca="false">IF(OR(H1640="",I1640=""),"",H1640*I1640*(1-N(J1640)))</f>
        <v/>
      </c>
      <c r="L1640" s="32"/>
      <c r="M1640" s="34" t="str">
        <f aca="false">IF(OR(H1640="",L1640=""),"",H1640*L1640)</f>
        <v/>
      </c>
      <c r="N1640" s="34" t="str">
        <f aca="false">IF(OR(K1640="",M1640=""),"",K1640-M1640)</f>
        <v/>
      </c>
      <c r="O1640" s="35" t="str">
        <f aca="false">IF(OR(N1640="",K1640=""),"",IF(K1640=0,"",N1640/K1640))</f>
        <v/>
      </c>
      <c r="P1640" s="25"/>
      <c r="Q1640" s="25"/>
      <c r="R1640" s="25"/>
      <c r="S1640" s="36" t="str">
        <f aca="false">IF(A1640="","",YEAR(A1640)+IF(AND(FYStart&gt;1,MONTH(A1640)&gt;=FYStart),1,0))</f>
        <v/>
      </c>
      <c r="T1640" s="36" t="str">
        <f aca="false">IF(A1640="","",MOD(MONTH(A1640)-FYStart,12)+1)</f>
        <v/>
      </c>
      <c r="U1640" s="37" t="str">
        <f aca="false">IF(A1640="","",TEXT(A1640,"mmm"))</f>
        <v/>
      </c>
      <c r="V1640" s="37" t="str">
        <f aca="false">IF(Q1640="","",IFERROR(INDEX(Settings!$I$11:$I$15,MATCH(Q1640,Settings!$H$11:$H$15,0)),"No"))</f>
        <v/>
      </c>
      <c r="W1640" s="37" t="str">
        <f aca="false">IF(Q1640="","",IFERROR(INDEX(Settings!$J$11:$J$15,MATCH(Q1640,Settings!$H$11:$H$15,0)),"No"))</f>
        <v/>
      </c>
    </row>
    <row r="1641" customFormat="false" ht="15" hidden="false" customHeight="false" outlineLevel="0" collapsed="false">
      <c r="A1641" s="30"/>
      <c r="B1641" s="25"/>
      <c r="C1641" s="25"/>
      <c r="D1641" s="25"/>
      <c r="E1641" s="25"/>
      <c r="F1641" s="25"/>
      <c r="G1641" s="25"/>
      <c r="H1641" s="31"/>
      <c r="I1641" s="32"/>
      <c r="J1641" s="33"/>
      <c r="K1641" s="34" t="str">
        <f aca="false">IF(OR(H1641="",I1641=""),"",H1641*I1641*(1-N(J1641)))</f>
        <v/>
      </c>
      <c r="L1641" s="32"/>
      <c r="M1641" s="34" t="str">
        <f aca="false">IF(OR(H1641="",L1641=""),"",H1641*L1641)</f>
        <v/>
      </c>
      <c r="N1641" s="34" t="str">
        <f aca="false">IF(OR(K1641="",M1641=""),"",K1641-M1641)</f>
        <v/>
      </c>
      <c r="O1641" s="35" t="str">
        <f aca="false">IF(OR(N1641="",K1641=""),"",IF(K1641=0,"",N1641/K1641))</f>
        <v/>
      </c>
      <c r="P1641" s="25"/>
      <c r="Q1641" s="25"/>
      <c r="R1641" s="25"/>
      <c r="S1641" s="36" t="str">
        <f aca="false">IF(A1641="","",YEAR(A1641)+IF(AND(FYStart&gt;1,MONTH(A1641)&gt;=FYStart),1,0))</f>
        <v/>
      </c>
      <c r="T1641" s="36" t="str">
        <f aca="false">IF(A1641="","",MOD(MONTH(A1641)-FYStart,12)+1)</f>
        <v/>
      </c>
      <c r="U1641" s="37" t="str">
        <f aca="false">IF(A1641="","",TEXT(A1641,"mmm"))</f>
        <v/>
      </c>
      <c r="V1641" s="37" t="str">
        <f aca="false">IF(Q1641="","",IFERROR(INDEX(Settings!$I$11:$I$15,MATCH(Q1641,Settings!$H$11:$H$15,0)),"No"))</f>
        <v/>
      </c>
      <c r="W1641" s="37" t="str">
        <f aca="false">IF(Q1641="","",IFERROR(INDEX(Settings!$J$11:$J$15,MATCH(Q1641,Settings!$H$11:$H$15,0)),"No"))</f>
        <v/>
      </c>
    </row>
    <row r="1642" customFormat="false" ht="15" hidden="false" customHeight="false" outlineLevel="0" collapsed="false">
      <c r="A1642" s="30"/>
      <c r="B1642" s="25"/>
      <c r="C1642" s="25"/>
      <c r="D1642" s="25"/>
      <c r="E1642" s="25"/>
      <c r="F1642" s="25"/>
      <c r="G1642" s="25"/>
      <c r="H1642" s="31"/>
      <c r="I1642" s="32"/>
      <c r="J1642" s="33"/>
      <c r="K1642" s="34" t="str">
        <f aca="false">IF(OR(H1642="",I1642=""),"",H1642*I1642*(1-N(J1642)))</f>
        <v/>
      </c>
      <c r="L1642" s="32"/>
      <c r="M1642" s="34" t="str">
        <f aca="false">IF(OR(H1642="",L1642=""),"",H1642*L1642)</f>
        <v/>
      </c>
      <c r="N1642" s="34" t="str">
        <f aca="false">IF(OR(K1642="",M1642=""),"",K1642-M1642)</f>
        <v/>
      </c>
      <c r="O1642" s="35" t="str">
        <f aca="false">IF(OR(N1642="",K1642=""),"",IF(K1642=0,"",N1642/K1642))</f>
        <v/>
      </c>
      <c r="P1642" s="25"/>
      <c r="Q1642" s="25"/>
      <c r="R1642" s="25"/>
      <c r="S1642" s="36" t="str">
        <f aca="false">IF(A1642="","",YEAR(A1642)+IF(AND(FYStart&gt;1,MONTH(A1642)&gt;=FYStart),1,0))</f>
        <v/>
      </c>
      <c r="T1642" s="36" t="str">
        <f aca="false">IF(A1642="","",MOD(MONTH(A1642)-FYStart,12)+1)</f>
        <v/>
      </c>
      <c r="U1642" s="37" t="str">
        <f aca="false">IF(A1642="","",TEXT(A1642,"mmm"))</f>
        <v/>
      </c>
      <c r="V1642" s="37" t="str">
        <f aca="false">IF(Q1642="","",IFERROR(INDEX(Settings!$I$11:$I$15,MATCH(Q1642,Settings!$H$11:$H$15,0)),"No"))</f>
        <v/>
      </c>
      <c r="W1642" s="37" t="str">
        <f aca="false">IF(Q1642="","",IFERROR(INDEX(Settings!$J$11:$J$15,MATCH(Q1642,Settings!$H$11:$H$15,0)),"No"))</f>
        <v/>
      </c>
    </row>
    <row r="1643" customFormat="false" ht="15" hidden="false" customHeight="false" outlineLevel="0" collapsed="false">
      <c r="A1643" s="30"/>
      <c r="B1643" s="25"/>
      <c r="C1643" s="25"/>
      <c r="D1643" s="25"/>
      <c r="E1643" s="25"/>
      <c r="F1643" s="25"/>
      <c r="G1643" s="25"/>
      <c r="H1643" s="31"/>
      <c r="I1643" s="32"/>
      <c r="J1643" s="33"/>
      <c r="K1643" s="34" t="str">
        <f aca="false">IF(OR(H1643="",I1643=""),"",H1643*I1643*(1-N(J1643)))</f>
        <v/>
      </c>
      <c r="L1643" s="32"/>
      <c r="M1643" s="34" t="str">
        <f aca="false">IF(OR(H1643="",L1643=""),"",H1643*L1643)</f>
        <v/>
      </c>
      <c r="N1643" s="34" t="str">
        <f aca="false">IF(OR(K1643="",M1643=""),"",K1643-M1643)</f>
        <v/>
      </c>
      <c r="O1643" s="35" t="str">
        <f aca="false">IF(OR(N1643="",K1643=""),"",IF(K1643=0,"",N1643/K1643))</f>
        <v/>
      </c>
      <c r="P1643" s="25"/>
      <c r="Q1643" s="25"/>
      <c r="R1643" s="25"/>
      <c r="S1643" s="36" t="str">
        <f aca="false">IF(A1643="","",YEAR(A1643)+IF(AND(FYStart&gt;1,MONTH(A1643)&gt;=FYStart),1,0))</f>
        <v/>
      </c>
      <c r="T1643" s="36" t="str">
        <f aca="false">IF(A1643="","",MOD(MONTH(A1643)-FYStart,12)+1)</f>
        <v/>
      </c>
      <c r="U1643" s="37" t="str">
        <f aca="false">IF(A1643="","",TEXT(A1643,"mmm"))</f>
        <v/>
      </c>
      <c r="V1643" s="37" t="str">
        <f aca="false">IF(Q1643="","",IFERROR(INDEX(Settings!$I$11:$I$15,MATCH(Q1643,Settings!$H$11:$H$15,0)),"No"))</f>
        <v/>
      </c>
      <c r="W1643" s="37" t="str">
        <f aca="false">IF(Q1643="","",IFERROR(INDEX(Settings!$J$11:$J$15,MATCH(Q1643,Settings!$H$11:$H$15,0)),"No"))</f>
        <v/>
      </c>
    </row>
    <row r="1644" customFormat="false" ht="15" hidden="false" customHeight="false" outlineLevel="0" collapsed="false">
      <c r="A1644" s="30"/>
      <c r="B1644" s="25"/>
      <c r="C1644" s="25"/>
      <c r="D1644" s="25"/>
      <c r="E1644" s="25"/>
      <c r="F1644" s="25"/>
      <c r="G1644" s="25"/>
      <c r="H1644" s="31"/>
      <c r="I1644" s="32"/>
      <c r="J1644" s="33"/>
      <c r="K1644" s="34" t="str">
        <f aca="false">IF(OR(H1644="",I1644=""),"",H1644*I1644*(1-N(J1644)))</f>
        <v/>
      </c>
      <c r="L1644" s="32"/>
      <c r="M1644" s="34" t="str">
        <f aca="false">IF(OR(H1644="",L1644=""),"",H1644*L1644)</f>
        <v/>
      </c>
      <c r="N1644" s="34" t="str">
        <f aca="false">IF(OR(K1644="",M1644=""),"",K1644-M1644)</f>
        <v/>
      </c>
      <c r="O1644" s="35" t="str">
        <f aca="false">IF(OR(N1644="",K1644=""),"",IF(K1644=0,"",N1644/K1644))</f>
        <v/>
      </c>
      <c r="P1644" s="25"/>
      <c r="Q1644" s="25"/>
      <c r="R1644" s="25"/>
      <c r="S1644" s="36" t="str">
        <f aca="false">IF(A1644="","",YEAR(A1644)+IF(AND(FYStart&gt;1,MONTH(A1644)&gt;=FYStart),1,0))</f>
        <v/>
      </c>
      <c r="T1644" s="36" t="str">
        <f aca="false">IF(A1644="","",MOD(MONTH(A1644)-FYStart,12)+1)</f>
        <v/>
      </c>
      <c r="U1644" s="37" t="str">
        <f aca="false">IF(A1644="","",TEXT(A1644,"mmm"))</f>
        <v/>
      </c>
      <c r="V1644" s="37" t="str">
        <f aca="false">IF(Q1644="","",IFERROR(INDEX(Settings!$I$11:$I$15,MATCH(Q1644,Settings!$H$11:$H$15,0)),"No"))</f>
        <v/>
      </c>
      <c r="W1644" s="37" t="str">
        <f aca="false">IF(Q1644="","",IFERROR(INDEX(Settings!$J$11:$J$15,MATCH(Q1644,Settings!$H$11:$H$15,0)),"No"))</f>
        <v/>
      </c>
    </row>
    <row r="1645" customFormat="false" ht="15" hidden="false" customHeight="false" outlineLevel="0" collapsed="false">
      <c r="A1645" s="30"/>
      <c r="B1645" s="25"/>
      <c r="C1645" s="25"/>
      <c r="D1645" s="25"/>
      <c r="E1645" s="25"/>
      <c r="F1645" s="25"/>
      <c r="G1645" s="25"/>
      <c r="H1645" s="31"/>
      <c r="I1645" s="32"/>
      <c r="J1645" s="33"/>
      <c r="K1645" s="34" t="str">
        <f aca="false">IF(OR(H1645="",I1645=""),"",H1645*I1645*(1-N(J1645)))</f>
        <v/>
      </c>
      <c r="L1645" s="32"/>
      <c r="M1645" s="34" t="str">
        <f aca="false">IF(OR(H1645="",L1645=""),"",H1645*L1645)</f>
        <v/>
      </c>
      <c r="N1645" s="34" t="str">
        <f aca="false">IF(OR(K1645="",M1645=""),"",K1645-M1645)</f>
        <v/>
      </c>
      <c r="O1645" s="35" t="str">
        <f aca="false">IF(OR(N1645="",K1645=""),"",IF(K1645=0,"",N1645/K1645))</f>
        <v/>
      </c>
      <c r="P1645" s="25"/>
      <c r="Q1645" s="25"/>
      <c r="R1645" s="25"/>
      <c r="S1645" s="36" t="str">
        <f aca="false">IF(A1645="","",YEAR(A1645)+IF(AND(FYStart&gt;1,MONTH(A1645)&gt;=FYStart),1,0))</f>
        <v/>
      </c>
      <c r="T1645" s="36" t="str">
        <f aca="false">IF(A1645="","",MOD(MONTH(A1645)-FYStart,12)+1)</f>
        <v/>
      </c>
      <c r="U1645" s="37" t="str">
        <f aca="false">IF(A1645="","",TEXT(A1645,"mmm"))</f>
        <v/>
      </c>
      <c r="V1645" s="37" t="str">
        <f aca="false">IF(Q1645="","",IFERROR(INDEX(Settings!$I$11:$I$15,MATCH(Q1645,Settings!$H$11:$H$15,0)),"No"))</f>
        <v/>
      </c>
      <c r="W1645" s="37" t="str">
        <f aca="false">IF(Q1645="","",IFERROR(INDEX(Settings!$J$11:$J$15,MATCH(Q1645,Settings!$H$11:$H$15,0)),"No"))</f>
        <v/>
      </c>
    </row>
    <row r="1646" customFormat="false" ht="15" hidden="false" customHeight="false" outlineLevel="0" collapsed="false">
      <c r="A1646" s="30"/>
      <c r="B1646" s="25"/>
      <c r="C1646" s="25"/>
      <c r="D1646" s="25"/>
      <c r="E1646" s="25"/>
      <c r="F1646" s="25"/>
      <c r="G1646" s="25"/>
      <c r="H1646" s="31"/>
      <c r="I1646" s="32"/>
      <c r="J1646" s="33"/>
      <c r="K1646" s="34" t="str">
        <f aca="false">IF(OR(H1646="",I1646=""),"",H1646*I1646*(1-N(J1646)))</f>
        <v/>
      </c>
      <c r="L1646" s="32"/>
      <c r="M1646" s="34" t="str">
        <f aca="false">IF(OR(H1646="",L1646=""),"",H1646*L1646)</f>
        <v/>
      </c>
      <c r="N1646" s="34" t="str">
        <f aca="false">IF(OR(K1646="",M1646=""),"",K1646-M1646)</f>
        <v/>
      </c>
      <c r="O1646" s="35" t="str">
        <f aca="false">IF(OR(N1646="",K1646=""),"",IF(K1646=0,"",N1646/K1646))</f>
        <v/>
      </c>
      <c r="P1646" s="25"/>
      <c r="Q1646" s="25"/>
      <c r="R1646" s="25"/>
      <c r="S1646" s="36" t="str">
        <f aca="false">IF(A1646="","",YEAR(A1646)+IF(AND(FYStart&gt;1,MONTH(A1646)&gt;=FYStart),1,0))</f>
        <v/>
      </c>
      <c r="T1646" s="36" t="str">
        <f aca="false">IF(A1646="","",MOD(MONTH(A1646)-FYStart,12)+1)</f>
        <v/>
      </c>
      <c r="U1646" s="37" t="str">
        <f aca="false">IF(A1646="","",TEXT(A1646,"mmm"))</f>
        <v/>
      </c>
      <c r="V1646" s="37" t="str">
        <f aca="false">IF(Q1646="","",IFERROR(INDEX(Settings!$I$11:$I$15,MATCH(Q1646,Settings!$H$11:$H$15,0)),"No"))</f>
        <v/>
      </c>
      <c r="W1646" s="37" t="str">
        <f aca="false">IF(Q1646="","",IFERROR(INDEX(Settings!$J$11:$J$15,MATCH(Q1646,Settings!$H$11:$H$15,0)),"No"))</f>
        <v/>
      </c>
    </row>
    <row r="1647" customFormat="false" ht="15" hidden="false" customHeight="false" outlineLevel="0" collapsed="false">
      <c r="A1647" s="30"/>
      <c r="B1647" s="25"/>
      <c r="C1647" s="25"/>
      <c r="D1647" s="25"/>
      <c r="E1647" s="25"/>
      <c r="F1647" s="25"/>
      <c r="G1647" s="25"/>
      <c r="H1647" s="31"/>
      <c r="I1647" s="32"/>
      <c r="J1647" s="33"/>
      <c r="K1647" s="34" t="str">
        <f aca="false">IF(OR(H1647="",I1647=""),"",H1647*I1647*(1-N(J1647)))</f>
        <v/>
      </c>
      <c r="L1647" s="32"/>
      <c r="M1647" s="34" t="str">
        <f aca="false">IF(OR(H1647="",L1647=""),"",H1647*L1647)</f>
        <v/>
      </c>
      <c r="N1647" s="34" t="str">
        <f aca="false">IF(OR(K1647="",M1647=""),"",K1647-M1647)</f>
        <v/>
      </c>
      <c r="O1647" s="35" t="str">
        <f aca="false">IF(OR(N1647="",K1647=""),"",IF(K1647=0,"",N1647/K1647))</f>
        <v/>
      </c>
      <c r="P1647" s="25"/>
      <c r="Q1647" s="25"/>
      <c r="R1647" s="25"/>
      <c r="S1647" s="36" t="str">
        <f aca="false">IF(A1647="","",YEAR(A1647)+IF(AND(FYStart&gt;1,MONTH(A1647)&gt;=FYStart),1,0))</f>
        <v/>
      </c>
      <c r="T1647" s="36" t="str">
        <f aca="false">IF(A1647="","",MOD(MONTH(A1647)-FYStart,12)+1)</f>
        <v/>
      </c>
      <c r="U1647" s="37" t="str">
        <f aca="false">IF(A1647="","",TEXT(A1647,"mmm"))</f>
        <v/>
      </c>
      <c r="V1647" s="37" t="str">
        <f aca="false">IF(Q1647="","",IFERROR(INDEX(Settings!$I$11:$I$15,MATCH(Q1647,Settings!$H$11:$H$15,0)),"No"))</f>
        <v/>
      </c>
      <c r="W1647" s="37" t="str">
        <f aca="false">IF(Q1647="","",IFERROR(INDEX(Settings!$J$11:$J$15,MATCH(Q1647,Settings!$H$11:$H$15,0)),"No"))</f>
        <v/>
      </c>
    </row>
    <row r="1648" customFormat="false" ht="15" hidden="false" customHeight="false" outlineLevel="0" collapsed="false">
      <c r="A1648" s="30"/>
      <c r="B1648" s="25"/>
      <c r="C1648" s="25"/>
      <c r="D1648" s="25"/>
      <c r="E1648" s="25"/>
      <c r="F1648" s="25"/>
      <c r="G1648" s="25"/>
      <c r="H1648" s="31"/>
      <c r="I1648" s="32"/>
      <c r="J1648" s="33"/>
      <c r="K1648" s="34" t="str">
        <f aca="false">IF(OR(H1648="",I1648=""),"",H1648*I1648*(1-N(J1648)))</f>
        <v/>
      </c>
      <c r="L1648" s="32"/>
      <c r="M1648" s="34" t="str">
        <f aca="false">IF(OR(H1648="",L1648=""),"",H1648*L1648)</f>
        <v/>
      </c>
      <c r="N1648" s="34" t="str">
        <f aca="false">IF(OR(K1648="",M1648=""),"",K1648-M1648)</f>
        <v/>
      </c>
      <c r="O1648" s="35" t="str">
        <f aca="false">IF(OR(N1648="",K1648=""),"",IF(K1648=0,"",N1648/K1648))</f>
        <v/>
      </c>
      <c r="P1648" s="25"/>
      <c r="Q1648" s="25"/>
      <c r="R1648" s="25"/>
      <c r="S1648" s="36" t="str">
        <f aca="false">IF(A1648="","",YEAR(A1648)+IF(AND(FYStart&gt;1,MONTH(A1648)&gt;=FYStart),1,0))</f>
        <v/>
      </c>
      <c r="T1648" s="36" t="str">
        <f aca="false">IF(A1648="","",MOD(MONTH(A1648)-FYStart,12)+1)</f>
        <v/>
      </c>
      <c r="U1648" s="37" t="str">
        <f aca="false">IF(A1648="","",TEXT(A1648,"mmm"))</f>
        <v/>
      </c>
      <c r="V1648" s="37" t="str">
        <f aca="false">IF(Q1648="","",IFERROR(INDEX(Settings!$I$11:$I$15,MATCH(Q1648,Settings!$H$11:$H$15,0)),"No"))</f>
        <v/>
      </c>
      <c r="W1648" s="37" t="str">
        <f aca="false">IF(Q1648="","",IFERROR(INDEX(Settings!$J$11:$J$15,MATCH(Q1648,Settings!$H$11:$H$15,0)),"No"))</f>
        <v/>
      </c>
    </row>
    <row r="1649" customFormat="false" ht="15" hidden="false" customHeight="false" outlineLevel="0" collapsed="false">
      <c r="A1649" s="30"/>
      <c r="B1649" s="25"/>
      <c r="C1649" s="25"/>
      <c r="D1649" s="25"/>
      <c r="E1649" s="25"/>
      <c r="F1649" s="25"/>
      <c r="G1649" s="25"/>
      <c r="H1649" s="31"/>
      <c r="I1649" s="32"/>
      <c r="J1649" s="33"/>
      <c r="K1649" s="34" t="str">
        <f aca="false">IF(OR(H1649="",I1649=""),"",H1649*I1649*(1-N(J1649)))</f>
        <v/>
      </c>
      <c r="L1649" s="32"/>
      <c r="M1649" s="34" t="str">
        <f aca="false">IF(OR(H1649="",L1649=""),"",H1649*L1649)</f>
        <v/>
      </c>
      <c r="N1649" s="34" t="str">
        <f aca="false">IF(OR(K1649="",M1649=""),"",K1649-M1649)</f>
        <v/>
      </c>
      <c r="O1649" s="35" t="str">
        <f aca="false">IF(OR(N1649="",K1649=""),"",IF(K1649=0,"",N1649/K1649))</f>
        <v/>
      </c>
      <c r="P1649" s="25"/>
      <c r="Q1649" s="25"/>
      <c r="R1649" s="25"/>
      <c r="S1649" s="36" t="str">
        <f aca="false">IF(A1649="","",YEAR(A1649)+IF(AND(FYStart&gt;1,MONTH(A1649)&gt;=FYStart),1,0))</f>
        <v/>
      </c>
      <c r="T1649" s="36" t="str">
        <f aca="false">IF(A1649="","",MOD(MONTH(A1649)-FYStart,12)+1)</f>
        <v/>
      </c>
      <c r="U1649" s="37" t="str">
        <f aca="false">IF(A1649="","",TEXT(A1649,"mmm"))</f>
        <v/>
      </c>
      <c r="V1649" s="37" t="str">
        <f aca="false">IF(Q1649="","",IFERROR(INDEX(Settings!$I$11:$I$15,MATCH(Q1649,Settings!$H$11:$H$15,0)),"No"))</f>
        <v/>
      </c>
      <c r="W1649" s="37" t="str">
        <f aca="false">IF(Q1649="","",IFERROR(INDEX(Settings!$J$11:$J$15,MATCH(Q1649,Settings!$H$11:$H$15,0)),"No"))</f>
        <v/>
      </c>
    </row>
    <row r="1650" customFormat="false" ht="15" hidden="false" customHeight="false" outlineLevel="0" collapsed="false">
      <c r="A1650" s="30"/>
      <c r="B1650" s="25"/>
      <c r="C1650" s="25"/>
      <c r="D1650" s="25"/>
      <c r="E1650" s="25"/>
      <c r="F1650" s="25"/>
      <c r="G1650" s="25"/>
      <c r="H1650" s="31"/>
      <c r="I1650" s="32"/>
      <c r="J1650" s="33"/>
      <c r="K1650" s="34" t="str">
        <f aca="false">IF(OR(H1650="",I1650=""),"",H1650*I1650*(1-N(J1650)))</f>
        <v/>
      </c>
      <c r="L1650" s="32"/>
      <c r="M1650" s="34" t="str">
        <f aca="false">IF(OR(H1650="",L1650=""),"",H1650*L1650)</f>
        <v/>
      </c>
      <c r="N1650" s="34" t="str">
        <f aca="false">IF(OR(K1650="",M1650=""),"",K1650-M1650)</f>
        <v/>
      </c>
      <c r="O1650" s="35" t="str">
        <f aca="false">IF(OR(N1650="",K1650=""),"",IF(K1650=0,"",N1650/K1650))</f>
        <v/>
      </c>
      <c r="P1650" s="25"/>
      <c r="Q1650" s="25"/>
      <c r="R1650" s="25"/>
      <c r="S1650" s="36" t="str">
        <f aca="false">IF(A1650="","",YEAR(A1650)+IF(AND(FYStart&gt;1,MONTH(A1650)&gt;=FYStart),1,0))</f>
        <v/>
      </c>
      <c r="T1650" s="36" t="str">
        <f aca="false">IF(A1650="","",MOD(MONTH(A1650)-FYStart,12)+1)</f>
        <v/>
      </c>
      <c r="U1650" s="37" t="str">
        <f aca="false">IF(A1650="","",TEXT(A1650,"mmm"))</f>
        <v/>
      </c>
      <c r="V1650" s="37" t="str">
        <f aca="false">IF(Q1650="","",IFERROR(INDEX(Settings!$I$11:$I$15,MATCH(Q1650,Settings!$H$11:$H$15,0)),"No"))</f>
        <v/>
      </c>
      <c r="W1650" s="37" t="str">
        <f aca="false">IF(Q1650="","",IFERROR(INDEX(Settings!$J$11:$J$15,MATCH(Q1650,Settings!$H$11:$H$15,0)),"No"))</f>
        <v/>
      </c>
    </row>
    <row r="1651" customFormat="false" ht="15" hidden="false" customHeight="false" outlineLevel="0" collapsed="false">
      <c r="A1651" s="30"/>
      <c r="B1651" s="25"/>
      <c r="C1651" s="25"/>
      <c r="D1651" s="25"/>
      <c r="E1651" s="25"/>
      <c r="F1651" s="25"/>
      <c r="G1651" s="25"/>
      <c r="H1651" s="31"/>
      <c r="I1651" s="32"/>
      <c r="J1651" s="33"/>
      <c r="K1651" s="34" t="str">
        <f aca="false">IF(OR(H1651="",I1651=""),"",H1651*I1651*(1-N(J1651)))</f>
        <v/>
      </c>
      <c r="L1651" s="32"/>
      <c r="M1651" s="34" t="str">
        <f aca="false">IF(OR(H1651="",L1651=""),"",H1651*L1651)</f>
        <v/>
      </c>
      <c r="N1651" s="34" t="str">
        <f aca="false">IF(OR(K1651="",M1651=""),"",K1651-M1651)</f>
        <v/>
      </c>
      <c r="O1651" s="35" t="str">
        <f aca="false">IF(OR(N1651="",K1651=""),"",IF(K1651=0,"",N1651/K1651))</f>
        <v/>
      </c>
      <c r="P1651" s="25"/>
      <c r="Q1651" s="25"/>
      <c r="R1651" s="25"/>
      <c r="S1651" s="36" t="str">
        <f aca="false">IF(A1651="","",YEAR(A1651)+IF(AND(FYStart&gt;1,MONTH(A1651)&gt;=FYStart),1,0))</f>
        <v/>
      </c>
      <c r="T1651" s="36" t="str">
        <f aca="false">IF(A1651="","",MOD(MONTH(A1651)-FYStart,12)+1)</f>
        <v/>
      </c>
      <c r="U1651" s="37" t="str">
        <f aca="false">IF(A1651="","",TEXT(A1651,"mmm"))</f>
        <v/>
      </c>
      <c r="V1651" s="37" t="str">
        <f aca="false">IF(Q1651="","",IFERROR(INDEX(Settings!$I$11:$I$15,MATCH(Q1651,Settings!$H$11:$H$15,0)),"No"))</f>
        <v/>
      </c>
      <c r="W1651" s="37" t="str">
        <f aca="false">IF(Q1651="","",IFERROR(INDEX(Settings!$J$11:$J$15,MATCH(Q1651,Settings!$H$11:$H$15,0)),"No"))</f>
        <v/>
      </c>
    </row>
    <row r="1652" customFormat="false" ht="15" hidden="false" customHeight="false" outlineLevel="0" collapsed="false">
      <c r="A1652" s="30"/>
      <c r="B1652" s="25"/>
      <c r="C1652" s="25"/>
      <c r="D1652" s="25"/>
      <c r="E1652" s="25"/>
      <c r="F1652" s="25"/>
      <c r="G1652" s="25"/>
      <c r="H1652" s="31"/>
      <c r="I1652" s="32"/>
      <c r="J1652" s="33"/>
      <c r="K1652" s="34" t="str">
        <f aca="false">IF(OR(H1652="",I1652=""),"",H1652*I1652*(1-N(J1652)))</f>
        <v/>
      </c>
      <c r="L1652" s="32"/>
      <c r="M1652" s="34" t="str">
        <f aca="false">IF(OR(H1652="",L1652=""),"",H1652*L1652)</f>
        <v/>
      </c>
      <c r="N1652" s="34" t="str">
        <f aca="false">IF(OR(K1652="",M1652=""),"",K1652-M1652)</f>
        <v/>
      </c>
      <c r="O1652" s="35" t="str">
        <f aca="false">IF(OR(N1652="",K1652=""),"",IF(K1652=0,"",N1652/K1652))</f>
        <v/>
      </c>
      <c r="P1652" s="25"/>
      <c r="Q1652" s="25"/>
      <c r="R1652" s="25"/>
      <c r="S1652" s="36" t="str">
        <f aca="false">IF(A1652="","",YEAR(A1652)+IF(AND(FYStart&gt;1,MONTH(A1652)&gt;=FYStart),1,0))</f>
        <v/>
      </c>
      <c r="T1652" s="36" t="str">
        <f aca="false">IF(A1652="","",MOD(MONTH(A1652)-FYStart,12)+1)</f>
        <v/>
      </c>
      <c r="U1652" s="37" t="str">
        <f aca="false">IF(A1652="","",TEXT(A1652,"mmm"))</f>
        <v/>
      </c>
      <c r="V1652" s="37" t="str">
        <f aca="false">IF(Q1652="","",IFERROR(INDEX(Settings!$I$11:$I$15,MATCH(Q1652,Settings!$H$11:$H$15,0)),"No"))</f>
        <v/>
      </c>
      <c r="W1652" s="37" t="str">
        <f aca="false">IF(Q1652="","",IFERROR(INDEX(Settings!$J$11:$J$15,MATCH(Q1652,Settings!$H$11:$H$15,0)),"No"))</f>
        <v/>
      </c>
    </row>
    <row r="1653" customFormat="false" ht="15" hidden="false" customHeight="false" outlineLevel="0" collapsed="false">
      <c r="A1653" s="30"/>
      <c r="B1653" s="25"/>
      <c r="C1653" s="25"/>
      <c r="D1653" s="25"/>
      <c r="E1653" s="25"/>
      <c r="F1653" s="25"/>
      <c r="G1653" s="25"/>
      <c r="H1653" s="31"/>
      <c r="I1653" s="32"/>
      <c r="J1653" s="33"/>
      <c r="K1653" s="34" t="str">
        <f aca="false">IF(OR(H1653="",I1653=""),"",H1653*I1653*(1-N(J1653)))</f>
        <v/>
      </c>
      <c r="L1653" s="32"/>
      <c r="M1653" s="34" t="str">
        <f aca="false">IF(OR(H1653="",L1653=""),"",H1653*L1653)</f>
        <v/>
      </c>
      <c r="N1653" s="34" t="str">
        <f aca="false">IF(OR(K1653="",M1653=""),"",K1653-M1653)</f>
        <v/>
      </c>
      <c r="O1653" s="35" t="str">
        <f aca="false">IF(OR(N1653="",K1653=""),"",IF(K1653=0,"",N1653/K1653))</f>
        <v/>
      </c>
      <c r="P1653" s="25"/>
      <c r="Q1653" s="25"/>
      <c r="R1653" s="25"/>
      <c r="S1653" s="36" t="str">
        <f aca="false">IF(A1653="","",YEAR(A1653)+IF(AND(FYStart&gt;1,MONTH(A1653)&gt;=FYStart),1,0))</f>
        <v/>
      </c>
      <c r="T1653" s="36" t="str">
        <f aca="false">IF(A1653="","",MOD(MONTH(A1653)-FYStart,12)+1)</f>
        <v/>
      </c>
      <c r="U1653" s="37" t="str">
        <f aca="false">IF(A1653="","",TEXT(A1653,"mmm"))</f>
        <v/>
      </c>
      <c r="V1653" s="37" t="str">
        <f aca="false">IF(Q1653="","",IFERROR(INDEX(Settings!$I$11:$I$15,MATCH(Q1653,Settings!$H$11:$H$15,0)),"No"))</f>
        <v/>
      </c>
      <c r="W1653" s="37" t="str">
        <f aca="false">IF(Q1653="","",IFERROR(INDEX(Settings!$J$11:$J$15,MATCH(Q1653,Settings!$H$11:$H$15,0)),"No"))</f>
        <v/>
      </c>
    </row>
    <row r="1654" customFormat="false" ht="15" hidden="false" customHeight="false" outlineLevel="0" collapsed="false">
      <c r="A1654" s="30"/>
      <c r="B1654" s="25"/>
      <c r="C1654" s="25"/>
      <c r="D1654" s="25"/>
      <c r="E1654" s="25"/>
      <c r="F1654" s="25"/>
      <c r="G1654" s="25"/>
      <c r="H1654" s="31"/>
      <c r="I1654" s="32"/>
      <c r="J1654" s="33"/>
      <c r="K1654" s="34" t="str">
        <f aca="false">IF(OR(H1654="",I1654=""),"",H1654*I1654*(1-N(J1654)))</f>
        <v/>
      </c>
      <c r="L1654" s="32"/>
      <c r="M1654" s="34" t="str">
        <f aca="false">IF(OR(H1654="",L1654=""),"",H1654*L1654)</f>
        <v/>
      </c>
      <c r="N1654" s="34" t="str">
        <f aca="false">IF(OR(K1654="",M1654=""),"",K1654-M1654)</f>
        <v/>
      </c>
      <c r="O1654" s="35" t="str">
        <f aca="false">IF(OR(N1654="",K1654=""),"",IF(K1654=0,"",N1654/K1654))</f>
        <v/>
      </c>
      <c r="P1654" s="25"/>
      <c r="Q1654" s="25"/>
      <c r="R1654" s="25"/>
      <c r="S1654" s="36" t="str">
        <f aca="false">IF(A1654="","",YEAR(A1654)+IF(AND(FYStart&gt;1,MONTH(A1654)&gt;=FYStart),1,0))</f>
        <v/>
      </c>
      <c r="T1654" s="36" t="str">
        <f aca="false">IF(A1654="","",MOD(MONTH(A1654)-FYStart,12)+1)</f>
        <v/>
      </c>
      <c r="U1654" s="37" t="str">
        <f aca="false">IF(A1654="","",TEXT(A1654,"mmm"))</f>
        <v/>
      </c>
      <c r="V1654" s="37" t="str">
        <f aca="false">IF(Q1654="","",IFERROR(INDEX(Settings!$I$11:$I$15,MATCH(Q1654,Settings!$H$11:$H$15,0)),"No"))</f>
        <v/>
      </c>
      <c r="W1654" s="37" t="str">
        <f aca="false">IF(Q1654="","",IFERROR(INDEX(Settings!$J$11:$J$15,MATCH(Q1654,Settings!$H$11:$H$15,0)),"No"))</f>
        <v/>
      </c>
    </row>
    <row r="1655" customFormat="false" ht="15" hidden="false" customHeight="false" outlineLevel="0" collapsed="false">
      <c r="A1655" s="30"/>
      <c r="B1655" s="25"/>
      <c r="C1655" s="25"/>
      <c r="D1655" s="25"/>
      <c r="E1655" s="25"/>
      <c r="F1655" s="25"/>
      <c r="G1655" s="25"/>
      <c r="H1655" s="31"/>
      <c r="I1655" s="32"/>
      <c r="J1655" s="33"/>
      <c r="K1655" s="34" t="str">
        <f aca="false">IF(OR(H1655="",I1655=""),"",H1655*I1655*(1-N(J1655)))</f>
        <v/>
      </c>
      <c r="L1655" s="32"/>
      <c r="M1655" s="34" t="str">
        <f aca="false">IF(OR(H1655="",L1655=""),"",H1655*L1655)</f>
        <v/>
      </c>
      <c r="N1655" s="34" t="str">
        <f aca="false">IF(OR(K1655="",M1655=""),"",K1655-M1655)</f>
        <v/>
      </c>
      <c r="O1655" s="35" t="str">
        <f aca="false">IF(OR(N1655="",K1655=""),"",IF(K1655=0,"",N1655/K1655))</f>
        <v/>
      </c>
      <c r="P1655" s="25"/>
      <c r="Q1655" s="25"/>
      <c r="R1655" s="25"/>
      <c r="S1655" s="36" t="str">
        <f aca="false">IF(A1655="","",YEAR(A1655)+IF(AND(FYStart&gt;1,MONTH(A1655)&gt;=FYStart),1,0))</f>
        <v/>
      </c>
      <c r="T1655" s="36" t="str">
        <f aca="false">IF(A1655="","",MOD(MONTH(A1655)-FYStart,12)+1)</f>
        <v/>
      </c>
      <c r="U1655" s="37" t="str">
        <f aca="false">IF(A1655="","",TEXT(A1655,"mmm"))</f>
        <v/>
      </c>
      <c r="V1655" s="37" t="str">
        <f aca="false">IF(Q1655="","",IFERROR(INDEX(Settings!$I$11:$I$15,MATCH(Q1655,Settings!$H$11:$H$15,0)),"No"))</f>
        <v/>
      </c>
      <c r="W1655" s="37" t="str">
        <f aca="false">IF(Q1655="","",IFERROR(INDEX(Settings!$J$11:$J$15,MATCH(Q1655,Settings!$H$11:$H$15,0)),"No"))</f>
        <v/>
      </c>
    </row>
    <row r="1656" customFormat="false" ht="15" hidden="false" customHeight="false" outlineLevel="0" collapsed="false">
      <c r="A1656" s="30"/>
      <c r="B1656" s="25"/>
      <c r="C1656" s="25"/>
      <c r="D1656" s="25"/>
      <c r="E1656" s="25"/>
      <c r="F1656" s="25"/>
      <c r="G1656" s="25"/>
      <c r="H1656" s="31"/>
      <c r="I1656" s="32"/>
      <c r="J1656" s="33"/>
      <c r="K1656" s="34" t="str">
        <f aca="false">IF(OR(H1656="",I1656=""),"",H1656*I1656*(1-N(J1656)))</f>
        <v/>
      </c>
      <c r="L1656" s="32"/>
      <c r="M1656" s="34" t="str">
        <f aca="false">IF(OR(H1656="",L1656=""),"",H1656*L1656)</f>
        <v/>
      </c>
      <c r="N1656" s="34" t="str">
        <f aca="false">IF(OR(K1656="",M1656=""),"",K1656-M1656)</f>
        <v/>
      </c>
      <c r="O1656" s="35" t="str">
        <f aca="false">IF(OR(N1656="",K1656=""),"",IF(K1656=0,"",N1656/K1656))</f>
        <v/>
      </c>
      <c r="P1656" s="25"/>
      <c r="Q1656" s="25"/>
      <c r="R1656" s="25"/>
      <c r="S1656" s="36" t="str">
        <f aca="false">IF(A1656="","",YEAR(A1656)+IF(AND(FYStart&gt;1,MONTH(A1656)&gt;=FYStart),1,0))</f>
        <v/>
      </c>
      <c r="T1656" s="36" t="str">
        <f aca="false">IF(A1656="","",MOD(MONTH(A1656)-FYStart,12)+1)</f>
        <v/>
      </c>
      <c r="U1656" s="37" t="str">
        <f aca="false">IF(A1656="","",TEXT(A1656,"mmm"))</f>
        <v/>
      </c>
      <c r="V1656" s="37" t="str">
        <f aca="false">IF(Q1656="","",IFERROR(INDEX(Settings!$I$11:$I$15,MATCH(Q1656,Settings!$H$11:$H$15,0)),"No"))</f>
        <v/>
      </c>
      <c r="W1656" s="37" t="str">
        <f aca="false">IF(Q1656="","",IFERROR(INDEX(Settings!$J$11:$J$15,MATCH(Q1656,Settings!$H$11:$H$15,0)),"No"))</f>
        <v/>
      </c>
    </row>
    <row r="1657" customFormat="false" ht="15" hidden="false" customHeight="false" outlineLevel="0" collapsed="false">
      <c r="A1657" s="30"/>
      <c r="B1657" s="25"/>
      <c r="C1657" s="25"/>
      <c r="D1657" s="25"/>
      <c r="E1657" s="25"/>
      <c r="F1657" s="25"/>
      <c r="G1657" s="25"/>
      <c r="H1657" s="31"/>
      <c r="I1657" s="32"/>
      <c r="J1657" s="33"/>
      <c r="K1657" s="34" t="str">
        <f aca="false">IF(OR(H1657="",I1657=""),"",H1657*I1657*(1-N(J1657)))</f>
        <v/>
      </c>
      <c r="L1657" s="32"/>
      <c r="M1657" s="34" t="str">
        <f aca="false">IF(OR(H1657="",L1657=""),"",H1657*L1657)</f>
        <v/>
      </c>
      <c r="N1657" s="34" t="str">
        <f aca="false">IF(OR(K1657="",M1657=""),"",K1657-M1657)</f>
        <v/>
      </c>
      <c r="O1657" s="35" t="str">
        <f aca="false">IF(OR(N1657="",K1657=""),"",IF(K1657=0,"",N1657/K1657))</f>
        <v/>
      </c>
      <c r="P1657" s="25"/>
      <c r="Q1657" s="25"/>
      <c r="R1657" s="25"/>
      <c r="S1657" s="36" t="str">
        <f aca="false">IF(A1657="","",YEAR(A1657)+IF(AND(FYStart&gt;1,MONTH(A1657)&gt;=FYStart),1,0))</f>
        <v/>
      </c>
      <c r="T1657" s="36" t="str">
        <f aca="false">IF(A1657="","",MOD(MONTH(A1657)-FYStart,12)+1)</f>
        <v/>
      </c>
      <c r="U1657" s="37" t="str">
        <f aca="false">IF(A1657="","",TEXT(A1657,"mmm"))</f>
        <v/>
      </c>
      <c r="V1657" s="37" t="str">
        <f aca="false">IF(Q1657="","",IFERROR(INDEX(Settings!$I$11:$I$15,MATCH(Q1657,Settings!$H$11:$H$15,0)),"No"))</f>
        <v/>
      </c>
      <c r="W1657" s="37" t="str">
        <f aca="false">IF(Q1657="","",IFERROR(INDEX(Settings!$J$11:$J$15,MATCH(Q1657,Settings!$H$11:$H$15,0)),"No"))</f>
        <v/>
      </c>
    </row>
    <row r="1658" customFormat="false" ht="15" hidden="false" customHeight="false" outlineLevel="0" collapsed="false">
      <c r="A1658" s="30"/>
      <c r="B1658" s="25"/>
      <c r="C1658" s="25"/>
      <c r="D1658" s="25"/>
      <c r="E1658" s="25"/>
      <c r="F1658" s="25"/>
      <c r="G1658" s="25"/>
      <c r="H1658" s="31"/>
      <c r="I1658" s="32"/>
      <c r="J1658" s="33"/>
      <c r="K1658" s="34" t="str">
        <f aca="false">IF(OR(H1658="",I1658=""),"",H1658*I1658*(1-N(J1658)))</f>
        <v/>
      </c>
      <c r="L1658" s="32"/>
      <c r="M1658" s="34" t="str">
        <f aca="false">IF(OR(H1658="",L1658=""),"",H1658*L1658)</f>
        <v/>
      </c>
      <c r="N1658" s="34" t="str">
        <f aca="false">IF(OR(K1658="",M1658=""),"",K1658-M1658)</f>
        <v/>
      </c>
      <c r="O1658" s="35" t="str">
        <f aca="false">IF(OR(N1658="",K1658=""),"",IF(K1658=0,"",N1658/K1658))</f>
        <v/>
      </c>
      <c r="P1658" s="25"/>
      <c r="Q1658" s="25"/>
      <c r="R1658" s="25"/>
      <c r="S1658" s="36" t="str">
        <f aca="false">IF(A1658="","",YEAR(A1658)+IF(AND(FYStart&gt;1,MONTH(A1658)&gt;=FYStart),1,0))</f>
        <v/>
      </c>
      <c r="T1658" s="36" t="str">
        <f aca="false">IF(A1658="","",MOD(MONTH(A1658)-FYStart,12)+1)</f>
        <v/>
      </c>
      <c r="U1658" s="37" t="str">
        <f aca="false">IF(A1658="","",TEXT(A1658,"mmm"))</f>
        <v/>
      </c>
      <c r="V1658" s="37" t="str">
        <f aca="false">IF(Q1658="","",IFERROR(INDEX(Settings!$I$11:$I$15,MATCH(Q1658,Settings!$H$11:$H$15,0)),"No"))</f>
        <v/>
      </c>
      <c r="W1658" s="37" t="str">
        <f aca="false">IF(Q1658="","",IFERROR(INDEX(Settings!$J$11:$J$15,MATCH(Q1658,Settings!$H$11:$H$15,0)),"No"))</f>
        <v/>
      </c>
    </row>
    <row r="1659" customFormat="false" ht="15" hidden="false" customHeight="false" outlineLevel="0" collapsed="false">
      <c r="A1659" s="30"/>
      <c r="B1659" s="25"/>
      <c r="C1659" s="25"/>
      <c r="D1659" s="25"/>
      <c r="E1659" s="25"/>
      <c r="F1659" s="25"/>
      <c r="G1659" s="25"/>
      <c r="H1659" s="31"/>
      <c r="I1659" s="32"/>
      <c r="J1659" s="33"/>
      <c r="K1659" s="34" t="str">
        <f aca="false">IF(OR(H1659="",I1659=""),"",H1659*I1659*(1-N(J1659)))</f>
        <v/>
      </c>
      <c r="L1659" s="32"/>
      <c r="M1659" s="34" t="str">
        <f aca="false">IF(OR(H1659="",L1659=""),"",H1659*L1659)</f>
        <v/>
      </c>
      <c r="N1659" s="34" t="str">
        <f aca="false">IF(OR(K1659="",M1659=""),"",K1659-M1659)</f>
        <v/>
      </c>
      <c r="O1659" s="35" t="str">
        <f aca="false">IF(OR(N1659="",K1659=""),"",IF(K1659=0,"",N1659/K1659))</f>
        <v/>
      </c>
      <c r="P1659" s="25"/>
      <c r="Q1659" s="25"/>
      <c r="R1659" s="25"/>
      <c r="S1659" s="36" t="str">
        <f aca="false">IF(A1659="","",YEAR(A1659)+IF(AND(FYStart&gt;1,MONTH(A1659)&gt;=FYStart),1,0))</f>
        <v/>
      </c>
      <c r="T1659" s="36" t="str">
        <f aca="false">IF(A1659="","",MOD(MONTH(A1659)-FYStart,12)+1)</f>
        <v/>
      </c>
      <c r="U1659" s="37" t="str">
        <f aca="false">IF(A1659="","",TEXT(A1659,"mmm"))</f>
        <v/>
      </c>
      <c r="V1659" s="37" t="str">
        <f aca="false">IF(Q1659="","",IFERROR(INDEX(Settings!$I$11:$I$15,MATCH(Q1659,Settings!$H$11:$H$15,0)),"No"))</f>
        <v/>
      </c>
      <c r="W1659" s="37" t="str">
        <f aca="false">IF(Q1659="","",IFERROR(INDEX(Settings!$J$11:$J$15,MATCH(Q1659,Settings!$H$11:$H$15,0)),"No"))</f>
        <v/>
      </c>
    </row>
    <row r="1660" customFormat="false" ht="15" hidden="false" customHeight="false" outlineLevel="0" collapsed="false">
      <c r="A1660" s="30"/>
      <c r="B1660" s="25"/>
      <c r="C1660" s="25"/>
      <c r="D1660" s="25"/>
      <c r="E1660" s="25"/>
      <c r="F1660" s="25"/>
      <c r="G1660" s="25"/>
      <c r="H1660" s="31"/>
      <c r="I1660" s="32"/>
      <c r="J1660" s="33"/>
      <c r="K1660" s="34" t="str">
        <f aca="false">IF(OR(H1660="",I1660=""),"",H1660*I1660*(1-N(J1660)))</f>
        <v/>
      </c>
      <c r="L1660" s="32"/>
      <c r="M1660" s="34" t="str">
        <f aca="false">IF(OR(H1660="",L1660=""),"",H1660*L1660)</f>
        <v/>
      </c>
      <c r="N1660" s="34" t="str">
        <f aca="false">IF(OR(K1660="",M1660=""),"",K1660-M1660)</f>
        <v/>
      </c>
      <c r="O1660" s="35" t="str">
        <f aca="false">IF(OR(N1660="",K1660=""),"",IF(K1660=0,"",N1660/K1660))</f>
        <v/>
      </c>
      <c r="P1660" s="25"/>
      <c r="Q1660" s="25"/>
      <c r="R1660" s="25"/>
      <c r="S1660" s="36" t="str">
        <f aca="false">IF(A1660="","",YEAR(A1660)+IF(AND(FYStart&gt;1,MONTH(A1660)&gt;=FYStart),1,0))</f>
        <v/>
      </c>
      <c r="T1660" s="36" t="str">
        <f aca="false">IF(A1660="","",MOD(MONTH(A1660)-FYStart,12)+1)</f>
        <v/>
      </c>
      <c r="U1660" s="37" t="str">
        <f aca="false">IF(A1660="","",TEXT(A1660,"mmm"))</f>
        <v/>
      </c>
      <c r="V1660" s="37" t="str">
        <f aca="false">IF(Q1660="","",IFERROR(INDEX(Settings!$I$11:$I$15,MATCH(Q1660,Settings!$H$11:$H$15,0)),"No"))</f>
        <v/>
      </c>
      <c r="W1660" s="37" t="str">
        <f aca="false">IF(Q1660="","",IFERROR(INDEX(Settings!$J$11:$J$15,MATCH(Q1660,Settings!$H$11:$H$15,0)),"No"))</f>
        <v/>
      </c>
    </row>
    <row r="1661" customFormat="false" ht="15" hidden="false" customHeight="false" outlineLevel="0" collapsed="false">
      <c r="A1661" s="30"/>
      <c r="B1661" s="25"/>
      <c r="C1661" s="25"/>
      <c r="D1661" s="25"/>
      <c r="E1661" s="25"/>
      <c r="F1661" s="25"/>
      <c r="G1661" s="25"/>
      <c r="H1661" s="31"/>
      <c r="I1661" s="32"/>
      <c r="J1661" s="33"/>
      <c r="K1661" s="34" t="str">
        <f aca="false">IF(OR(H1661="",I1661=""),"",H1661*I1661*(1-N(J1661)))</f>
        <v/>
      </c>
      <c r="L1661" s="32"/>
      <c r="M1661" s="34" t="str">
        <f aca="false">IF(OR(H1661="",L1661=""),"",H1661*L1661)</f>
        <v/>
      </c>
      <c r="N1661" s="34" t="str">
        <f aca="false">IF(OR(K1661="",M1661=""),"",K1661-M1661)</f>
        <v/>
      </c>
      <c r="O1661" s="35" t="str">
        <f aca="false">IF(OR(N1661="",K1661=""),"",IF(K1661=0,"",N1661/K1661))</f>
        <v/>
      </c>
      <c r="P1661" s="25"/>
      <c r="Q1661" s="25"/>
      <c r="R1661" s="25"/>
      <c r="S1661" s="36" t="str">
        <f aca="false">IF(A1661="","",YEAR(A1661)+IF(AND(FYStart&gt;1,MONTH(A1661)&gt;=FYStart),1,0))</f>
        <v/>
      </c>
      <c r="T1661" s="36" t="str">
        <f aca="false">IF(A1661="","",MOD(MONTH(A1661)-FYStart,12)+1)</f>
        <v/>
      </c>
      <c r="U1661" s="37" t="str">
        <f aca="false">IF(A1661="","",TEXT(A1661,"mmm"))</f>
        <v/>
      </c>
      <c r="V1661" s="37" t="str">
        <f aca="false">IF(Q1661="","",IFERROR(INDEX(Settings!$I$11:$I$15,MATCH(Q1661,Settings!$H$11:$H$15,0)),"No"))</f>
        <v/>
      </c>
      <c r="W1661" s="37" t="str">
        <f aca="false">IF(Q1661="","",IFERROR(INDEX(Settings!$J$11:$J$15,MATCH(Q1661,Settings!$H$11:$H$15,0)),"No"))</f>
        <v/>
      </c>
    </row>
    <row r="1662" customFormat="false" ht="15" hidden="false" customHeight="false" outlineLevel="0" collapsed="false">
      <c r="A1662" s="30"/>
      <c r="B1662" s="25"/>
      <c r="C1662" s="25"/>
      <c r="D1662" s="25"/>
      <c r="E1662" s="25"/>
      <c r="F1662" s="25"/>
      <c r="G1662" s="25"/>
      <c r="H1662" s="31"/>
      <c r="I1662" s="32"/>
      <c r="J1662" s="33"/>
      <c r="K1662" s="34" t="str">
        <f aca="false">IF(OR(H1662="",I1662=""),"",H1662*I1662*(1-N(J1662)))</f>
        <v/>
      </c>
      <c r="L1662" s="32"/>
      <c r="M1662" s="34" t="str">
        <f aca="false">IF(OR(H1662="",L1662=""),"",H1662*L1662)</f>
        <v/>
      </c>
      <c r="N1662" s="34" t="str">
        <f aca="false">IF(OR(K1662="",M1662=""),"",K1662-M1662)</f>
        <v/>
      </c>
      <c r="O1662" s="35" t="str">
        <f aca="false">IF(OR(N1662="",K1662=""),"",IF(K1662=0,"",N1662/K1662))</f>
        <v/>
      </c>
      <c r="P1662" s="25"/>
      <c r="Q1662" s="25"/>
      <c r="R1662" s="25"/>
      <c r="S1662" s="36" t="str">
        <f aca="false">IF(A1662="","",YEAR(A1662)+IF(AND(FYStart&gt;1,MONTH(A1662)&gt;=FYStart),1,0))</f>
        <v/>
      </c>
      <c r="T1662" s="36" t="str">
        <f aca="false">IF(A1662="","",MOD(MONTH(A1662)-FYStart,12)+1)</f>
        <v/>
      </c>
      <c r="U1662" s="37" t="str">
        <f aca="false">IF(A1662="","",TEXT(A1662,"mmm"))</f>
        <v/>
      </c>
      <c r="V1662" s="37" t="str">
        <f aca="false">IF(Q1662="","",IFERROR(INDEX(Settings!$I$11:$I$15,MATCH(Q1662,Settings!$H$11:$H$15,0)),"No"))</f>
        <v/>
      </c>
      <c r="W1662" s="37" t="str">
        <f aca="false">IF(Q1662="","",IFERROR(INDEX(Settings!$J$11:$J$15,MATCH(Q1662,Settings!$H$11:$H$15,0)),"No"))</f>
        <v/>
      </c>
    </row>
    <row r="1663" customFormat="false" ht="15" hidden="false" customHeight="false" outlineLevel="0" collapsed="false">
      <c r="A1663" s="30"/>
      <c r="B1663" s="25"/>
      <c r="C1663" s="25"/>
      <c r="D1663" s="25"/>
      <c r="E1663" s="25"/>
      <c r="F1663" s="25"/>
      <c r="G1663" s="25"/>
      <c r="H1663" s="31"/>
      <c r="I1663" s="32"/>
      <c r="J1663" s="33"/>
      <c r="K1663" s="34" t="str">
        <f aca="false">IF(OR(H1663="",I1663=""),"",H1663*I1663*(1-N(J1663)))</f>
        <v/>
      </c>
      <c r="L1663" s="32"/>
      <c r="M1663" s="34" t="str">
        <f aca="false">IF(OR(H1663="",L1663=""),"",H1663*L1663)</f>
        <v/>
      </c>
      <c r="N1663" s="34" t="str">
        <f aca="false">IF(OR(K1663="",M1663=""),"",K1663-M1663)</f>
        <v/>
      </c>
      <c r="O1663" s="35" t="str">
        <f aca="false">IF(OR(N1663="",K1663=""),"",IF(K1663=0,"",N1663/K1663))</f>
        <v/>
      </c>
      <c r="P1663" s="25"/>
      <c r="Q1663" s="25"/>
      <c r="R1663" s="25"/>
      <c r="S1663" s="36" t="str">
        <f aca="false">IF(A1663="","",YEAR(A1663)+IF(AND(FYStart&gt;1,MONTH(A1663)&gt;=FYStart),1,0))</f>
        <v/>
      </c>
      <c r="T1663" s="36" t="str">
        <f aca="false">IF(A1663="","",MOD(MONTH(A1663)-FYStart,12)+1)</f>
        <v/>
      </c>
      <c r="U1663" s="37" t="str">
        <f aca="false">IF(A1663="","",TEXT(A1663,"mmm"))</f>
        <v/>
      </c>
      <c r="V1663" s="37" t="str">
        <f aca="false">IF(Q1663="","",IFERROR(INDEX(Settings!$I$11:$I$15,MATCH(Q1663,Settings!$H$11:$H$15,0)),"No"))</f>
        <v/>
      </c>
      <c r="W1663" s="37" t="str">
        <f aca="false">IF(Q1663="","",IFERROR(INDEX(Settings!$J$11:$J$15,MATCH(Q1663,Settings!$H$11:$H$15,0)),"No"))</f>
        <v/>
      </c>
    </row>
    <row r="1664" customFormat="false" ht="15" hidden="false" customHeight="false" outlineLevel="0" collapsed="false">
      <c r="A1664" s="30"/>
      <c r="B1664" s="25"/>
      <c r="C1664" s="25"/>
      <c r="D1664" s="25"/>
      <c r="E1664" s="25"/>
      <c r="F1664" s="25"/>
      <c r="G1664" s="25"/>
      <c r="H1664" s="31"/>
      <c r="I1664" s="32"/>
      <c r="J1664" s="33"/>
      <c r="K1664" s="34" t="str">
        <f aca="false">IF(OR(H1664="",I1664=""),"",H1664*I1664*(1-N(J1664)))</f>
        <v/>
      </c>
      <c r="L1664" s="32"/>
      <c r="M1664" s="34" t="str">
        <f aca="false">IF(OR(H1664="",L1664=""),"",H1664*L1664)</f>
        <v/>
      </c>
      <c r="N1664" s="34" t="str">
        <f aca="false">IF(OR(K1664="",M1664=""),"",K1664-M1664)</f>
        <v/>
      </c>
      <c r="O1664" s="35" t="str">
        <f aca="false">IF(OR(N1664="",K1664=""),"",IF(K1664=0,"",N1664/K1664))</f>
        <v/>
      </c>
      <c r="P1664" s="25"/>
      <c r="Q1664" s="25"/>
      <c r="R1664" s="25"/>
      <c r="S1664" s="36" t="str">
        <f aca="false">IF(A1664="","",YEAR(A1664)+IF(AND(FYStart&gt;1,MONTH(A1664)&gt;=FYStart),1,0))</f>
        <v/>
      </c>
      <c r="T1664" s="36" t="str">
        <f aca="false">IF(A1664="","",MOD(MONTH(A1664)-FYStart,12)+1)</f>
        <v/>
      </c>
      <c r="U1664" s="37" t="str">
        <f aca="false">IF(A1664="","",TEXT(A1664,"mmm"))</f>
        <v/>
      </c>
      <c r="V1664" s="37" t="str">
        <f aca="false">IF(Q1664="","",IFERROR(INDEX(Settings!$I$11:$I$15,MATCH(Q1664,Settings!$H$11:$H$15,0)),"No"))</f>
        <v/>
      </c>
      <c r="W1664" s="37" t="str">
        <f aca="false">IF(Q1664="","",IFERROR(INDEX(Settings!$J$11:$J$15,MATCH(Q1664,Settings!$H$11:$H$15,0)),"No"))</f>
        <v/>
      </c>
    </row>
    <row r="1665" customFormat="false" ht="15" hidden="false" customHeight="false" outlineLevel="0" collapsed="false">
      <c r="A1665" s="30"/>
      <c r="B1665" s="25"/>
      <c r="C1665" s="25"/>
      <c r="D1665" s="25"/>
      <c r="E1665" s="25"/>
      <c r="F1665" s="25"/>
      <c r="G1665" s="25"/>
      <c r="H1665" s="31"/>
      <c r="I1665" s="32"/>
      <c r="J1665" s="33"/>
      <c r="K1665" s="34" t="str">
        <f aca="false">IF(OR(H1665="",I1665=""),"",H1665*I1665*(1-N(J1665)))</f>
        <v/>
      </c>
      <c r="L1665" s="32"/>
      <c r="M1665" s="34" t="str">
        <f aca="false">IF(OR(H1665="",L1665=""),"",H1665*L1665)</f>
        <v/>
      </c>
      <c r="N1665" s="34" t="str">
        <f aca="false">IF(OR(K1665="",M1665=""),"",K1665-M1665)</f>
        <v/>
      </c>
      <c r="O1665" s="35" t="str">
        <f aca="false">IF(OR(N1665="",K1665=""),"",IF(K1665=0,"",N1665/K1665))</f>
        <v/>
      </c>
      <c r="P1665" s="25"/>
      <c r="Q1665" s="25"/>
      <c r="R1665" s="25"/>
      <c r="S1665" s="36" t="str">
        <f aca="false">IF(A1665="","",YEAR(A1665)+IF(AND(FYStart&gt;1,MONTH(A1665)&gt;=FYStart),1,0))</f>
        <v/>
      </c>
      <c r="T1665" s="36" t="str">
        <f aca="false">IF(A1665="","",MOD(MONTH(A1665)-FYStart,12)+1)</f>
        <v/>
      </c>
      <c r="U1665" s="37" t="str">
        <f aca="false">IF(A1665="","",TEXT(A1665,"mmm"))</f>
        <v/>
      </c>
      <c r="V1665" s="37" t="str">
        <f aca="false">IF(Q1665="","",IFERROR(INDEX(Settings!$I$11:$I$15,MATCH(Q1665,Settings!$H$11:$H$15,0)),"No"))</f>
        <v/>
      </c>
      <c r="W1665" s="37" t="str">
        <f aca="false">IF(Q1665="","",IFERROR(INDEX(Settings!$J$11:$J$15,MATCH(Q1665,Settings!$H$11:$H$15,0)),"No"))</f>
        <v/>
      </c>
    </row>
    <row r="1666" customFormat="false" ht="15" hidden="false" customHeight="false" outlineLevel="0" collapsed="false">
      <c r="A1666" s="30"/>
      <c r="B1666" s="25"/>
      <c r="C1666" s="25"/>
      <c r="D1666" s="25"/>
      <c r="E1666" s="25"/>
      <c r="F1666" s="25"/>
      <c r="G1666" s="25"/>
      <c r="H1666" s="31"/>
      <c r="I1666" s="32"/>
      <c r="J1666" s="33"/>
      <c r="K1666" s="34" t="str">
        <f aca="false">IF(OR(H1666="",I1666=""),"",H1666*I1666*(1-N(J1666)))</f>
        <v/>
      </c>
      <c r="L1666" s="32"/>
      <c r="M1666" s="34" t="str">
        <f aca="false">IF(OR(H1666="",L1666=""),"",H1666*L1666)</f>
        <v/>
      </c>
      <c r="N1666" s="34" t="str">
        <f aca="false">IF(OR(K1666="",M1666=""),"",K1666-M1666)</f>
        <v/>
      </c>
      <c r="O1666" s="35" t="str">
        <f aca="false">IF(OR(N1666="",K1666=""),"",IF(K1666=0,"",N1666/K1666))</f>
        <v/>
      </c>
      <c r="P1666" s="25"/>
      <c r="Q1666" s="25"/>
      <c r="R1666" s="25"/>
      <c r="S1666" s="36" t="str">
        <f aca="false">IF(A1666="","",YEAR(A1666)+IF(AND(FYStart&gt;1,MONTH(A1666)&gt;=FYStart),1,0))</f>
        <v/>
      </c>
      <c r="T1666" s="36" t="str">
        <f aca="false">IF(A1666="","",MOD(MONTH(A1666)-FYStart,12)+1)</f>
        <v/>
      </c>
      <c r="U1666" s="37" t="str">
        <f aca="false">IF(A1666="","",TEXT(A1666,"mmm"))</f>
        <v/>
      </c>
      <c r="V1666" s="37" t="str">
        <f aca="false">IF(Q1666="","",IFERROR(INDEX(Settings!$I$11:$I$15,MATCH(Q1666,Settings!$H$11:$H$15,0)),"No"))</f>
        <v/>
      </c>
      <c r="W1666" s="37" t="str">
        <f aca="false">IF(Q1666="","",IFERROR(INDEX(Settings!$J$11:$J$15,MATCH(Q1666,Settings!$H$11:$H$15,0)),"No"))</f>
        <v/>
      </c>
    </row>
    <row r="1667" customFormat="false" ht="15" hidden="false" customHeight="false" outlineLevel="0" collapsed="false">
      <c r="A1667" s="30"/>
      <c r="B1667" s="25"/>
      <c r="C1667" s="25"/>
      <c r="D1667" s="25"/>
      <c r="E1667" s="25"/>
      <c r="F1667" s="25"/>
      <c r="G1667" s="25"/>
      <c r="H1667" s="31"/>
      <c r="I1667" s="32"/>
      <c r="J1667" s="33"/>
      <c r="K1667" s="34" t="str">
        <f aca="false">IF(OR(H1667="",I1667=""),"",H1667*I1667*(1-N(J1667)))</f>
        <v/>
      </c>
      <c r="L1667" s="32"/>
      <c r="M1667" s="34" t="str">
        <f aca="false">IF(OR(H1667="",L1667=""),"",H1667*L1667)</f>
        <v/>
      </c>
      <c r="N1667" s="34" t="str">
        <f aca="false">IF(OR(K1667="",M1667=""),"",K1667-M1667)</f>
        <v/>
      </c>
      <c r="O1667" s="35" t="str">
        <f aca="false">IF(OR(N1667="",K1667=""),"",IF(K1667=0,"",N1667/K1667))</f>
        <v/>
      </c>
      <c r="P1667" s="25"/>
      <c r="Q1667" s="25"/>
      <c r="R1667" s="25"/>
      <c r="S1667" s="36" t="str">
        <f aca="false">IF(A1667="","",YEAR(A1667)+IF(AND(FYStart&gt;1,MONTH(A1667)&gt;=FYStart),1,0))</f>
        <v/>
      </c>
      <c r="T1667" s="36" t="str">
        <f aca="false">IF(A1667="","",MOD(MONTH(A1667)-FYStart,12)+1)</f>
        <v/>
      </c>
      <c r="U1667" s="37" t="str">
        <f aca="false">IF(A1667="","",TEXT(A1667,"mmm"))</f>
        <v/>
      </c>
      <c r="V1667" s="37" t="str">
        <f aca="false">IF(Q1667="","",IFERROR(INDEX(Settings!$I$11:$I$15,MATCH(Q1667,Settings!$H$11:$H$15,0)),"No"))</f>
        <v/>
      </c>
      <c r="W1667" s="37" t="str">
        <f aca="false">IF(Q1667="","",IFERROR(INDEX(Settings!$J$11:$J$15,MATCH(Q1667,Settings!$H$11:$H$15,0)),"No"))</f>
        <v/>
      </c>
    </row>
    <row r="1668" customFormat="false" ht="15" hidden="false" customHeight="false" outlineLevel="0" collapsed="false">
      <c r="A1668" s="30"/>
      <c r="B1668" s="25"/>
      <c r="C1668" s="25"/>
      <c r="D1668" s="25"/>
      <c r="E1668" s="25"/>
      <c r="F1668" s="25"/>
      <c r="G1668" s="25"/>
      <c r="H1668" s="31"/>
      <c r="I1668" s="32"/>
      <c r="J1668" s="33"/>
      <c r="K1668" s="34" t="str">
        <f aca="false">IF(OR(H1668="",I1668=""),"",H1668*I1668*(1-N(J1668)))</f>
        <v/>
      </c>
      <c r="L1668" s="32"/>
      <c r="M1668" s="34" t="str">
        <f aca="false">IF(OR(H1668="",L1668=""),"",H1668*L1668)</f>
        <v/>
      </c>
      <c r="N1668" s="34" t="str">
        <f aca="false">IF(OR(K1668="",M1668=""),"",K1668-M1668)</f>
        <v/>
      </c>
      <c r="O1668" s="35" t="str">
        <f aca="false">IF(OR(N1668="",K1668=""),"",IF(K1668=0,"",N1668/K1668))</f>
        <v/>
      </c>
      <c r="P1668" s="25"/>
      <c r="Q1668" s="25"/>
      <c r="R1668" s="25"/>
      <c r="S1668" s="36" t="str">
        <f aca="false">IF(A1668="","",YEAR(A1668)+IF(AND(FYStart&gt;1,MONTH(A1668)&gt;=FYStart),1,0))</f>
        <v/>
      </c>
      <c r="T1668" s="36" t="str">
        <f aca="false">IF(A1668="","",MOD(MONTH(A1668)-FYStart,12)+1)</f>
        <v/>
      </c>
      <c r="U1668" s="37" t="str">
        <f aca="false">IF(A1668="","",TEXT(A1668,"mmm"))</f>
        <v/>
      </c>
      <c r="V1668" s="37" t="str">
        <f aca="false">IF(Q1668="","",IFERROR(INDEX(Settings!$I$11:$I$15,MATCH(Q1668,Settings!$H$11:$H$15,0)),"No"))</f>
        <v/>
      </c>
      <c r="W1668" s="37" t="str">
        <f aca="false">IF(Q1668="","",IFERROR(INDEX(Settings!$J$11:$J$15,MATCH(Q1668,Settings!$H$11:$H$15,0)),"No"))</f>
        <v/>
      </c>
    </row>
    <row r="1669" customFormat="false" ht="15" hidden="false" customHeight="false" outlineLevel="0" collapsed="false">
      <c r="A1669" s="30"/>
      <c r="B1669" s="25"/>
      <c r="C1669" s="25"/>
      <c r="D1669" s="25"/>
      <c r="E1669" s="25"/>
      <c r="F1669" s="25"/>
      <c r="G1669" s="25"/>
      <c r="H1669" s="31"/>
      <c r="I1669" s="32"/>
      <c r="J1669" s="33"/>
      <c r="K1669" s="34" t="str">
        <f aca="false">IF(OR(H1669="",I1669=""),"",H1669*I1669*(1-N(J1669)))</f>
        <v/>
      </c>
      <c r="L1669" s="32"/>
      <c r="M1669" s="34" t="str">
        <f aca="false">IF(OR(H1669="",L1669=""),"",H1669*L1669)</f>
        <v/>
      </c>
      <c r="N1669" s="34" t="str">
        <f aca="false">IF(OR(K1669="",M1669=""),"",K1669-M1669)</f>
        <v/>
      </c>
      <c r="O1669" s="35" t="str">
        <f aca="false">IF(OR(N1669="",K1669=""),"",IF(K1669=0,"",N1669/K1669))</f>
        <v/>
      </c>
      <c r="P1669" s="25"/>
      <c r="Q1669" s="25"/>
      <c r="R1669" s="25"/>
      <c r="S1669" s="36" t="str">
        <f aca="false">IF(A1669="","",YEAR(A1669)+IF(AND(FYStart&gt;1,MONTH(A1669)&gt;=FYStart),1,0))</f>
        <v/>
      </c>
      <c r="T1669" s="36" t="str">
        <f aca="false">IF(A1669="","",MOD(MONTH(A1669)-FYStart,12)+1)</f>
        <v/>
      </c>
      <c r="U1669" s="37" t="str">
        <f aca="false">IF(A1669="","",TEXT(A1669,"mmm"))</f>
        <v/>
      </c>
      <c r="V1669" s="37" t="str">
        <f aca="false">IF(Q1669="","",IFERROR(INDEX(Settings!$I$11:$I$15,MATCH(Q1669,Settings!$H$11:$H$15,0)),"No"))</f>
        <v/>
      </c>
      <c r="W1669" s="37" t="str">
        <f aca="false">IF(Q1669="","",IFERROR(INDEX(Settings!$J$11:$J$15,MATCH(Q1669,Settings!$H$11:$H$15,0)),"No"))</f>
        <v/>
      </c>
    </row>
    <row r="1670" customFormat="false" ht="15" hidden="false" customHeight="false" outlineLevel="0" collapsed="false">
      <c r="A1670" s="30"/>
      <c r="B1670" s="25"/>
      <c r="C1670" s="25"/>
      <c r="D1670" s="25"/>
      <c r="E1670" s="25"/>
      <c r="F1670" s="25"/>
      <c r="G1670" s="25"/>
      <c r="H1670" s="31"/>
      <c r="I1670" s="32"/>
      <c r="J1670" s="33"/>
      <c r="K1670" s="34" t="str">
        <f aca="false">IF(OR(H1670="",I1670=""),"",H1670*I1670*(1-N(J1670)))</f>
        <v/>
      </c>
      <c r="L1670" s="32"/>
      <c r="M1670" s="34" t="str">
        <f aca="false">IF(OR(H1670="",L1670=""),"",H1670*L1670)</f>
        <v/>
      </c>
      <c r="N1670" s="34" t="str">
        <f aca="false">IF(OR(K1670="",M1670=""),"",K1670-M1670)</f>
        <v/>
      </c>
      <c r="O1670" s="35" t="str">
        <f aca="false">IF(OR(N1670="",K1670=""),"",IF(K1670=0,"",N1670/K1670))</f>
        <v/>
      </c>
      <c r="P1670" s="25"/>
      <c r="Q1670" s="25"/>
      <c r="R1670" s="25"/>
      <c r="S1670" s="36" t="str">
        <f aca="false">IF(A1670="","",YEAR(A1670)+IF(AND(FYStart&gt;1,MONTH(A1670)&gt;=FYStart),1,0))</f>
        <v/>
      </c>
      <c r="T1670" s="36" t="str">
        <f aca="false">IF(A1670="","",MOD(MONTH(A1670)-FYStart,12)+1)</f>
        <v/>
      </c>
      <c r="U1670" s="37" t="str">
        <f aca="false">IF(A1670="","",TEXT(A1670,"mmm"))</f>
        <v/>
      </c>
      <c r="V1670" s="37" t="str">
        <f aca="false">IF(Q1670="","",IFERROR(INDEX(Settings!$I$11:$I$15,MATCH(Q1670,Settings!$H$11:$H$15,0)),"No"))</f>
        <v/>
      </c>
      <c r="W1670" s="37" t="str">
        <f aca="false">IF(Q1670="","",IFERROR(INDEX(Settings!$J$11:$J$15,MATCH(Q1670,Settings!$H$11:$H$15,0)),"No"))</f>
        <v/>
      </c>
    </row>
    <row r="1671" customFormat="false" ht="15" hidden="false" customHeight="false" outlineLevel="0" collapsed="false">
      <c r="A1671" s="30"/>
      <c r="B1671" s="25"/>
      <c r="C1671" s="25"/>
      <c r="D1671" s="25"/>
      <c r="E1671" s="25"/>
      <c r="F1671" s="25"/>
      <c r="G1671" s="25"/>
      <c r="H1671" s="31"/>
      <c r="I1671" s="32"/>
      <c r="J1671" s="33"/>
      <c r="K1671" s="34" t="str">
        <f aca="false">IF(OR(H1671="",I1671=""),"",H1671*I1671*(1-N(J1671)))</f>
        <v/>
      </c>
      <c r="L1671" s="32"/>
      <c r="M1671" s="34" t="str">
        <f aca="false">IF(OR(H1671="",L1671=""),"",H1671*L1671)</f>
        <v/>
      </c>
      <c r="N1671" s="34" t="str">
        <f aca="false">IF(OR(K1671="",M1671=""),"",K1671-M1671)</f>
        <v/>
      </c>
      <c r="O1671" s="35" t="str">
        <f aca="false">IF(OR(N1671="",K1671=""),"",IF(K1671=0,"",N1671/K1671))</f>
        <v/>
      </c>
      <c r="P1671" s="25"/>
      <c r="Q1671" s="25"/>
      <c r="R1671" s="25"/>
      <c r="S1671" s="36" t="str">
        <f aca="false">IF(A1671="","",YEAR(A1671)+IF(AND(FYStart&gt;1,MONTH(A1671)&gt;=FYStart),1,0))</f>
        <v/>
      </c>
      <c r="T1671" s="36" t="str">
        <f aca="false">IF(A1671="","",MOD(MONTH(A1671)-FYStart,12)+1)</f>
        <v/>
      </c>
      <c r="U1671" s="37" t="str">
        <f aca="false">IF(A1671="","",TEXT(A1671,"mmm"))</f>
        <v/>
      </c>
      <c r="V1671" s="37" t="str">
        <f aca="false">IF(Q1671="","",IFERROR(INDEX(Settings!$I$11:$I$15,MATCH(Q1671,Settings!$H$11:$H$15,0)),"No"))</f>
        <v/>
      </c>
      <c r="W1671" s="37" t="str">
        <f aca="false">IF(Q1671="","",IFERROR(INDEX(Settings!$J$11:$J$15,MATCH(Q1671,Settings!$H$11:$H$15,0)),"No"))</f>
        <v/>
      </c>
    </row>
    <row r="1672" customFormat="false" ht="15" hidden="false" customHeight="false" outlineLevel="0" collapsed="false">
      <c r="A1672" s="30"/>
      <c r="B1672" s="25"/>
      <c r="C1672" s="25"/>
      <c r="D1672" s="25"/>
      <c r="E1672" s="25"/>
      <c r="F1672" s="25"/>
      <c r="G1672" s="25"/>
      <c r="H1672" s="31"/>
      <c r="I1672" s="32"/>
      <c r="J1672" s="33"/>
      <c r="K1672" s="34" t="str">
        <f aca="false">IF(OR(H1672="",I1672=""),"",H1672*I1672*(1-N(J1672)))</f>
        <v/>
      </c>
      <c r="L1672" s="32"/>
      <c r="M1672" s="34" t="str">
        <f aca="false">IF(OR(H1672="",L1672=""),"",H1672*L1672)</f>
        <v/>
      </c>
      <c r="N1672" s="34" t="str">
        <f aca="false">IF(OR(K1672="",M1672=""),"",K1672-M1672)</f>
        <v/>
      </c>
      <c r="O1672" s="35" t="str">
        <f aca="false">IF(OR(N1672="",K1672=""),"",IF(K1672=0,"",N1672/K1672))</f>
        <v/>
      </c>
      <c r="P1672" s="25"/>
      <c r="Q1672" s="25"/>
      <c r="R1672" s="25"/>
      <c r="S1672" s="36" t="str">
        <f aca="false">IF(A1672="","",YEAR(A1672)+IF(AND(FYStart&gt;1,MONTH(A1672)&gt;=FYStart),1,0))</f>
        <v/>
      </c>
      <c r="T1672" s="36" t="str">
        <f aca="false">IF(A1672="","",MOD(MONTH(A1672)-FYStart,12)+1)</f>
        <v/>
      </c>
      <c r="U1672" s="37" t="str">
        <f aca="false">IF(A1672="","",TEXT(A1672,"mmm"))</f>
        <v/>
      </c>
      <c r="V1672" s="37" t="str">
        <f aca="false">IF(Q1672="","",IFERROR(INDEX(Settings!$I$11:$I$15,MATCH(Q1672,Settings!$H$11:$H$15,0)),"No"))</f>
        <v/>
      </c>
      <c r="W1672" s="37" t="str">
        <f aca="false">IF(Q1672="","",IFERROR(INDEX(Settings!$J$11:$J$15,MATCH(Q1672,Settings!$H$11:$H$15,0)),"No"))</f>
        <v/>
      </c>
    </row>
    <row r="1673" customFormat="false" ht="15" hidden="false" customHeight="false" outlineLevel="0" collapsed="false">
      <c r="A1673" s="30"/>
      <c r="B1673" s="25"/>
      <c r="C1673" s="25"/>
      <c r="D1673" s="25"/>
      <c r="E1673" s="25"/>
      <c r="F1673" s="25"/>
      <c r="G1673" s="25"/>
      <c r="H1673" s="31"/>
      <c r="I1673" s="32"/>
      <c r="J1673" s="33"/>
      <c r="K1673" s="34" t="str">
        <f aca="false">IF(OR(H1673="",I1673=""),"",H1673*I1673*(1-N(J1673)))</f>
        <v/>
      </c>
      <c r="L1673" s="32"/>
      <c r="M1673" s="34" t="str">
        <f aca="false">IF(OR(H1673="",L1673=""),"",H1673*L1673)</f>
        <v/>
      </c>
      <c r="N1673" s="34" t="str">
        <f aca="false">IF(OR(K1673="",M1673=""),"",K1673-M1673)</f>
        <v/>
      </c>
      <c r="O1673" s="35" t="str">
        <f aca="false">IF(OR(N1673="",K1673=""),"",IF(K1673=0,"",N1673/K1673))</f>
        <v/>
      </c>
      <c r="P1673" s="25"/>
      <c r="Q1673" s="25"/>
      <c r="R1673" s="25"/>
      <c r="S1673" s="36" t="str">
        <f aca="false">IF(A1673="","",YEAR(A1673)+IF(AND(FYStart&gt;1,MONTH(A1673)&gt;=FYStart),1,0))</f>
        <v/>
      </c>
      <c r="T1673" s="36" t="str">
        <f aca="false">IF(A1673="","",MOD(MONTH(A1673)-FYStart,12)+1)</f>
        <v/>
      </c>
      <c r="U1673" s="37" t="str">
        <f aca="false">IF(A1673="","",TEXT(A1673,"mmm"))</f>
        <v/>
      </c>
      <c r="V1673" s="37" t="str">
        <f aca="false">IF(Q1673="","",IFERROR(INDEX(Settings!$I$11:$I$15,MATCH(Q1673,Settings!$H$11:$H$15,0)),"No"))</f>
        <v/>
      </c>
      <c r="W1673" s="37" t="str">
        <f aca="false">IF(Q1673="","",IFERROR(INDEX(Settings!$J$11:$J$15,MATCH(Q1673,Settings!$H$11:$H$15,0)),"No"))</f>
        <v/>
      </c>
    </row>
    <row r="1674" customFormat="false" ht="15" hidden="false" customHeight="false" outlineLevel="0" collapsed="false">
      <c r="A1674" s="30"/>
      <c r="B1674" s="25"/>
      <c r="C1674" s="25"/>
      <c r="D1674" s="25"/>
      <c r="E1674" s="25"/>
      <c r="F1674" s="25"/>
      <c r="G1674" s="25"/>
      <c r="H1674" s="31"/>
      <c r="I1674" s="32"/>
      <c r="J1674" s="33"/>
      <c r="K1674" s="34" t="str">
        <f aca="false">IF(OR(H1674="",I1674=""),"",H1674*I1674*(1-N(J1674)))</f>
        <v/>
      </c>
      <c r="L1674" s="32"/>
      <c r="M1674" s="34" t="str">
        <f aca="false">IF(OR(H1674="",L1674=""),"",H1674*L1674)</f>
        <v/>
      </c>
      <c r="N1674" s="34" t="str">
        <f aca="false">IF(OR(K1674="",M1674=""),"",K1674-M1674)</f>
        <v/>
      </c>
      <c r="O1674" s="35" t="str">
        <f aca="false">IF(OR(N1674="",K1674=""),"",IF(K1674=0,"",N1674/K1674))</f>
        <v/>
      </c>
      <c r="P1674" s="25"/>
      <c r="Q1674" s="25"/>
      <c r="R1674" s="25"/>
      <c r="S1674" s="36" t="str">
        <f aca="false">IF(A1674="","",YEAR(A1674)+IF(AND(FYStart&gt;1,MONTH(A1674)&gt;=FYStart),1,0))</f>
        <v/>
      </c>
      <c r="T1674" s="36" t="str">
        <f aca="false">IF(A1674="","",MOD(MONTH(A1674)-FYStart,12)+1)</f>
        <v/>
      </c>
      <c r="U1674" s="37" t="str">
        <f aca="false">IF(A1674="","",TEXT(A1674,"mmm"))</f>
        <v/>
      </c>
      <c r="V1674" s="37" t="str">
        <f aca="false">IF(Q1674="","",IFERROR(INDEX(Settings!$I$11:$I$15,MATCH(Q1674,Settings!$H$11:$H$15,0)),"No"))</f>
        <v/>
      </c>
      <c r="W1674" s="37" t="str">
        <f aca="false">IF(Q1674="","",IFERROR(INDEX(Settings!$J$11:$J$15,MATCH(Q1674,Settings!$H$11:$H$15,0)),"No"))</f>
        <v/>
      </c>
    </row>
    <row r="1675" customFormat="false" ht="15" hidden="false" customHeight="false" outlineLevel="0" collapsed="false">
      <c r="A1675" s="30"/>
      <c r="B1675" s="25"/>
      <c r="C1675" s="25"/>
      <c r="D1675" s="25"/>
      <c r="E1675" s="25"/>
      <c r="F1675" s="25"/>
      <c r="G1675" s="25"/>
      <c r="H1675" s="31"/>
      <c r="I1675" s="32"/>
      <c r="J1675" s="33"/>
      <c r="K1675" s="34" t="str">
        <f aca="false">IF(OR(H1675="",I1675=""),"",H1675*I1675*(1-N(J1675)))</f>
        <v/>
      </c>
      <c r="L1675" s="32"/>
      <c r="M1675" s="34" t="str">
        <f aca="false">IF(OR(H1675="",L1675=""),"",H1675*L1675)</f>
        <v/>
      </c>
      <c r="N1675" s="34" t="str">
        <f aca="false">IF(OR(K1675="",M1675=""),"",K1675-M1675)</f>
        <v/>
      </c>
      <c r="O1675" s="35" t="str">
        <f aca="false">IF(OR(N1675="",K1675=""),"",IF(K1675=0,"",N1675/K1675))</f>
        <v/>
      </c>
      <c r="P1675" s="25"/>
      <c r="Q1675" s="25"/>
      <c r="R1675" s="25"/>
      <c r="S1675" s="36" t="str">
        <f aca="false">IF(A1675="","",YEAR(A1675)+IF(AND(FYStart&gt;1,MONTH(A1675)&gt;=FYStart),1,0))</f>
        <v/>
      </c>
      <c r="T1675" s="36" t="str">
        <f aca="false">IF(A1675="","",MOD(MONTH(A1675)-FYStart,12)+1)</f>
        <v/>
      </c>
      <c r="U1675" s="37" t="str">
        <f aca="false">IF(A1675="","",TEXT(A1675,"mmm"))</f>
        <v/>
      </c>
      <c r="V1675" s="37" t="str">
        <f aca="false">IF(Q1675="","",IFERROR(INDEX(Settings!$I$11:$I$15,MATCH(Q1675,Settings!$H$11:$H$15,0)),"No"))</f>
        <v/>
      </c>
      <c r="W1675" s="37" t="str">
        <f aca="false">IF(Q1675="","",IFERROR(INDEX(Settings!$J$11:$J$15,MATCH(Q1675,Settings!$H$11:$H$15,0)),"No"))</f>
        <v/>
      </c>
    </row>
    <row r="1676" customFormat="false" ht="15" hidden="false" customHeight="false" outlineLevel="0" collapsed="false">
      <c r="A1676" s="30"/>
      <c r="B1676" s="25"/>
      <c r="C1676" s="25"/>
      <c r="D1676" s="25"/>
      <c r="E1676" s="25"/>
      <c r="F1676" s="25"/>
      <c r="G1676" s="25"/>
      <c r="H1676" s="31"/>
      <c r="I1676" s="32"/>
      <c r="J1676" s="33"/>
      <c r="K1676" s="34" t="str">
        <f aca="false">IF(OR(H1676="",I1676=""),"",H1676*I1676*(1-N(J1676)))</f>
        <v/>
      </c>
      <c r="L1676" s="32"/>
      <c r="M1676" s="34" t="str">
        <f aca="false">IF(OR(H1676="",L1676=""),"",H1676*L1676)</f>
        <v/>
      </c>
      <c r="N1676" s="34" t="str">
        <f aca="false">IF(OR(K1676="",M1676=""),"",K1676-M1676)</f>
        <v/>
      </c>
      <c r="O1676" s="35" t="str">
        <f aca="false">IF(OR(N1676="",K1676=""),"",IF(K1676=0,"",N1676/K1676))</f>
        <v/>
      </c>
      <c r="P1676" s="25"/>
      <c r="Q1676" s="25"/>
      <c r="R1676" s="25"/>
      <c r="S1676" s="36" t="str">
        <f aca="false">IF(A1676="","",YEAR(A1676)+IF(AND(FYStart&gt;1,MONTH(A1676)&gt;=FYStart),1,0))</f>
        <v/>
      </c>
      <c r="T1676" s="36" t="str">
        <f aca="false">IF(A1676="","",MOD(MONTH(A1676)-FYStart,12)+1)</f>
        <v/>
      </c>
      <c r="U1676" s="37" t="str">
        <f aca="false">IF(A1676="","",TEXT(A1676,"mmm"))</f>
        <v/>
      </c>
      <c r="V1676" s="37" t="str">
        <f aca="false">IF(Q1676="","",IFERROR(INDEX(Settings!$I$11:$I$15,MATCH(Q1676,Settings!$H$11:$H$15,0)),"No"))</f>
        <v/>
      </c>
      <c r="W1676" s="37" t="str">
        <f aca="false">IF(Q1676="","",IFERROR(INDEX(Settings!$J$11:$J$15,MATCH(Q1676,Settings!$H$11:$H$15,0)),"No"))</f>
        <v/>
      </c>
    </row>
    <row r="1677" customFormat="false" ht="15" hidden="false" customHeight="false" outlineLevel="0" collapsed="false">
      <c r="A1677" s="30"/>
      <c r="B1677" s="25"/>
      <c r="C1677" s="25"/>
      <c r="D1677" s="25"/>
      <c r="E1677" s="25"/>
      <c r="F1677" s="25"/>
      <c r="G1677" s="25"/>
      <c r="H1677" s="31"/>
      <c r="I1677" s="32"/>
      <c r="J1677" s="33"/>
      <c r="K1677" s="34" t="str">
        <f aca="false">IF(OR(H1677="",I1677=""),"",H1677*I1677*(1-N(J1677)))</f>
        <v/>
      </c>
      <c r="L1677" s="32"/>
      <c r="M1677" s="34" t="str">
        <f aca="false">IF(OR(H1677="",L1677=""),"",H1677*L1677)</f>
        <v/>
      </c>
      <c r="N1677" s="34" t="str">
        <f aca="false">IF(OR(K1677="",M1677=""),"",K1677-M1677)</f>
        <v/>
      </c>
      <c r="O1677" s="35" t="str">
        <f aca="false">IF(OR(N1677="",K1677=""),"",IF(K1677=0,"",N1677/K1677))</f>
        <v/>
      </c>
      <c r="P1677" s="25"/>
      <c r="Q1677" s="25"/>
      <c r="R1677" s="25"/>
      <c r="S1677" s="36" t="str">
        <f aca="false">IF(A1677="","",YEAR(A1677)+IF(AND(FYStart&gt;1,MONTH(A1677)&gt;=FYStart),1,0))</f>
        <v/>
      </c>
      <c r="T1677" s="36" t="str">
        <f aca="false">IF(A1677="","",MOD(MONTH(A1677)-FYStart,12)+1)</f>
        <v/>
      </c>
      <c r="U1677" s="37" t="str">
        <f aca="false">IF(A1677="","",TEXT(A1677,"mmm"))</f>
        <v/>
      </c>
      <c r="V1677" s="37" t="str">
        <f aca="false">IF(Q1677="","",IFERROR(INDEX(Settings!$I$11:$I$15,MATCH(Q1677,Settings!$H$11:$H$15,0)),"No"))</f>
        <v/>
      </c>
      <c r="W1677" s="37" t="str">
        <f aca="false">IF(Q1677="","",IFERROR(INDEX(Settings!$J$11:$J$15,MATCH(Q1677,Settings!$H$11:$H$15,0)),"No"))</f>
        <v/>
      </c>
    </row>
    <row r="1678" customFormat="false" ht="15" hidden="false" customHeight="false" outlineLevel="0" collapsed="false">
      <c r="A1678" s="30"/>
      <c r="B1678" s="25"/>
      <c r="C1678" s="25"/>
      <c r="D1678" s="25"/>
      <c r="E1678" s="25"/>
      <c r="F1678" s="25"/>
      <c r="G1678" s="25"/>
      <c r="H1678" s="31"/>
      <c r="I1678" s="32"/>
      <c r="J1678" s="33"/>
      <c r="K1678" s="34" t="str">
        <f aca="false">IF(OR(H1678="",I1678=""),"",H1678*I1678*(1-N(J1678)))</f>
        <v/>
      </c>
      <c r="L1678" s="32"/>
      <c r="M1678" s="34" t="str">
        <f aca="false">IF(OR(H1678="",L1678=""),"",H1678*L1678)</f>
        <v/>
      </c>
      <c r="N1678" s="34" t="str">
        <f aca="false">IF(OR(K1678="",M1678=""),"",K1678-M1678)</f>
        <v/>
      </c>
      <c r="O1678" s="35" t="str">
        <f aca="false">IF(OR(N1678="",K1678=""),"",IF(K1678=0,"",N1678/K1678))</f>
        <v/>
      </c>
      <c r="P1678" s="25"/>
      <c r="Q1678" s="25"/>
      <c r="R1678" s="25"/>
      <c r="S1678" s="36" t="str">
        <f aca="false">IF(A1678="","",YEAR(A1678)+IF(AND(FYStart&gt;1,MONTH(A1678)&gt;=FYStart),1,0))</f>
        <v/>
      </c>
      <c r="T1678" s="36" t="str">
        <f aca="false">IF(A1678="","",MOD(MONTH(A1678)-FYStart,12)+1)</f>
        <v/>
      </c>
      <c r="U1678" s="37" t="str">
        <f aca="false">IF(A1678="","",TEXT(A1678,"mmm"))</f>
        <v/>
      </c>
      <c r="V1678" s="37" t="str">
        <f aca="false">IF(Q1678="","",IFERROR(INDEX(Settings!$I$11:$I$15,MATCH(Q1678,Settings!$H$11:$H$15,0)),"No"))</f>
        <v/>
      </c>
      <c r="W1678" s="37" t="str">
        <f aca="false">IF(Q1678="","",IFERROR(INDEX(Settings!$J$11:$J$15,MATCH(Q1678,Settings!$H$11:$H$15,0)),"No"))</f>
        <v/>
      </c>
    </row>
    <row r="1679" customFormat="false" ht="15" hidden="false" customHeight="false" outlineLevel="0" collapsed="false">
      <c r="A1679" s="30"/>
      <c r="B1679" s="25"/>
      <c r="C1679" s="25"/>
      <c r="D1679" s="25"/>
      <c r="E1679" s="25"/>
      <c r="F1679" s="25"/>
      <c r="G1679" s="25"/>
      <c r="H1679" s="31"/>
      <c r="I1679" s="32"/>
      <c r="J1679" s="33"/>
      <c r="K1679" s="34" t="str">
        <f aca="false">IF(OR(H1679="",I1679=""),"",H1679*I1679*(1-N(J1679)))</f>
        <v/>
      </c>
      <c r="L1679" s="32"/>
      <c r="M1679" s="34" t="str">
        <f aca="false">IF(OR(H1679="",L1679=""),"",H1679*L1679)</f>
        <v/>
      </c>
      <c r="N1679" s="34" t="str">
        <f aca="false">IF(OR(K1679="",M1679=""),"",K1679-M1679)</f>
        <v/>
      </c>
      <c r="O1679" s="35" t="str">
        <f aca="false">IF(OR(N1679="",K1679=""),"",IF(K1679=0,"",N1679/K1679))</f>
        <v/>
      </c>
      <c r="P1679" s="25"/>
      <c r="Q1679" s="25"/>
      <c r="R1679" s="25"/>
      <c r="S1679" s="36" t="str">
        <f aca="false">IF(A1679="","",YEAR(A1679)+IF(AND(FYStart&gt;1,MONTH(A1679)&gt;=FYStart),1,0))</f>
        <v/>
      </c>
      <c r="T1679" s="36" t="str">
        <f aca="false">IF(A1679="","",MOD(MONTH(A1679)-FYStart,12)+1)</f>
        <v/>
      </c>
      <c r="U1679" s="37" t="str">
        <f aca="false">IF(A1679="","",TEXT(A1679,"mmm"))</f>
        <v/>
      </c>
      <c r="V1679" s="37" t="str">
        <f aca="false">IF(Q1679="","",IFERROR(INDEX(Settings!$I$11:$I$15,MATCH(Q1679,Settings!$H$11:$H$15,0)),"No"))</f>
        <v/>
      </c>
      <c r="W1679" s="37" t="str">
        <f aca="false">IF(Q1679="","",IFERROR(INDEX(Settings!$J$11:$J$15,MATCH(Q1679,Settings!$H$11:$H$15,0)),"No"))</f>
        <v/>
      </c>
    </row>
    <row r="1680" customFormat="false" ht="15" hidden="false" customHeight="false" outlineLevel="0" collapsed="false">
      <c r="A1680" s="30"/>
      <c r="B1680" s="25"/>
      <c r="C1680" s="25"/>
      <c r="D1680" s="25"/>
      <c r="E1680" s="25"/>
      <c r="F1680" s="25"/>
      <c r="G1680" s="25"/>
      <c r="H1680" s="31"/>
      <c r="I1680" s="32"/>
      <c r="J1680" s="33"/>
      <c r="K1680" s="34" t="str">
        <f aca="false">IF(OR(H1680="",I1680=""),"",H1680*I1680*(1-N(J1680)))</f>
        <v/>
      </c>
      <c r="L1680" s="32"/>
      <c r="M1680" s="34" t="str">
        <f aca="false">IF(OR(H1680="",L1680=""),"",H1680*L1680)</f>
        <v/>
      </c>
      <c r="N1680" s="34" t="str">
        <f aca="false">IF(OR(K1680="",M1680=""),"",K1680-M1680)</f>
        <v/>
      </c>
      <c r="O1680" s="35" t="str">
        <f aca="false">IF(OR(N1680="",K1680=""),"",IF(K1680=0,"",N1680/K1680))</f>
        <v/>
      </c>
      <c r="P1680" s="25"/>
      <c r="Q1680" s="25"/>
      <c r="R1680" s="25"/>
      <c r="S1680" s="36" t="str">
        <f aca="false">IF(A1680="","",YEAR(A1680)+IF(AND(FYStart&gt;1,MONTH(A1680)&gt;=FYStart),1,0))</f>
        <v/>
      </c>
      <c r="T1680" s="36" t="str">
        <f aca="false">IF(A1680="","",MOD(MONTH(A1680)-FYStart,12)+1)</f>
        <v/>
      </c>
      <c r="U1680" s="37" t="str">
        <f aca="false">IF(A1680="","",TEXT(A1680,"mmm"))</f>
        <v/>
      </c>
      <c r="V1680" s="37" t="str">
        <f aca="false">IF(Q1680="","",IFERROR(INDEX(Settings!$I$11:$I$15,MATCH(Q1680,Settings!$H$11:$H$15,0)),"No"))</f>
        <v/>
      </c>
      <c r="W1680" s="37" t="str">
        <f aca="false">IF(Q1680="","",IFERROR(INDEX(Settings!$J$11:$J$15,MATCH(Q1680,Settings!$H$11:$H$15,0)),"No"))</f>
        <v/>
      </c>
    </row>
    <row r="1681" customFormat="false" ht="15" hidden="false" customHeight="false" outlineLevel="0" collapsed="false">
      <c r="A1681" s="30"/>
      <c r="B1681" s="25"/>
      <c r="C1681" s="25"/>
      <c r="D1681" s="25"/>
      <c r="E1681" s="25"/>
      <c r="F1681" s="25"/>
      <c r="G1681" s="25"/>
      <c r="H1681" s="31"/>
      <c r="I1681" s="32"/>
      <c r="J1681" s="33"/>
      <c r="K1681" s="34" t="str">
        <f aca="false">IF(OR(H1681="",I1681=""),"",H1681*I1681*(1-N(J1681)))</f>
        <v/>
      </c>
      <c r="L1681" s="32"/>
      <c r="M1681" s="34" t="str">
        <f aca="false">IF(OR(H1681="",L1681=""),"",H1681*L1681)</f>
        <v/>
      </c>
      <c r="N1681" s="34" t="str">
        <f aca="false">IF(OR(K1681="",M1681=""),"",K1681-M1681)</f>
        <v/>
      </c>
      <c r="O1681" s="35" t="str">
        <f aca="false">IF(OR(N1681="",K1681=""),"",IF(K1681=0,"",N1681/K1681))</f>
        <v/>
      </c>
      <c r="P1681" s="25"/>
      <c r="Q1681" s="25"/>
      <c r="R1681" s="25"/>
      <c r="S1681" s="36" t="str">
        <f aca="false">IF(A1681="","",YEAR(A1681)+IF(AND(FYStart&gt;1,MONTH(A1681)&gt;=FYStart),1,0))</f>
        <v/>
      </c>
      <c r="T1681" s="36" t="str">
        <f aca="false">IF(A1681="","",MOD(MONTH(A1681)-FYStart,12)+1)</f>
        <v/>
      </c>
      <c r="U1681" s="37" t="str">
        <f aca="false">IF(A1681="","",TEXT(A1681,"mmm"))</f>
        <v/>
      </c>
      <c r="V1681" s="37" t="str">
        <f aca="false">IF(Q1681="","",IFERROR(INDEX(Settings!$I$11:$I$15,MATCH(Q1681,Settings!$H$11:$H$15,0)),"No"))</f>
        <v/>
      </c>
      <c r="W1681" s="37" t="str">
        <f aca="false">IF(Q1681="","",IFERROR(INDEX(Settings!$J$11:$J$15,MATCH(Q1681,Settings!$H$11:$H$15,0)),"No"))</f>
        <v/>
      </c>
    </row>
    <row r="1682" customFormat="false" ht="15" hidden="false" customHeight="false" outlineLevel="0" collapsed="false">
      <c r="A1682" s="30"/>
      <c r="B1682" s="25"/>
      <c r="C1682" s="25"/>
      <c r="D1682" s="25"/>
      <c r="E1682" s="25"/>
      <c r="F1682" s="25"/>
      <c r="G1682" s="25"/>
      <c r="H1682" s="31"/>
      <c r="I1682" s="32"/>
      <c r="J1682" s="33"/>
      <c r="K1682" s="34" t="str">
        <f aca="false">IF(OR(H1682="",I1682=""),"",H1682*I1682*(1-N(J1682)))</f>
        <v/>
      </c>
      <c r="L1682" s="32"/>
      <c r="M1682" s="34" t="str">
        <f aca="false">IF(OR(H1682="",L1682=""),"",H1682*L1682)</f>
        <v/>
      </c>
      <c r="N1682" s="34" t="str">
        <f aca="false">IF(OR(K1682="",M1682=""),"",K1682-M1682)</f>
        <v/>
      </c>
      <c r="O1682" s="35" t="str">
        <f aca="false">IF(OR(N1682="",K1682=""),"",IF(K1682=0,"",N1682/K1682))</f>
        <v/>
      </c>
      <c r="P1682" s="25"/>
      <c r="Q1682" s="25"/>
      <c r="R1682" s="25"/>
      <c r="S1682" s="36" t="str">
        <f aca="false">IF(A1682="","",YEAR(A1682)+IF(AND(FYStart&gt;1,MONTH(A1682)&gt;=FYStart),1,0))</f>
        <v/>
      </c>
      <c r="T1682" s="36" t="str">
        <f aca="false">IF(A1682="","",MOD(MONTH(A1682)-FYStart,12)+1)</f>
        <v/>
      </c>
      <c r="U1682" s="37" t="str">
        <f aca="false">IF(A1682="","",TEXT(A1682,"mmm"))</f>
        <v/>
      </c>
      <c r="V1682" s="37" t="str">
        <f aca="false">IF(Q1682="","",IFERROR(INDEX(Settings!$I$11:$I$15,MATCH(Q1682,Settings!$H$11:$H$15,0)),"No"))</f>
        <v/>
      </c>
      <c r="W1682" s="37" t="str">
        <f aca="false">IF(Q1682="","",IFERROR(INDEX(Settings!$J$11:$J$15,MATCH(Q1682,Settings!$H$11:$H$15,0)),"No"))</f>
        <v/>
      </c>
    </row>
    <row r="1683" customFormat="false" ht="15" hidden="false" customHeight="false" outlineLevel="0" collapsed="false">
      <c r="A1683" s="30"/>
      <c r="B1683" s="25"/>
      <c r="C1683" s="25"/>
      <c r="D1683" s="25"/>
      <c r="E1683" s="25"/>
      <c r="F1683" s="25"/>
      <c r="G1683" s="25"/>
      <c r="H1683" s="31"/>
      <c r="I1683" s="32"/>
      <c r="J1683" s="33"/>
      <c r="K1683" s="34" t="str">
        <f aca="false">IF(OR(H1683="",I1683=""),"",H1683*I1683*(1-N(J1683)))</f>
        <v/>
      </c>
      <c r="L1683" s="32"/>
      <c r="M1683" s="34" t="str">
        <f aca="false">IF(OR(H1683="",L1683=""),"",H1683*L1683)</f>
        <v/>
      </c>
      <c r="N1683" s="34" t="str">
        <f aca="false">IF(OR(K1683="",M1683=""),"",K1683-M1683)</f>
        <v/>
      </c>
      <c r="O1683" s="35" t="str">
        <f aca="false">IF(OR(N1683="",K1683=""),"",IF(K1683=0,"",N1683/K1683))</f>
        <v/>
      </c>
      <c r="P1683" s="25"/>
      <c r="Q1683" s="25"/>
      <c r="R1683" s="25"/>
      <c r="S1683" s="36" t="str">
        <f aca="false">IF(A1683="","",YEAR(A1683)+IF(AND(FYStart&gt;1,MONTH(A1683)&gt;=FYStart),1,0))</f>
        <v/>
      </c>
      <c r="T1683" s="36" t="str">
        <f aca="false">IF(A1683="","",MOD(MONTH(A1683)-FYStart,12)+1)</f>
        <v/>
      </c>
      <c r="U1683" s="37" t="str">
        <f aca="false">IF(A1683="","",TEXT(A1683,"mmm"))</f>
        <v/>
      </c>
      <c r="V1683" s="37" t="str">
        <f aca="false">IF(Q1683="","",IFERROR(INDEX(Settings!$I$11:$I$15,MATCH(Q1683,Settings!$H$11:$H$15,0)),"No"))</f>
        <v/>
      </c>
      <c r="W1683" s="37" t="str">
        <f aca="false">IF(Q1683="","",IFERROR(INDEX(Settings!$J$11:$J$15,MATCH(Q1683,Settings!$H$11:$H$15,0)),"No"))</f>
        <v/>
      </c>
    </row>
    <row r="1684" customFormat="false" ht="15" hidden="false" customHeight="false" outlineLevel="0" collapsed="false">
      <c r="A1684" s="30"/>
      <c r="B1684" s="25"/>
      <c r="C1684" s="25"/>
      <c r="D1684" s="25"/>
      <c r="E1684" s="25"/>
      <c r="F1684" s="25"/>
      <c r="G1684" s="25"/>
      <c r="H1684" s="31"/>
      <c r="I1684" s="32"/>
      <c r="J1684" s="33"/>
      <c r="K1684" s="34" t="str">
        <f aca="false">IF(OR(H1684="",I1684=""),"",H1684*I1684*(1-N(J1684)))</f>
        <v/>
      </c>
      <c r="L1684" s="32"/>
      <c r="M1684" s="34" t="str">
        <f aca="false">IF(OR(H1684="",L1684=""),"",H1684*L1684)</f>
        <v/>
      </c>
      <c r="N1684" s="34" t="str">
        <f aca="false">IF(OR(K1684="",M1684=""),"",K1684-M1684)</f>
        <v/>
      </c>
      <c r="O1684" s="35" t="str">
        <f aca="false">IF(OR(N1684="",K1684=""),"",IF(K1684=0,"",N1684/K1684))</f>
        <v/>
      </c>
      <c r="P1684" s="25"/>
      <c r="Q1684" s="25"/>
      <c r="R1684" s="25"/>
      <c r="S1684" s="36" t="str">
        <f aca="false">IF(A1684="","",YEAR(A1684)+IF(AND(FYStart&gt;1,MONTH(A1684)&gt;=FYStart),1,0))</f>
        <v/>
      </c>
      <c r="T1684" s="36" t="str">
        <f aca="false">IF(A1684="","",MOD(MONTH(A1684)-FYStart,12)+1)</f>
        <v/>
      </c>
      <c r="U1684" s="37" t="str">
        <f aca="false">IF(A1684="","",TEXT(A1684,"mmm"))</f>
        <v/>
      </c>
      <c r="V1684" s="37" t="str">
        <f aca="false">IF(Q1684="","",IFERROR(INDEX(Settings!$I$11:$I$15,MATCH(Q1684,Settings!$H$11:$H$15,0)),"No"))</f>
        <v/>
      </c>
      <c r="W1684" s="37" t="str">
        <f aca="false">IF(Q1684="","",IFERROR(INDEX(Settings!$J$11:$J$15,MATCH(Q1684,Settings!$H$11:$H$15,0)),"No"))</f>
        <v/>
      </c>
    </row>
    <row r="1685" customFormat="false" ht="15" hidden="false" customHeight="false" outlineLevel="0" collapsed="false">
      <c r="A1685" s="30"/>
      <c r="B1685" s="25"/>
      <c r="C1685" s="25"/>
      <c r="D1685" s="25"/>
      <c r="E1685" s="25"/>
      <c r="F1685" s="25"/>
      <c r="G1685" s="25"/>
      <c r="H1685" s="31"/>
      <c r="I1685" s="32"/>
      <c r="J1685" s="33"/>
      <c r="K1685" s="34" t="str">
        <f aca="false">IF(OR(H1685="",I1685=""),"",H1685*I1685*(1-N(J1685)))</f>
        <v/>
      </c>
      <c r="L1685" s="32"/>
      <c r="M1685" s="34" t="str">
        <f aca="false">IF(OR(H1685="",L1685=""),"",H1685*L1685)</f>
        <v/>
      </c>
      <c r="N1685" s="34" t="str">
        <f aca="false">IF(OR(K1685="",M1685=""),"",K1685-M1685)</f>
        <v/>
      </c>
      <c r="O1685" s="35" t="str">
        <f aca="false">IF(OR(N1685="",K1685=""),"",IF(K1685=0,"",N1685/K1685))</f>
        <v/>
      </c>
      <c r="P1685" s="25"/>
      <c r="Q1685" s="25"/>
      <c r="R1685" s="25"/>
      <c r="S1685" s="36" t="str">
        <f aca="false">IF(A1685="","",YEAR(A1685)+IF(AND(FYStart&gt;1,MONTH(A1685)&gt;=FYStart),1,0))</f>
        <v/>
      </c>
      <c r="T1685" s="36" t="str">
        <f aca="false">IF(A1685="","",MOD(MONTH(A1685)-FYStart,12)+1)</f>
        <v/>
      </c>
      <c r="U1685" s="37" t="str">
        <f aca="false">IF(A1685="","",TEXT(A1685,"mmm"))</f>
        <v/>
      </c>
      <c r="V1685" s="37" t="str">
        <f aca="false">IF(Q1685="","",IFERROR(INDEX(Settings!$I$11:$I$15,MATCH(Q1685,Settings!$H$11:$H$15,0)),"No"))</f>
        <v/>
      </c>
      <c r="W1685" s="37" t="str">
        <f aca="false">IF(Q1685="","",IFERROR(INDEX(Settings!$J$11:$J$15,MATCH(Q1685,Settings!$H$11:$H$15,0)),"No"))</f>
        <v/>
      </c>
    </row>
    <row r="1686" customFormat="false" ht="15" hidden="false" customHeight="false" outlineLevel="0" collapsed="false">
      <c r="A1686" s="30"/>
      <c r="B1686" s="25"/>
      <c r="C1686" s="25"/>
      <c r="D1686" s="25"/>
      <c r="E1686" s="25"/>
      <c r="F1686" s="25"/>
      <c r="G1686" s="25"/>
      <c r="H1686" s="31"/>
      <c r="I1686" s="32"/>
      <c r="J1686" s="33"/>
      <c r="K1686" s="34" t="str">
        <f aca="false">IF(OR(H1686="",I1686=""),"",H1686*I1686*(1-N(J1686)))</f>
        <v/>
      </c>
      <c r="L1686" s="32"/>
      <c r="M1686" s="34" t="str">
        <f aca="false">IF(OR(H1686="",L1686=""),"",H1686*L1686)</f>
        <v/>
      </c>
      <c r="N1686" s="34" t="str">
        <f aca="false">IF(OR(K1686="",M1686=""),"",K1686-M1686)</f>
        <v/>
      </c>
      <c r="O1686" s="35" t="str">
        <f aca="false">IF(OR(N1686="",K1686=""),"",IF(K1686=0,"",N1686/K1686))</f>
        <v/>
      </c>
      <c r="P1686" s="25"/>
      <c r="Q1686" s="25"/>
      <c r="R1686" s="25"/>
      <c r="S1686" s="36" t="str">
        <f aca="false">IF(A1686="","",YEAR(A1686)+IF(AND(FYStart&gt;1,MONTH(A1686)&gt;=FYStart),1,0))</f>
        <v/>
      </c>
      <c r="T1686" s="36" t="str">
        <f aca="false">IF(A1686="","",MOD(MONTH(A1686)-FYStart,12)+1)</f>
        <v/>
      </c>
      <c r="U1686" s="37" t="str">
        <f aca="false">IF(A1686="","",TEXT(A1686,"mmm"))</f>
        <v/>
      </c>
      <c r="V1686" s="37" t="str">
        <f aca="false">IF(Q1686="","",IFERROR(INDEX(Settings!$I$11:$I$15,MATCH(Q1686,Settings!$H$11:$H$15,0)),"No"))</f>
        <v/>
      </c>
      <c r="W1686" s="37" t="str">
        <f aca="false">IF(Q1686="","",IFERROR(INDEX(Settings!$J$11:$J$15,MATCH(Q1686,Settings!$H$11:$H$15,0)),"No"))</f>
        <v/>
      </c>
    </row>
    <row r="1687" customFormat="false" ht="15" hidden="false" customHeight="false" outlineLevel="0" collapsed="false">
      <c r="A1687" s="30"/>
      <c r="B1687" s="25"/>
      <c r="C1687" s="25"/>
      <c r="D1687" s="25"/>
      <c r="E1687" s="25"/>
      <c r="F1687" s="25"/>
      <c r="G1687" s="25"/>
      <c r="H1687" s="31"/>
      <c r="I1687" s="32"/>
      <c r="J1687" s="33"/>
      <c r="K1687" s="34" t="str">
        <f aca="false">IF(OR(H1687="",I1687=""),"",H1687*I1687*(1-N(J1687)))</f>
        <v/>
      </c>
      <c r="L1687" s="32"/>
      <c r="M1687" s="34" t="str">
        <f aca="false">IF(OR(H1687="",L1687=""),"",H1687*L1687)</f>
        <v/>
      </c>
      <c r="N1687" s="34" t="str">
        <f aca="false">IF(OR(K1687="",M1687=""),"",K1687-M1687)</f>
        <v/>
      </c>
      <c r="O1687" s="35" t="str">
        <f aca="false">IF(OR(N1687="",K1687=""),"",IF(K1687=0,"",N1687/K1687))</f>
        <v/>
      </c>
      <c r="P1687" s="25"/>
      <c r="Q1687" s="25"/>
      <c r="R1687" s="25"/>
      <c r="S1687" s="36" t="str">
        <f aca="false">IF(A1687="","",YEAR(A1687)+IF(AND(FYStart&gt;1,MONTH(A1687)&gt;=FYStart),1,0))</f>
        <v/>
      </c>
      <c r="T1687" s="36" t="str">
        <f aca="false">IF(A1687="","",MOD(MONTH(A1687)-FYStart,12)+1)</f>
        <v/>
      </c>
      <c r="U1687" s="37" t="str">
        <f aca="false">IF(A1687="","",TEXT(A1687,"mmm"))</f>
        <v/>
      </c>
      <c r="V1687" s="37" t="str">
        <f aca="false">IF(Q1687="","",IFERROR(INDEX(Settings!$I$11:$I$15,MATCH(Q1687,Settings!$H$11:$H$15,0)),"No"))</f>
        <v/>
      </c>
      <c r="W1687" s="37" t="str">
        <f aca="false">IF(Q1687="","",IFERROR(INDEX(Settings!$J$11:$J$15,MATCH(Q1687,Settings!$H$11:$H$15,0)),"No"))</f>
        <v/>
      </c>
    </row>
    <row r="1688" customFormat="false" ht="15" hidden="false" customHeight="false" outlineLevel="0" collapsed="false">
      <c r="A1688" s="30"/>
      <c r="B1688" s="25"/>
      <c r="C1688" s="25"/>
      <c r="D1688" s="25"/>
      <c r="E1688" s="25"/>
      <c r="F1688" s="25"/>
      <c r="G1688" s="25"/>
      <c r="H1688" s="31"/>
      <c r="I1688" s="32"/>
      <c r="J1688" s="33"/>
      <c r="K1688" s="34" t="str">
        <f aca="false">IF(OR(H1688="",I1688=""),"",H1688*I1688*(1-N(J1688)))</f>
        <v/>
      </c>
      <c r="L1688" s="32"/>
      <c r="M1688" s="34" t="str">
        <f aca="false">IF(OR(H1688="",L1688=""),"",H1688*L1688)</f>
        <v/>
      </c>
      <c r="N1688" s="34" t="str">
        <f aca="false">IF(OR(K1688="",M1688=""),"",K1688-M1688)</f>
        <v/>
      </c>
      <c r="O1688" s="35" t="str">
        <f aca="false">IF(OR(N1688="",K1688=""),"",IF(K1688=0,"",N1688/K1688))</f>
        <v/>
      </c>
      <c r="P1688" s="25"/>
      <c r="Q1688" s="25"/>
      <c r="R1688" s="25"/>
      <c r="S1688" s="36" t="str">
        <f aca="false">IF(A1688="","",YEAR(A1688)+IF(AND(FYStart&gt;1,MONTH(A1688)&gt;=FYStart),1,0))</f>
        <v/>
      </c>
      <c r="T1688" s="36" t="str">
        <f aca="false">IF(A1688="","",MOD(MONTH(A1688)-FYStart,12)+1)</f>
        <v/>
      </c>
      <c r="U1688" s="37" t="str">
        <f aca="false">IF(A1688="","",TEXT(A1688,"mmm"))</f>
        <v/>
      </c>
      <c r="V1688" s="37" t="str">
        <f aca="false">IF(Q1688="","",IFERROR(INDEX(Settings!$I$11:$I$15,MATCH(Q1688,Settings!$H$11:$H$15,0)),"No"))</f>
        <v/>
      </c>
      <c r="W1688" s="37" t="str">
        <f aca="false">IF(Q1688="","",IFERROR(INDEX(Settings!$J$11:$J$15,MATCH(Q1688,Settings!$H$11:$H$15,0)),"No"))</f>
        <v/>
      </c>
    </row>
    <row r="1689" customFormat="false" ht="15" hidden="false" customHeight="false" outlineLevel="0" collapsed="false">
      <c r="A1689" s="30"/>
      <c r="B1689" s="25"/>
      <c r="C1689" s="25"/>
      <c r="D1689" s="25"/>
      <c r="E1689" s="25"/>
      <c r="F1689" s="25"/>
      <c r="G1689" s="25"/>
      <c r="H1689" s="31"/>
      <c r="I1689" s="32"/>
      <c r="J1689" s="33"/>
      <c r="K1689" s="34" t="str">
        <f aca="false">IF(OR(H1689="",I1689=""),"",H1689*I1689*(1-N(J1689)))</f>
        <v/>
      </c>
      <c r="L1689" s="32"/>
      <c r="M1689" s="34" t="str">
        <f aca="false">IF(OR(H1689="",L1689=""),"",H1689*L1689)</f>
        <v/>
      </c>
      <c r="N1689" s="34" t="str">
        <f aca="false">IF(OR(K1689="",M1689=""),"",K1689-M1689)</f>
        <v/>
      </c>
      <c r="O1689" s="35" t="str">
        <f aca="false">IF(OR(N1689="",K1689=""),"",IF(K1689=0,"",N1689/K1689))</f>
        <v/>
      </c>
      <c r="P1689" s="25"/>
      <c r="Q1689" s="25"/>
      <c r="R1689" s="25"/>
      <c r="S1689" s="36" t="str">
        <f aca="false">IF(A1689="","",YEAR(A1689)+IF(AND(FYStart&gt;1,MONTH(A1689)&gt;=FYStart),1,0))</f>
        <v/>
      </c>
      <c r="T1689" s="36" t="str">
        <f aca="false">IF(A1689="","",MOD(MONTH(A1689)-FYStart,12)+1)</f>
        <v/>
      </c>
      <c r="U1689" s="37" t="str">
        <f aca="false">IF(A1689="","",TEXT(A1689,"mmm"))</f>
        <v/>
      </c>
      <c r="V1689" s="37" t="str">
        <f aca="false">IF(Q1689="","",IFERROR(INDEX(Settings!$I$11:$I$15,MATCH(Q1689,Settings!$H$11:$H$15,0)),"No"))</f>
        <v/>
      </c>
      <c r="W1689" s="37" t="str">
        <f aca="false">IF(Q1689="","",IFERROR(INDEX(Settings!$J$11:$J$15,MATCH(Q1689,Settings!$H$11:$H$15,0)),"No"))</f>
        <v/>
      </c>
    </row>
    <row r="1690" customFormat="false" ht="15" hidden="false" customHeight="false" outlineLevel="0" collapsed="false">
      <c r="A1690" s="30"/>
      <c r="B1690" s="25"/>
      <c r="C1690" s="25"/>
      <c r="D1690" s="25"/>
      <c r="E1690" s="25"/>
      <c r="F1690" s="25"/>
      <c r="G1690" s="25"/>
      <c r="H1690" s="31"/>
      <c r="I1690" s="32"/>
      <c r="J1690" s="33"/>
      <c r="K1690" s="34" t="str">
        <f aca="false">IF(OR(H1690="",I1690=""),"",H1690*I1690*(1-N(J1690)))</f>
        <v/>
      </c>
      <c r="L1690" s="32"/>
      <c r="M1690" s="34" t="str">
        <f aca="false">IF(OR(H1690="",L1690=""),"",H1690*L1690)</f>
        <v/>
      </c>
      <c r="N1690" s="34" t="str">
        <f aca="false">IF(OR(K1690="",M1690=""),"",K1690-M1690)</f>
        <v/>
      </c>
      <c r="O1690" s="35" t="str">
        <f aca="false">IF(OR(N1690="",K1690=""),"",IF(K1690=0,"",N1690/K1690))</f>
        <v/>
      </c>
      <c r="P1690" s="25"/>
      <c r="Q1690" s="25"/>
      <c r="R1690" s="25"/>
      <c r="S1690" s="36" t="str">
        <f aca="false">IF(A1690="","",YEAR(A1690)+IF(AND(FYStart&gt;1,MONTH(A1690)&gt;=FYStart),1,0))</f>
        <v/>
      </c>
      <c r="T1690" s="36" t="str">
        <f aca="false">IF(A1690="","",MOD(MONTH(A1690)-FYStart,12)+1)</f>
        <v/>
      </c>
      <c r="U1690" s="37" t="str">
        <f aca="false">IF(A1690="","",TEXT(A1690,"mmm"))</f>
        <v/>
      </c>
      <c r="V1690" s="37" t="str">
        <f aca="false">IF(Q1690="","",IFERROR(INDEX(Settings!$I$11:$I$15,MATCH(Q1690,Settings!$H$11:$H$15,0)),"No"))</f>
        <v/>
      </c>
      <c r="W1690" s="37" t="str">
        <f aca="false">IF(Q1690="","",IFERROR(INDEX(Settings!$J$11:$J$15,MATCH(Q1690,Settings!$H$11:$H$15,0)),"No"))</f>
        <v/>
      </c>
    </row>
    <row r="1691" customFormat="false" ht="15" hidden="false" customHeight="false" outlineLevel="0" collapsed="false">
      <c r="A1691" s="30"/>
      <c r="B1691" s="25"/>
      <c r="C1691" s="25"/>
      <c r="D1691" s="25"/>
      <c r="E1691" s="25"/>
      <c r="F1691" s="25"/>
      <c r="G1691" s="25"/>
      <c r="H1691" s="31"/>
      <c r="I1691" s="32"/>
      <c r="J1691" s="33"/>
      <c r="K1691" s="34" t="str">
        <f aca="false">IF(OR(H1691="",I1691=""),"",H1691*I1691*(1-N(J1691)))</f>
        <v/>
      </c>
      <c r="L1691" s="32"/>
      <c r="M1691" s="34" t="str">
        <f aca="false">IF(OR(H1691="",L1691=""),"",H1691*L1691)</f>
        <v/>
      </c>
      <c r="N1691" s="34" t="str">
        <f aca="false">IF(OR(K1691="",M1691=""),"",K1691-M1691)</f>
        <v/>
      </c>
      <c r="O1691" s="35" t="str">
        <f aca="false">IF(OR(N1691="",K1691=""),"",IF(K1691=0,"",N1691/K1691))</f>
        <v/>
      </c>
      <c r="P1691" s="25"/>
      <c r="Q1691" s="25"/>
      <c r="R1691" s="25"/>
      <c r="S1691" s="36" t="str">
        <f aca="false">IF(A1691="","",YEAR(A1691)+IF(AND(FYStart&gt;1,MONTH(A1691)&gt;=FYStart),1,0))</f>
        <v/>
      </c>
      <c r="T1691" s="36" t="str">
        <f aca="false">IF(A1691="","",MOD(MONTH(A1691)-FYStart,12)+1)</f>
        <v/>
      </c>
      <c r="U1691" s="37" t="str">
        <f aca="false">IF(A1691="","",TEXT(A1691,"mmm"))</f>
        <v/>
      </c>
      <c r="V1691" s="37" t="str">
        <f aca="false">IF(Q1691="","",IFERROR(INDEX(Settings!$I$11:$I$15,MATCH(Q1691,Settings!$H$11:$H$15,0)),"No"))</f>
        <v/>
      </c>
      <c r="W1691" s="37" t="str">
        <f aca="false">IF(Q1691="","",IFERROR(INDEX(Settings!$J$11:$J$15,MATCH(Q1691,Settings!$H$11:$H$15,0)),"No"))</f>
        <v/>
      </c>
    </row>
    <row r="1692" customFormat="false" ht="15" hidden="false" customHeight="false" outlineLevel="0" collapsed="false">
      <c r="A1692" s="30"/>
      <c r="B1692" s="25"/>
      <c r="C1692" s="25"/>
      <c r="D1692" s="25"/>
      <c r="E1692" s="25"/>
      <c r="F1692" s="25"/>
      <c r="G1692" s="25"/>
      <c r="H1692" s="31"/>
      <c r="I1692" s="32"/>
      <c r="J1692" s="33"/>
      <c r="K1692" s="34" t="str">
        <f aca="false">IF(OR(H1692="",I1692=""),"",H1692*I1692*(1-N(J1692)))</f>
        <v/>
      </c>
      <c r="L1692" s="32"/>
      <c r="M1692" s="34" t="str">
        <f aca="false">IF(OR(H1692="",L1692=""),"",H1692*L1692)</f>
        <v/>
      </c>
      <c r="N1692" s="34" t="str">
        <f aca="false">IF(OR(K1692="",M1692=""),"",K1692-M1692)</f>
        <v/>
      </c>
      <c r="O1692" s="35" t="str">
        <f aca="false">IF(OR(N1692="",K1692=""),"",IF(K1692=0,"",N1692/K1692))</f>
        <v/>
      </c>
      <c r="P1692" s="25"/>
      <c r="Q1692" s="25"/>
      <c r="R1692" s="25"/>
      <c r="S1692" s="36" t="str">
        <f aca="false">IF(A1692="","",YEAR(A1692)+IF(AND(FYStart&gt;1,MONTH(A1692)&gt;=FYStart),1,0))</f>
        <v/>
      </c>
      <c r="T1692" s="36" t="str">
        <f aca="false">IF(A1692="","",MOD(MONTH(A1692)-FYStart,12)+1)</f>
        <v/>
      </c>
      <c r="U1692" s="37" t="str">
        <f aca="false">IF(A1692="","",TEXT(A1692,"mmm"))</f>
        <v/>
      </c>
      <c r="V1692" s="37" t="str">
        <f aca="false">IF(Q1692="","",IFERROR(INDEX(Settings!$I$11:$I$15,MATCH(Q1692,Settings!$H$11:$H$15,0)),"No"))</f>
        <v/>
      </c>
      <c r="W1692" s="37" t="str">
        <f aca="false">IF(Q1692="","",IFERROR(INDEX(Settings!$J$11:$J$15,MATCH(Q1692,Settings!$H$11:$H$15,0)),"No"))</f>
        <v/>
      </c>
    </row>
    <row r="1693" customFormat="false" ht="15" hidden="false" customHeight="false" outlineLevel="0" collapsed="false">
      <c r="A1693" s="30"/>
      <c r="B1693" s="25"/>
      <c r="C1693" s="25"/>
      <c r="D1693" s="25"/>
      <c r="E1693" s="25"/>
      <c r="F1693" s="25"/>
      <c r="G1693" s="25"/>
      <c r="H1693" s="31"/>
      <c r="I1693" s="32"/>
      <c r="J1693" s="33"/>
      <c r="K1693" s="34" t="str">
        <f aca="false">IF(OR(H1693="",I1693=""),"",H1693*I1693*(1-N(J1693)))</f>
        <v/>
      </c>
      <c r="L1693" s="32"/>
      <c r="M1693" s="34" t="str">
        <f aca="false">IF(OR(H1693="",L1693=""),"",H1693*L1693)</f>
        <v/>
      </c>
      <c r="N1693" s="34" t="str">
        <f aca="false">IF(OR(K1693="",M1693=""),"",K1693-M1693)</f>
        <v/>
      </c>
      <c r="O1693" s="35" t="str">
        <f aca="false">IF(OR(N1693="",K1693=""),"",IF(K1693=0,"",N1693/K1693))</f>
        <v/>
      </c>
      <c r="P1693" s="25"/>
      <c r="Q1693" s="25"/>
      <c r="R1693" s="25"/>
      <c r="S1693" s="36" t="str">
        <f aca="false">IF(A1693="","",YEAR(A1693)+IF(AND(FYStart&gt;1,MONTH(A1693)&gt;=FYStart),1,0))</f>
        <v/>
      </c>
      <c r="T1693" s="36" t="str">
        <f aca="false">IF(A1693="","",MOD(MONTH(A1693)-FYStart,12)+1)</f>
        <v/>
      </c>
      <c r="U1693" s="37" t="str">
        <f aca="false">IF(A1693="","",TEXT(A1693,"mmm"))</f>
        <v/>
      </c>
      <c r="V1693" s="37" t="str">
        <f aca="false">IF(Q1693="","",IFERROR(INDEX(Settings!$I$11:$I$15,MATCH(Q1693,Settings!$H$11:$H$15,0)),"No"))</f>
        <v/>
      </c>
      <c r="W1693" s="37" t="str">
        <f aca="false">IF(Q1693="","",IFERROR(INDEX(Settings!$J$11:$J$15,MATCH(Q1693,Settings!$H$11:$H$15,0)),"No"))</f>
        <v/>
      </c>
    </row>
    <row r="1694" customFormat="false" ht="15" hidden="false" customHeight="false" outlineLevel="0" collapsed="false">
      <c r="A1694" s="30"/>
      <c r="B1694" s="25"/>
      <c r="C1694" s="25"/>
      <c r="D1694" s="25"/>
      <c r="E1694" s="25"/>
      <c r="F1694" s="25"/>
      <c r="G1694" s="25"/>
      <c r="H1694" s="31"/>
      <c r="I1694" s="32"/>
      <c r="J1694" s="33"/>
      <c r="K1694" s="34" t="str">
        <f aca="false">IF(OR(H1694="",I1694=""),"",H1694*I1694*(1-N(J1694)))</f>
        <v/>
      </c>
      <c r="L1694" s="32"/>
      <c r="M1694" s="34" t="str">
        <f aca="false">IF(OR(H1694="",L1694=""),"",H1694*L1694)</f>
        <v/>
      </c>
      <c r="N1694" s="34" t="str">
        <f aca="false">IF(OR(K1694="",M1694=""),"",K1694-M1694)</f>
        <v/>
      </c>
      <c r="O1694" s="35" t="str">
        <f aca="false">IF(OR(N1694="",K1694=""),"",IF(K1694=0,"",N1694/K1694))</f>
        <v/>
      </c>
      <c r="P1694" s="25"/>
      <c r="Q1694" s="25"/>
      <c r="R1694" s="25"/>
      <c r="S1694" s="36" t="str">
        <f aca="false">IF(A1694="","",YEAR(A1694)+IF(AND(FYStart&gt;1,MONTH(A1694)&gt;=FYStart),1,0))</f>
        <v/>
      </c>
      <c r="T1694" s="36" t="str">
        <f aca="false">IF(A1694="","",MOD(MONTH(A1694)-FYStart,12)+1)</f>
        <v/>
      </c>
      <c r="U1694" s="37" t="str">
        <f aca="false">IF(A1694="","",TEXT(A1694,"mmm"))</f>
        <v/>
      </c>
      <c r="V1694" s="37" t="str">
        <f aca="false">IF(Q1694="","",IFERROR(INDEX(Settings!$I$11:$I$15,MATCH(Q1694,Settings!$H$11:$H$15,0)),"No"))</f>
        <v/>
      </c>
      <c r="W1694" s="37" t="str">
        <f aca="false">IF(Q1694="","",IFERROR(INDEX(Settings!$J$11:$J$15,MATCH(Q1694,Settings!$H$11:$H$15,0)),"No"))</f>
        <v/>
      </c>
    </row>
    <row r="1695" customFormat="false" ht="15" hidden="false" customHeight="false" outlineLevel="0" collapsed="false">
      <c r="A1695" s="30"/>
      <c r="B1695" s="25"/>
      <c r="C1695" s="25"/>
      <c r="D1695" s="25"/>
      <c r="E1695" s="25"/>
      <c r="F1695" s="25"/>
      <c r="G1695" s="25"/>
      <c r="H1695" s="31"/>
      <c r="I1695" s="32"/>
      <c r="J1695" s="33"/>
      <c r="K1695" s="34" t="str">
        <f aca="false">IF(OR(H1695="",I1695=""),"",H1695*I1695*(1-N(J1695)))</f>
        <v/>
      </c>
      <c r="L1695" s="32"/>
      <c r="M1695" s="34" t="str">
        <f aca="false">IF(OR(H1695="",L1695=""),"",H1695*L1695)</f>
        <v/>
      </c>
      <c r="N1695" s="34" t="str">
        <f aca="false">IF(OR(K1695="",M1695=""),"",K1695-M1695)</f>
        <v/>
      </c>
      <c r="O1695" s="35" t="str">
        <f aca="false">IF(OR(N1695="",K1695=""),"",IF(K1695=0,"",N1695/K1695))</f>
        <v/>
      </c>
      <c r="P1695" s="25"/>
      <c r="Q1695" s="25"/>
      <c r="R1695" s="25"/>
      <c r="S1695" s="36" t="str">
        <f aca="false">IF(A1695="","",YEAR(A1695)+IF(AND(FYStart&gt;1,MONTH(A1695)&gt;=FYStart),1,0))</f>
        <v/>
      </c>
      <c r="T1695" s="36" t="str">
        <f aca="false">IF(A1695="","",MOD(MONTH(A1695)-FYStart,12)+1)</f>
        <v/>
      </c>
      <c r="U1695" s="37" t="str">
        <f aca="false">IF(A1695="","",TEXT(A1695,"mmm"))</f>
        <v/>
      </c>
      <c r="V1695" s="37" t="str">
        <f aca="false">IF(Q1695="","",IFERROR(INDEX(Settings!$I$11:$I$15,MATCH(Q1695,Settings!$H$11:$H$15,0)),"No"))</f>
        <v/>
      </c>
      <c r="W1695" s="37" t="str">
        <f aca="false">IF(Q1695="","",IFERROR(INDEX(Settings!$J$11:$J$15,MATCH(Q1695,Settings!$H$11:$H$15,0)),"No"))</f>
        <v/>
      </c>
    </row>
    <row r="1696" customFormat="false" ht="15" hidden="false" customHeight="false" outlineLevel="0" collapsed="false">
      <c r="A1696" s="30"/>
      <c r="B1696" s="25"/>
      <c r="C1696" s="25"/>
      <c r="D1696" s="25"/>
      <c r="E1696" s="25"/>
      <c r="F1696" s="25"/>
      <c r="G1696" s="25"/>
      <c r="H1696" s="31"/>
      <c r="I1696" s="32"/>
      <c r="J1696" s="33"/>
      <c r="K1696" s="34" t="str">
        <f aca="false">IF(OR(H1696="",I1696=""),"",H1696*I1696*(1-N(J1696)))</f>
        <v/>
      </c>
      <c r="L1696" s="32"/>
      <c r="M1696" s="34" t="str">
        <f aca="false">IF(OR(H1696="",L1696=""),"",H1696*L1696)</f>
        <v/>
      </c>
      <c r="N1696" s="34" t="str">
        <f aca="false">IF(OR(K1696="",M1696=""),"",K1696-M1696)</f>
        <v/>
      </c>
      <c r="O1696" s="35" t="str">
        <f aca="false">IF(OR(N1696="",K1696=""),"",IF(K1696=0,"",N1696/K1696))</f>
        <v/>
      </c>
      <c r="P1696" s="25"/>
      <c r="Q1696" s="25"/>
      <c r="R1696" s="25"/>
      <c r="S1696" s="36" t="str">
        <f aca="false">IF(A1696="","",YEAR(A1696)+IF(AND(FYStart&gt;1,MONTH(A1696)&gt;=FYStart),1,0))</f>
        <v/>
      </c>
      <c r="T1696" s="36" t="str">
        <f aca="false">IF(A1696="","",MOD(MONTH(A1696)-FYStart,12)+1)</f>
        <v/>
      </c>
      <c r="U1696" s="37" t="str">
        <f aca="false">IF(A1696="","",TEXT(A1696,"mmm"))</f>
        <v/>
      </c>
      <c r="V1696" s="37" t="str">
        <f aca="false">IF(Q1696="","",IFERROR(INDEX(Settings!$I$11:$I$15,MATCH(Q1696,Settings!$H$11:$H$15,0)),"No"))</f>
        <v/>
      </c>
      <c r="W1696" s="37" t="str">
        <f aca="false">IF(Q1696="","",IFERROR(INDEX(Settings!$J$11:$J$15,MATCH(Q1696,Settings!$H$11:$H$15,0)),"No"))</f>
        <v/>
      </c>
    </row>
    <row r="1697" customFormat="false" ht="15" hidden="false" customHeight="false" outlineLevel="0" collapsed="false">
      <c r="A1697" s="30"/>
      <c r="B1697" s="25"/>
      <c r="C1697" s="25"/>
      <c r="D1697" s="25"/>
      <c r="E1697" s="25"/>
      <c r="F1697" s="25"/>
      <c r="G1697" s="25"/>
      <c r="H1697" s="31"/>
      <c r="I1697" s="32"/>
      <c r="J1697" s="33"/>
      <c r="K1697" s="34" t="str">
        <f aca="false">IF(OR(H1697="",I1697=""),"",H1697*I1697*(1-N(J1697)))</f>
        <v/>
      </c>
      <c r="L1697" s="32"/>
      <c r="M1697" s="34" t="str">
        <f aca="false">IF(OR(H1697="",L1697=""),"",H1697*L1697)</f>
        <v/>
      </c>
      <c r="N1697" s="34" t="str">
        <f aca="false">IF(OR(K1697="",M1697=""),"",K1697-M1697)</f>
        <v/>
      </c>
      <c r="O1697" s="35" t="str">
        <f aca="false">IF(OR(N1697="",K1697=""),"",IF(K1697=0,"",N1697/K1697))</f>
        <v/>
      </c>
      <c r="P1697" s="25"/>
      <c r="Q1697" s="25"/>
      <c r="R1697" s="25"/>
      <c r="S1697" s="36" t="str">
        <f aca="false">IF(A1697="","",YEAR(A1697)+IF(AND(FYStart&gt;1,MONTH(A1697)&gt;=FYStart),1,0))</f>
        <v/>
      </c>
      <c r="T1697" s="36" t="str">
        <f aca="false">IF(A1697="","",MOD(MONTH(A1697)-FYStart,12)+1)</f>
        <v/>
      </c>
      <c r="U1697" s="37" t="str">
        <f aca="false">IF(A1697="","",TEXT(A1697,"mmm"))</f>
        <v/>
      </c>
      <c r="V1697" s="37" t="str">
        <f aca="false">IF(Q1697="","",IFERROR(INDEX(Settings!$I$11:$I$15,MATCH(Q1697,Settings!$H$11:$H$15,0)),"No"))</f>
        <v/>
      </c>
      <c r="W1697" s="37" t="str">
        <f aca="false">IF(Q1697="","",IFERROR(INDEX(Settings!$J$11:$J$15,MATCH(Q1697,Settings!$H$11:$H$15,0)),"No"))</f>
        <v/>
      </c>
    </row>
    <row r="1698" customFormat="false" ht="15" hidden="false" customHeight="false" outlineLevel="0" collapsed="false">
      <c r="A1698" s="30"/>
      <c r="B1698" s="25"/>
      <c r="C1698" s="25"/>
      <c r="D1698" s="25"/>
      <c r="E1698" s="25"/>
      <c r="F1698" s="25"/>
      <c r="G1698" s="25"/>
      <c r="H1698" s="31"/>
      <c r="I1698" s="32"/>
      <c r="J1698" s="33"/>
      <c r="K1698" s="34" t="str">
        <f aca="false">IF(OR(H1698="",I1698=""),"",H1698*I1698*(1-N(J1698)))</f>
        <v/>
      </c>
      <c r="L1698" s="32"/>
      <c r="M1698" s="34" t="str">
        <f aca="false">IF(OR(H1698="",L1698=""),"",H1698*L1698)</f>
        <v/>
      </c>
      <c r="N1698" s="34" t="str">
        <f aca="false">IF(OR(K1698="",M1698=""),"",K1698-M1698)</f>
        <v/>
      </c>
      <c r="O1698" s="35" t="str">
        <f aca="false">IF(OR(N1698="",K1698=""),"",IF(K1698=0,"",N1698/K1698))</f>
        <v/>
      </c>
      <c r="P1698" s="25"/>
      <c r="Q1698" s="25"/>
      <c r="R1698" s="25"/>
      <c r="S1698" s="36" t="str">
        <f aca="false">IF(A1698="","",YEAR(A1698)+IF(AND(FYStart&gt;1,MONTH(A1698)&gt;=FYStart),1,0))</f>
        <v/>
      </c>
      <c r="T1698" s="36" t="str">
        <f aca="false">IF(A1698="","",MOD(MONTH(A1698)-FYStart,12)+1)</f>
        <v/>
      </c>
      <c r="U1698" s="37" t="str">
        <f aca="false">IF(A1698="","",TEXT(A1698,"mmm"))</f>
        <v/>
      </c>
      <c r="V1698" s="37" t="str">
        <f aca="false">IF(Q1698="","",IFERROR(INDEX(Settings!$I$11:$I$15,MATCH(Q1698,Settings!$H$11:$H$15,0)),"No"))</f>
        <v/>
      </c>
      <c r="W1698" s="37" t="str">
        <f aca="false">IF(Q1698="","",IFERROR(INDEX(Settings!$J$11:$J$15,MATCH(Q1698,Settings!$H$11:$H$15,0)),"No"))</f>
        <v/>
      </c>
    </row>
    <row r="1699" customFormat="false" ht="15" hidden="false" customHeight="false" outlineLevel="0" collapsed="false">
      <c r="A1699" s="30"/>
      <c r="B1699" s="25"/>
      <c r="C1699" s="25"/>
      <c r="D1699" s="25"/>
      <c r="E1699" s="25"/>
      <c r="F1699" s="25"/>
      <c r="G1699" s="25"/>
      <c r="H1699" s="31"/>
      <c r="I1699" s="32"/>
      <c r="J1699" s="33"/>
      <c r="K1699" s="34" t="str">
        <f aca="false">IF(OR(H1699="",I1699=""),"",H1699*I1699*(1-N(J1699)))</f>
        <v/>
      </c>
      <c r="L1699" s="32"/>
      <c r="M1699" s="34" t="str">
        <f aca="false">IF(OR(H1699="",L1699=""),"",H1699*L1699)</f>
        <v/>
      </c>
      <c r="N1699" s="34" t="str">
        <f aca="false">IF(OR(K1699="",M1699=""),"",K1699-M1699)</f>
        <v/>
      </c>
      <c r="O1699" s="35" t="str">
        <f aca="false">IF(OR(N1699="",K1699=""),"",IF(K1699=0,"",N1699/K1699))</f>
        <v/>
      </c>
      <c r="P1699" s="25"/>
      <c r="Q1699" s="25"/>
      <c r="R1699" s="25"/>
      <c r="S1699" s="36" t="str">
        <f aca="false">IF(A1699="","",YEAR(A1699)+IF(AND(FYStart&gt;1,MONTH(A1699)&gt;=FYStart),1,0))</f>
        <v/>
      </c>
      <c r="T1699" s="36" t="str">
        <f aca="false">IF(A1699="","",MOD(MONTH(A1699)-FYStart,12)+1)</f>
        <v/>
      </c>
      <c r="U1699" s="37" t="str">
        <f aca="false">IF(A1699="","",TEXT(A1699,"mmm"))</f>
        <v/>
      </c>
      <c r="V1699" s="37" t="str">
        <f aca="false">IF(Q1699="","",IFERROR(INDEX(Settings!$I$11:$I$15,MATCH(Q1699,Settings!$H$11:$H$15,0)),"No"))</f>
        <v/>
      </c>
      <c r="W1699" s="37" t="str">
        <f aca="false">IF(Q1699="","",IFERROR(INDEX(Settings!$J$11:$J$15,MATCH(Q1699,Settings!$H$11:$H$15,0)),"No"))</f>
        <v/>
      </c>
    </row>
    <row r="1700" customFormat="false" ht="15" hidden="false" customHeight="false" outlineLevel="0" collapsed="false">
      <c r="A1700" s="30"/>
      <c r="B1700" s="25"/>
      <c r="C1700" s="25"/>
      <c r="D1700" s="25"/>
      <c r="E1700" s="25"/>
      <c r="F1700" s="25"/>
      <c r="G1700" s="25"/>
      <c r="H1700" s="31"/>
      <c r="I1700" s="32"/>
      <c r="J1700" s="33"/>
      <c r="K1700" s="34" t="str">
        <f aca="false">IF(OR(H1700="",I1700=""),"",H1700*I1700*(1-N(J1700)))</f>
        <v/>
      </c>
      <c r="L1700" s="32"/>
      <c r="M1700" s="34" t="str">
        <f aca="false">IF(OR(H1700="",L1700=""),"",H1700*L1700)</f>
        <v/>
      </c>
      <c r="N1700" s="34" t="str">
        <f aca="false">IF(OR(K1700="",M1700=""),"",K1700-M1700)</f>
        <v/>
      </c>
      <c r="O1700" s="35" t="str">
        <f aca="false">IF(OR(N1700="",K1700=""),"",IF(K1700=0,"",N1700/K1700))</f>
        <v/>
      </c>
      <c r="P1700" s="25"/>
      <c r="Q1700" s="25"/>
      <c r="R1700" s="25"/>
      <c r="S1700" s="36" t="str">
        <f aca="false">IF(A1700="","",YEAR(A1700)+IF(AND(FYStart&gt;1,MONTH(A1700)&gt;=FYStart),1,0))</f>
        <v/>
      </c>
      <c r="T1700" s="36" t="str">
        <f aca="false">IF(A1700="","",MOD(MONTH(A1700)-FYStart,12)+1)</f>
        <v/>
      </c>
      <c r="U1700" s="37" t="str">
        <f aca="false">IF(A1700="","",TEXT(A1700,"mmm"))</f>
        <v/>
      </c>
      <c r="V1700" s="37" t="str">
        <f aca="false">IF(Q1700="","",IFERROR(INDEX(Settings!$I$11:$I$15,MATCH(Q1700,Settings!$H$11:$H$15,0)),"No"))</f>
        <v/>
      </c>
      <c r="W1700" s="37" t="str">
        <f aca="false">IF(Q1700="","",IFERROR(INDEX(Settings!$J$11:$J$15,MATCH(Q1700,Settings!$H$11:$H$15,0)),"No"))</f>
        <v/>
      </c>
    </row>
    <row r="1701" customFormat="false" ht="15" hidden="false" customHeight="false" outlineLevel="0" collapsed="false">
      <c r="A1701" s="30"/>
      <c r="B1701" s="25"/>
      <c r="C1701" s="25"/>
      <c r="D1701" s="25"/>
      <c r="E1701" s="25"/>
      <c r="F1701" s="25"/>
      <c r="G1701" s="25"/>
      <c r="H1701" s="31"/>
      <c r="I1701" s="32"/>
      <c r="J1701" s="33"/>
      <c r="K1701" s="34" t="str">
        <f aca="false">IF(OR(H1701="",I1701=""),"",H1701*I1701*(1-N(J1701)))</f>
        <v/>
      </c>
      <c r="L1701" s="32"/>
      <c r="M1701" s="34" t="str">
        <f aca="false">IF(OR(H1701="",L1701=""),"",H1701*L1701)</f>
        <v/>
      </c>
      <c r="N1701" s="34" t="str">
        <f aca="false">IF(OR(K1701="",M1701=""),"",K1701-M1701)</f>
        <v/>
      </c>
      <c r="O1701" s="35" t="str">
        <f aca="false">IF(OR(N1701="",K1701=""),"",IF(K1701=0,"",N1701/K1701))</f>
        <v/>
      </c>
      <c r="P1701" s="25"/>
      <c r="Q1701" s="25"/>
      <c r="R1701" s="25"/>
      <c r="S1701" s="36" t="str">
        <f aca="false">IF(A1701="","",YEAR(A1701)+IF(AND(FYStart&gt;1,MONTH(A1701)&gt;=FYStart),1,0))</f>
        <v/>
      </c>
      <c r="T1701" s="36" t="str">
        <f aca="false">IF(A1701="","",MOD(MONTH(A1701)-FYStart,12)+1)</f>
        <v/>
      </c>
      <c r="U1701" s="37" t="str">
        <f aca="false">IF(A1701="","",TEXT(A1701,"mmm"))</f>
        <v/>
      </c>
      <c r="V1701" s="37" t="str">
        <f aca="false">IF(Q1701="","",IFERROR(INDEX(Settings!$I$11:$I$15,MATCH(Q1701,Settings!$H$11:$H$15,0)),"No"))</f>
        <v/>
      </c>
      <c r="W1701" s="37" t="str">
        <f aca="false">IF(Q1701="","",IFERROR(INDEX(Settings!$J$11:$J$15,MATCH(Q1701,Settings!$H$11:$H$15,0)),"No"))</f>
        <v/>
      </c>
    </row>
    <row r="1702" customFormat="false" ht="15" hidden="false" customHeight="false" outlineLevel="0" collapsed="false">
      <c r="A1702" s="30"/>
      <c r="B1702" s="25"/>
      <c r="C1702" s="25"/>
      <c r="D1702" s="25"/>
      <c r="E1702" s="25"/>
      <c r="F1702" s="25"/>
      <c r="G1702" s="25"/>
      <c r="H1702" s="31"/>
      <c r="I1702" s="32"/>
      <c r="J1702" s="33"/>
      <c r="K1702" s="34" t="str">
        <f aca="false">IF(OR(H1702="",I1702=""),"",H1702*I1702*(1-N(J1702)))</f>
        <v/>
      </c>
      <c r="L1702" s="32"/>
      <c r="M1702" s="34" t="str">
        <f aca="false">IF(OR(H1702="",L1702=""),"",H1702*L1702)</f>
        <v/>
      </c>
      <c r="N1702" s="34" t="str">
        <f aca="false">IF(OR(K1702="",M1702=""),"",K1702-M1702)</f>
        <v/>
      </c>
      <c r="O1702" s="35" t="str">
        <f aca="false">IF(OR(N1702="",K1702=""),"",IF(K1702=0,"",N1702/K1702))</f>
        <v/>
      </c>
      <c r="P1702" s="25"/>
      <c r="Q1702" s="25"/>
      <c r="R1702" s="25"/>
      <c r="S1702" s="36" t="str">
        <f aca="false">IF(A1702="","",YEAR(A1702)+IF(AND(FYStart&gt;1,MONTH(A1702)&gt;=FYStart),1,0))</f>
        <v/>
      </c>
      <c r="T1702" s="36" t="str">
        <f aca="false">IF(A1702="","",MOD(MONTH(A1702)-FYStart,12)+1)</f>
        <v/>
      </c>
      <c r="U1702" s="37" t="str">
        <f aca="false">IF(A1702="","",TEXT(A1702,"mmm"))</f>
        <v/>
      </c>
      <c r="V1702" s="37" t="str">
        <f aca="false">IF(Q1702="","",IFERROR(INDEX(Settings!$I$11:$I$15,MATCH(Q1702,Settings!$H$11:$H$15,0)),"No"))</f>
        <v/>
      </c>
      <c r="W1702" s="37" t="str">
        <f aca="false">IF(Q1702="","",IFERROR(INDEX(Settings!$J$11:$J$15,MATCH(Q1702,Settings!$H$11:$H$15,0)),"No"))</f>
        <v/>
      </c>
    </row>
    <row r="1703" customFormat="false" ht="15" hidden="false" customHeight="false" outlineLevel="0" collapsed="false">
      <c r="A1703" s="30"/>
      <c r="B1703" s="25"/>
      <c r="C1703" s="25"/>
      <c r="D1703" s="25"/>
      <c r="E1703" s="25"/>
      <c r="F1703" s="25"/>
      <c r="G1703" s="25"/>
      <c r="H1703" s="31"/>
      <c r="I1703" s="32"/>
      <c r="J1703" s="33"/>
      <c r="K1703" s="34" t="str">
        <f aca="false">IF(OR(H1703="",I1703=""),"",H1703*I1703*(1-N(J1703)))</f>
        <v/>
      </c>
      <c r="L1703" s="32"/>
      <c r="M1703" s="34" t="str">
        <f aca="false">IF(OR(H1703="",L1703=""),"",H1703*L1703)</f>
        <v/>
      </c>
      <c r="N1703" s="34" t="str">
        <f aca="false">IF(OR(K1703="",M1703=""),"",K1703-M1703)</f>
        <v/>
      </c>
      <c r="O1703" s="35" t="str">
        <f aca="false">IF(OR(N1703="",K1703=""),"",IF(K1703=0,"",N1703/K1703))</f>
        <v/>
      </c>
      <c r="P1703" s="25"/>
      <c r="Q1703" s="25"/>
      <c r="R1703" s="25"/>
      <c r="S1703" s="36" t="str">
        <f aca="false">IF(A1703="","",YEAR(A1703)+IF(AND(FYStart&gt;1,MONTH(A1703)&gt;=FYStart),1,0))</f>
        <v/>
      </c>
      <c r="T1703" s="36" t="str">
        <f aca="false">IF(A1703="","",MOD(MONTH(A1703)-FYStart,12)+1)</f>
        <v/>
      </c>
      <c r="U1703" s="37" t="str">
        <f aca="false">IF(A1703="","",TEXT(A1703,"mmm"))</f>
        <v/>
      </c>
      <c r="V1703" s="37" t="str">
        <f aca="false">IF(Q1703="","",IFERROR(INDEX(Settings!$I$11:$I$15,MATCH(Q1703,Settings!$H$11:$H$15,0)),"No"))</f>
        <v/>
      </c>
      <c r="W1703" s="37" t="str">
        <f aca="false">IF(Q1703="","",IFERROR(INDEX(Settings!$J$11:$J$15,MATCH(Q1703,Settings!$H$11:$H$15,0)),"No"))</f>
        <v/>
      </c>
    </row>
    <row r="1704" customFormat="false" ht="15" hidden="false" customHeight="false" outlineLevel="0" collapsed="false">
      <c r="A1704" s="30"/>
      <c r="B1704" s="25"/>
      <c r="C1704" s="25"/>
      <c r="D1704" s="25"/>
      <c r="E1704" s="25"/>
      <c r="F1704" s="25"/>
      <c r="G1704" s="25"/>
      <c r="H1704" s="31"/>
      <c r="I1704" s="32"/>
      <c r="J1704" s="33"/>
      <c r="K1704" s="34" t="str">
        <f aca="false">IF(OR(H1704="",I1704=""),"",H1704*I1704*(1-N(J1704)))</f>
        <v/>
      </c>
      <c r="L1704" s="32"/>
      <c r="M1704" s="34" t="str">
        <f aca="false">IF(OR(H1704="",L1704=""),"",H1704*L1704)</f>
        <v/>
      </c>
      <c r="N1704" s="34" t="str">
        <f aca="false">IF(OR(K1704="",M1704=""),"",K1704-M1704)</f>
        <v/>
      </c>
      <c r="O1704" s="35" t="str">
        <f aca="false">IF(OR(N1704="",K1704=""),"",IF(K1704=0,"",N1704/K1704))</f>
        <v/>
      </c>
      <c r="P1704" s="25"/>
      <c r="Q1704" s="25"/>
      <c r="R1704" s="25"/>
      <c r="S1704" s="36" t="str">
        <f aca="false">IF(A1704="","",YEAR(A1704)+IF(AND(FYStart&gt;1,MONTH(A1704)&gt;=FYStart),1,0))</f>
        <v/>
      </c>
      <c r="T1704" s="36" t="str">
        <f aca="false">IF(A1704="","",MOD(MONTH(A1704)-FYStart,12)+1)</f>
        <v/>
      </c>
      <c r="U1704" s="37" t="str">
        <f aca="false">IF(A1704="","",TEXT(A1704,"mmm"))</f>
        <v/>
      </c>
      <c r="V1704" s="37" t="str">
        <f aca="false">IF(Q1704="","",IFERROR(INDEX(Settings!$I$11:$I$15,MATCH(Q1704,Settings!$H$11:$H$15,0)),"No"))</f>
        <v/>
      </c>
      <c r="W1704" s="37" t="str">
        <f aca="false">IF(Q1704="","",IFERROR(INDEX(Settings!$J$11:$J$15,MATCH(Q1704,Settings!$H$11:$H$15,0)),"No"))</f>
        <v/>
      </c>
    </row>
    <row r="1705" customFormat="false" ht="15" hidden="false" customHeight="false" outlineLevel="0" collapsed="false">
      <c r="A1705" s="30"/>
      <c r="B1705" s="25"/>
      <c r="C1705" s="25"/>
      <c r="D1705" s="25"/>
      <c r="E1705" s="25"/>
      <c r="F1705" s="25"/>
      <c r="G1705" s="25"/>
      <c r="H1705" s="31"/>
      <c r="I1705" s="32"/>
      <c r="J1705" s="33"/>
      <c r="K1705" s="34" t="str">
        <f aca="false">IF(OR(H1705="",I1705=""),"",H1705*I1705*(1-N(J1705)))</f>
        <v/>
      </c>
      <c r="L1705" s="32"/>
      <c r="M1705" s="34" t="str">
        <f aca="false">IF(OR(H1705="",L1705=""),"",H1705*L1705)</f>
        <v/>
      </c>
      <c r="N1705" s="34" t="str">
        <f aca="false">IF(OR(K1705="",M1705=""),"",K1705-M1705)</f>
        <v/>
      </c>
      <c r="O1705" s="35" t="str">
        <f aca="false">IF(OR(N1705="",K1705=""),"",IF(K1705=0,"",N1705/K1705))</f>
        <v/>
      </c>
      <c r="P1705" s="25"/>
      <c r="Q1705" s="25"/>
      <c r="R1705" s="25"/>
      <c r="S1705" s="36" t="str">
        <f aca="false">IF(A1705="","",YEAR(A1705)+IF(AND(FYStart&gt;1,MONTH(A1705)&gt;=FYStart),1,0))</f>
        <v/>
      </c>
      <c r="T1705" s="36" t="str">
        <f aca="false">IF(A1705="","",MOD(MONTH(A1705)-FYStart,12)+1)</f>
        <v/>
      </c>
      <c r="U1705" s="37" t="str">
        <f aca="false">IF(A1705="","",TEXT(A1705,"mmm"))</f>
        <v/>
      </c>
      <c r="V1705" s="37" t="str">
        <f aca="false">IF(Q1705="","",IFERROR(INDEX(Settings!$I$11:$I$15,MATCH(Q1705,Settings!$H$11:$H$15,0)),"No"))</f>
        <v/>
      </c>
      <c r="W1705" s="37" t="str">
        <f aca="false">IF(Q1705="","",IFERROR(INDEX(Settings!$J$11:$J$15,MATCH(Q1705,Settings!$H$11:$H$15,0)),"No"))</f>
        <v/>
      </c>
    </row>
    <row r="1706" customFormat="false" ht="15" hidden="false" customHeight="false" outlineLevel="0" collapsed="false">
      <c r="A1706" s="30"/>
      <c r="B1706" s="25"/>
      <c r="C1706" s="25"/>
      <c r="D1706" s="25"/>
      <c r="E1706" s="25"/>
      <c r="F1706" s="25"/>
      <c r="G1706" s="25"/>
      <c r="H1706" s="31"/>
      <c r="I1706" s="32"/>
      <c r="J1706" s="33"/>
      <c r="K1706" s="34" t="str">
        <f aca="false">IF(OR(H1706="",I1706=""),"",H1706*I1706*(1-N(J1706)))</f>
        <v/>
      </c>
      <c r="L1706" s="32"/>
      <c r="M1706" s="34" t="str">
        <f aca="false">IF(OR(H1706="",L1706=""),"",H1706*L1706)</f>
        <v/>
      </c>
      <c r="N1706" s="34" t="str">
        <f aca="false">IF(OR(K1706="",M1706=""),"",K1706-M1706)</f>
        <v/>
      </c>
      <c r="O1706" s="35" t="str">
        <f aca="false">IF(OR(N1706="",K1706=""),"",IF(K1706=0,"",N1706/K1706))</f>
        <v/>
      </c>
      <c r="P1706" s="25"/>
      <c r="Q1706" s="25"/>
      <c r="R1706" s="25"/>
      <c r="S1706" s="36" t="str">
        <f aca="false">IF(A1706="","",YEAR(A1706)+IF(AND(FYStart&gt;1,MONTH(A1706)&gt;=FYStart),1,0))</f>
        <v/>
      </c>
      <c r="T1706" s="36" t="str">
        <f aca="false">IF(A1706="","",MOD(MONTH(A1706)-FYStart,12)+1)</f>
        <v/>
      </c>
      <c r="U1706" s="37" t="str">
        <f aca="false">IF(A1706="","",TEXT(A1706,"mmm"))</f>
        <v/>
      </c>
      <c r="V1706" s="37" t="str">
        <f aca="false">IF(Q1706="","",IFERROR(INDEX(Settings!$I$11:$I$15,MATCH(Q1706,Settings!$H$11:$H$15,0)),"No"))</f>
        <v/>
      </c>
      <c r="W1706" s="37" t="str">
        <f aca="false">IF(Q1706="","",IFERROR(INDEX(Settings!$J$11:$J$15,MATCH(Q1706,Settings!$H$11:$H$15,0)),"No"))</f>
        <v/>
      </c>
    </row>
    <row r="1707" customFormat="false" ht="15" hidden="false" customHeight="false" outlineLevel="0" collapsed="false">
      <c r="A1707" s="30"/>
      <c r="B1707" s="25"/>
      <c r="C1707" s="25"/>
      <c r="D1707" s="25"/>
      <c r="E1707" s="25"/>
      <c r="F1707" s="25"/>
      <c r="G1707" s="25"/>
      <c r="H1707" s="31"/>
      <c r="I1707" s="32"/>
      <c r="J1707" s="33"/>
      <c r="K1707" s="34" t="str">
        <f aca="false">IF(OR(H1707="",I1707=""),"",H1707*I1707*(1-N(J1707)))</f>
        <v/>
      </c>
      <c r="L1707" s="32"/>
      <c r="M1707" s="34" t="str">
        <f aca="false">IF(OR(H1707="",L1707=""),"",H1707*L1707)</f>
        <v/>
      </c>
      <c r="N1707" s="34" t="str">
        <f aca="false">IF(OR(K1707="",M1707=""),"",K1707-M1707)</f>
        <v/>
      </c>
      <c r="O1707" s="35" t="str">
        <f aca="false">IF(OR(N1707="",K1707=""),"",IF(K1707=0,"",N1707/K1707))</f>
        <v/>
      </c>
      <c r="P1707" s="25"/>
      <c r="Q1707" s="25"/>
      <c r="R1707" s="25"/>
      <c r="S1707" s="36" t="str">
        <f aca="false">IF(A1707="","",YEAR(A1707)+IF(AND(FYStart&gt;1,MONTH(A1707)&gt;=FYStart),1,0))</f>
        <v/>
      </c>
      <c r="T1707" s="36" t="str">
        <f aca="false">IF(A1707="","",MOD(MONTH(A1707)-FYStart,12)+1)</f>
        <v/>
      </c>
      <c r="U1707" s="37" t="str">
        <f aca="false">IF(A1707="","",TEXT(A1707,"mmm"))</f>
        <v/>
      </c>
      <c r="V1707" s="37" t="str">
        <f aca="false">IF(Q1707="","",IFERROR(INDEX(Settings!$I$11:$I$15,MATCH(Q1707,Settings!$H$11:$H$15,0)),"No"))</f>
        <v/>
      </c>
      <c r="W1707" s="37" t="str">
        <f aca="false">IF(Q1707="","",IFERROR(INDEX(Settings!$J$11:$J$15,MATCH(Q1707,Settings!$H$11:$H$15,0)),"No"))</f>
        <v/>
      </c>
    </row>
    <row r="1708" customFormat="false" ht="15" hidden="false" customHeight="false" outlineLevel="0" collapsed="false">
      <c r="A1708" s="30"/>
      <c r="B1708" s="25"/>
      <c r="C1708" s="25"/>
      <c r="D1708" s="25"/>
      <c r="E1708" s="25"/>
      <c r="F1708" s="25"/>
      <c r="G1708" s="25"/>
      <c r="H1708" s="31"/>
      <c r="I1708" s="32"/>
      <c r="J1708" s="33"/>
      <c r="K1708" s="34" t="str">
        <f aca="false">IF(OR(H1708="",I1708=""),"",H1708*I1708*(1-N(J1708)))</f>
        <v/>
      </c>
      <c r="L1708" s="32"/>
      <c r="M1708" s="34" t="str">
        <f aca="false">IF(OR(H1708="",L1708=""),"",H1708*L1708)</f>
        <v/>
      </c>
      <c r="N1708" s="34" t="str">
        <f aca="false">IF(OR(K1708="",M1708=""),"",K1708-M1708)</f>
        <v/>
      </c>
      <c r="O1708" s="35" t="str">
        <f aca="false">IF(OR(N1708="",K1708=""),"",IF(K1708=0,"",N1708/K1708))</f>
        <v/>
      </c>
      <c r="P1708" s="25"/>
      <c r="Q1708" s="25"/>
      <c r="R1708" s="25"/>
      <c r="S1708" s="36" t="str">
        <f aca="false">IF(A1708="","",YEAR(A1708)+IF(AND(FYStart&gt;1,MONTH(A1708)&gt;=FYStart),1,0))</f>
        <v/>
      </c>
      <c r="T1708" s="36" t="str">
        <f aca="false">IF(A1708="","",MOD(MONTH(A1708)-FYStart,12)+1)</f>
        <v/>
      </c>
      <c r="U1708" s="37" t="str">
        <f aca="false">IF(A1708="","",TEXT(A1708,"mmm"))</f>
        <v/>
      </c>
      <c r="V1708" s="37" t="str">
        <f aca="false">IF(Q1708="","",IFERROR(INDEX(Settings!$I$11:$I$15,MATCH(Q1708,Settings!$H$11:$H$15,0)),"No"))</f>
        <v/>
      </c>
      <c r="W1708" s="37" t="str">
        <f aca="false">IF(Q1708="","",IFERROR(INDEX(Settings!$J$11:$J$15,MATCH(Q1708,Settings!$H$11:$H$15,0)),"No"))</f>
        <v/>
      </c>
    </row>
    <row r="1709" customFormat="false" ht="15" hidden="false" customHeight="false" outlineLevel="0" collapsed="false">
      <c r="A1709" s="30"/>
      <c r="B1709" s="25"/>
      <c r="C1709" s="25"/>
      <c r="D1709" s="25"/>
      <c r="E1709" s="25"/>
      <c r="F1709" s="25"/>
      <c r="G1709" s="25"/>
      <c r="H1709" s="31"/>
      <c r="I1709" s="32"/>
      <c r="J1709" s="33"/>
      <c r="K1709" s="34" t="str">
        <f aca="false">IF(OR(H1709="",I1709=""),"",H1709*I1709*(1-N(J1709)))</f>
        <v/>
      </c>
      <c r="L1709" s="32"/>
      <c r="M1709" s="34" t="str">
        <f aca="false">IF(OR(H1709="",L1709=""),"",H1709*L1709)</f>
        <v/>
      </c>
      <c r="N1709" s="34" t="str">
        <f aca="false">IF(OR(K1709="",M1709=""),"",K1709-M1709)</f>
        <v/>
      </c>
      <c r="O1709" s="35" t="str">
        <f aca="false">IF(OR(N1709="",K1709=""),"",IF(K1709=0,"",N1709/K1709))</f>
        <v/>
      </c>
      <c r="P1709" s="25"/>
      <c r="Q1709" s="25"/>
      <c r="R1709" s="25"/>
      <c r="S1709" s="36" t="str">
        <f aca="false">IF(A1709="","",YEAR(A1709)+IF(AND(FYStart&gt;1,MONTH(A1709)&gt;=FYStart),1,0))</f>
        <v/>
      </c>
      <c r="T1709" s="36" t="str">
        <f aca="false">IF(A1709="","",MOD(MONTH(A1709)-FYStart,12)+1)</f>
        <v/>
      </c>
      <c r="U1709" s="37" t="str">
        <f aca="false">IF(A1709="","",TEXT(A1709,"mmm"))</f>
        <v/>
      </c>
      <c r="V1709" s="37" t="str">
        <f aca="false">IF(Q1709="","",IFERROR(INDEX(Settings!$I$11:$I$15,MATCH(Q1709,Settings!$H$11:$H$15,0)),"No"))</f>
        <v/>
      </c>
      <c r="W1709" s="37" t="str">
        <f aca="false">IF(Q1709="","",IFERROR(INDEX(Settings!$J$11:$J$15,MATCH(Q1709,Settings!$H$11:$H$15,0)),"No"))</f>
        <v/>
      </c>
    </row>
    <row r="1710" customFormat="false" ht="15" hidden="false" customHeight="false" outlineLevel="0" collapsed="false">
      <c r="A1710" s="30"/>
      <c r="B1710" s="25"/>
      <c r="C1710" s="25"/>
      <c r="D1710" s="25"/>
      <c r="E1710" s="25"/>
      <c r="F1710" s="25"/>
      <c r="G1710" s="25"/>
      <c r="H1710" s="31"/>
      <c r="I1710" s="32"/>
      <c r="J1710" s="33"/>
      <c r="K1710" s="34" t="str">
        <f aca="false">IF(OR(H1710="",I1710=""),"",H1710*I1710*(1-N(J1710)))</f>
        <v/>
      </c>
      <c r="L1710" s="32"/>
      <c r="M1710" s="34" t="str">
        <f aca="false">IF(OR(H1710="",L1710=""),"",H1710*L1710)</f>
        <v/>
      </c>
      <c r="N1710" s="34" t="str">
        <f aca="false">IF(OR(K1710="",M1710=""),"",K1710-M1710)</f>
        <v/>
      </c>
      <c r="O1710" s="35" t="str">
        <f aca="false">IF(OR(N1710="",K1710=""),"",IF(K1710=0,"",N1710/K1710))</f>
        <v/>
      </c>
      <c r="P1710" s="25"/>
      <c r="Q1710" s="25"/>
      <c r="R1710" s="25"/>
      <c r="S1710" s="36" t="str">
        <f aca="false">IF(A1710="","",YEAR(A1710)+IF(AND(FYStart&gt;1,MONTH(A1710)&gt;=FYStart),1,0))</f>
        <v/>
      </c>
      <c r="T1710" s="36" t="str">
        <f aca="false">IF(A1710="","",MOD(MONTH(A1710)-FYStart,12)+1)</f>
        <v/>
      </c>
      <c r="U1710" s="37" t="str">
        <f aca="false">IF(A1710="","",TEXT(A1710,"mmm"))</f>
        <v/>
      </c>
      <c r="V1710" s="37" t="str">
        <f aca="false">IF(Q1710="","",IFERROR(INDEX(Settings!$I$11:$I$15,MATCH(Q1710,Settings!$H$11:$H$15,0)),"No"))</f>
        <v/>
      </c>
      <c r="W1710" s="37" t="str">
        <f aca="false">IF(Q1710="","",IFERROR(INDEX(Settings!$J$11:$J$15,MATCH(Q1710,Settings!$H$11:$H$15,0)),"No"))</f>
        <v/>
      </c>
    </row>
    <row r="1711" customFormat="false" ht="15" hidden="false" customHeight="false" outlineLevel="0" collapsed="false">
      <c r="A1711" s="30"/>
      <c r="B1711" s="25"/>
      <c r="C1711" s="25"/>
      <c r="D1711" s="25"/>
      <c r="E1711" s="25"/>
      <c r="F1711" s="25"/>
      <c r="G1711" s="25"/>
      <c r="H1711" s="31"/>
      <c r="I1711" s="32"/>
      <c r="J1711" s="33"/>
      <c r="K1711" s="34" t="str">
        <f aca="false">IF(OR(H1711="",I1711=""),"",H1711*I1711*(1-N(J1711)))</f>
        <v/>
      </c>
      <c r="L1711" s="32"/>
      <c r="M1711" s="34" t="str">
        <f aca="false">IF(OR(H1711="",L1711=""),"",H1711*L1711)</f>
        <v/>
      </c>
      <c r="N1711" s="34" t="str">
        <f aca="false">IF(OR(K1711="",M1711=""),"",K1711-M1711)</f>
        <v/>
      </c>
      <c r="O1711" s="35" t="str">
        <f aca="false">IF(OR(N1711="",K1711=""),"",IF(K1711=0,"",N1711/K1711))</f>
        <v/>
      </c>
      <c r="P1711" s="25"/>
      <c r="Q1711" s="25"/>
      <c r="R1711" s="25"/>
      <c r="S1711" s="36" t="str">
        <f aca="false">IF(A1711="","",YEAR(A1711)+IF(AND(FYStart&gt;1,MONTH(A1711)&gt;=FYStart),1,0))</f>
        <v/>
      </c>
      <c r="T1711" s="36" t="str">
        <f aca="false">IF(A1711="","",MOD(MONTH(A1711)-FYStart,12)+1)</f>
        <v/>
      </c>
      <c r="U1711" s="37" t="str">
        <f aca="false">IF(A1711="","",TEXT(A1711,"mmm"))</f>
        <v/>
      </c>
      <c r="V1711" s="37" t="str">
        <f aca="false">IF(Q1711="","",IFERROR(INDEX(Settings!$I$11:$I$15,MATCH(Q1711,Settings!$H$11:$H$15,0)),"No"))</f>
        <v/>
      </c>
      <c r="W1711" s="37" t="str">
        <f aca="false">IF(Q1711="","",IFERROR(INDEX(Settings!$J$11:$J$15,MATCH(Q1711,Settings!$H$11:$H$15,0)),"No"))</f>
        <v/>
      </c>
    </row>
    <row r="1712" customFormat="false" ht="15" hidden="false" customHeight="false" outlineLevel="0" collapsed="false">
      <c r="A1712" s="30"/>
      <c r="B1712" s="25"/>
      <c r="C1712" s="25"/>
      <c r="D1712" s="25"/>
      <c r="E1712" s="25"/>
      <c r="F1712" s="25"/>
      <c r="G1712" s="25"/>
      <c r="H1712" s="31"/>
      <c r="I1712" s="32"/>
      <c r="J1712" s="33"/>
      <c r="K1712" s="34" t="str">
        <f aca="false">IF(OR(H1712="",I1712=""),"",H1712*I1712*(1-N(J1712)))</f>
        <v/>
      </c>
      <c r="L1712" s="32"/>
      <c r="M1712" s="34" t="str">
        <f aca="false">IF(OR(H1712="",L1712=""),"",H1712*L1712)</f>
        <v/>
      </c>
      <c r="N1712" s="34" t="str">
        <f aca="false">IF(OR(K1712="",M1712=""),"",K1712-M1712)</f>
        <v/>
      </c>
      <c r="O1712" s="35" t="str">
        <f aca="false">IF(OR(N1712="",K1712=""),"",IF(K1712=0,"",N1712/K1712))</f>
        <v/>
      </c>
      <c r="P1712" s="25"/>
      <c r="Q1712" s="25"/>
      <c r="R1712" s="25"/>
      <c r="S1712" s="36" t="str">
        <f aca="false">IF(A1712="","",YEAR(A1712)+IF(AND(FYStart&gt;1,MONTH(A1712)&gt;=FYStart),1,0))</f>
        <v/>
      </c>
      <c r="T1712" s="36" t="str">
        <f aca="false">IF(A1712="","",MOD(MONTH(A1712)-FYStart,12)+1)</f>
        <v/>
      </c>
      <c r="U1712" s="37" t="str">
        <f aca="false">IF(A1712="","",TEXT(A1712,"mmm"))</f>
        <v/>
      </c>
      <c r="V1712" s="37" t="str">
        <f aca="false">IF(Q1712="","",IFERROR(INDEX(Settings!$I$11:$I$15,MATCH(Q1712,Settings!$H$11:$H$15,0)),"No"))</f>
        <v/>
      </c>
      <c r="W1712" s="37" t="str">
        <f aca="false">IF(Q1712="","",IFERROR(INDEX(Settings!$J$11:$J$15,MATCH(Q1712,Settings!$H$11:$H$15,0)),"No"))</f>
        <v/>
      </c>
    </row>
    <row r="1713" customFormat="false" ht="15" hidden="false" customHeight="false" outlineLevel="0" collapsed="false">
      <c r="A1713" s="30"/>
      <c r="B1713" s="25"/>
      <c r="C1713" s="25"/>
      <c r="D1713" s="25"/>
      <c r="E1713" s="25"/>
      <c r="F1713" s="25"/>
      <c r="G1713" s="25"/>
      <c r="H1713" s="31"/>
      <c r="I1713" s="32"/>
      <c r="J1713" s="33"/>
      <c r="K1713" s="34" t="str">
        <f aca="false">IF(OR(H1713="",I1713=""),"",H1713*I1713*(1-N(J1713)))</f>
        <v/>
      </c>
      <c r="L1713" s="32"/>
      <c r="M1713" s="34" t="str">
        <f aca="false">IF(OR(H1713="",L1713=""),"",H1713*L1713)</f>
        <v/>
      </c>
      <c r="N1713" s="34" t="str">
        <f aca="false">IF(OR(K1713="",M1713=""),"",K1713-M1713)</f>
        <v/>
      </c>
      <c r="O1713" s="35" t="str">
        <f aca="false">IF(OR(N1713="",K1713=""),"",IF(K1713=0,"",N1713/K1713))</f>
        <v/>
      </c>
      <c r="P1713" s="25"/>
      <c r="Q1713" s="25"/>
      <c r="R1713" s="25"/>
      <c r="S1713" s="36" t="str">
        <f aca="false">IF(A1713="","",YEAR(A1713)+IF(AND(FYStart&gt;1,MONTH(A1713)&gt;=FYStart),1,0))</f>
        <v/>
      </c>
      <c r="T1713" s="36" t="str">
        <f aca="false">IF(A1713="","",MOD(MONTH(A1713)-FYStart,12)+1)</f>
        <v/>
      </c>
      <c r="U1713" s="37" t="str">
        <f aca="false">IF(A1713="","",TEXT(A1713,"mmm"))</f>
        <v/>
      </c>
      <c r="V1713" s="37" t="str">
        <f aca="false">IF(Q1713="","",IFERROR(INDEX(Settings!$I$11:$I$15,MATCH(Q1713,Settings!$H$11:$H$15,0)),"No"))</f>
        <v/>
      </c>
      <c r="W1713" s="37" t="str">
        <f aca="false">IF(Q1713="","",IFERROR(INDEX(Settings!$J$11:$J$15,MATCH(Q1713,Settings!$H$11:$H$15,0)),"No"))</f>
        <v/>
      </c>
    </row>
    <row r="1714" customFormat="false" ht="15" hidden="false" customHeight="false" outlineLevel="0" collapsed="false">
      <c r="A1714" s="30"/>
      <c r="B1714" s="25"/>
      <c r="C1714" s="25"/>
      <c r="D1714" s="25"/>
      <c r="E1714" s="25"/>
      <c r="F1714" s="25"/>
      <c r="G1714" s="25"/>
      <c r="H1714" s="31"/>
      <c r="I1714" s="32"/>
      <c r="J1714" s="33"/>
      <c r="K1714" s="34" t="str">
        <f aca="false">IF(OR(H1714="",I1714=""),"",H1714*I1714*(1-N(J1714)))</f>
        <v/>
      </c>
      <c r="L1714" s="32"/>
      <c r="M1714" s="34" t="str">
        <f aca="false">IF(OR(H1714="",L1714=""),"",H1714*L1714)</f>
        <v/>
      </c>
      <c r="N1714" s="34" t="str">
        <f aca="false">IF(OR(K1714="",M1714=""),"",K1714-M1714)</f>
        <v/>
      </c>
      <c r="O1714" s="35" t="str">
        <f aca="false">IF(OR(N1714="",K1714=""),"",IF(K1714=0,"",N1714/K1714))</f>
        <v/>
      </c>
      <c r="P1714" s="25"/>
      <c r="Q1714" s="25"/>
      <c r="R1714" s="25"/>
      <c r="S1714" s="36" t="str">
        <f aca="false">IF(A1714="","",YEAR(A1714)+IF(AND(FYStart&gt;1,MONTH(A1714)&gt;=FYStart),1,0))</f>
        <v/>
      </c>
      <c r="T1714" s="36" t="str">
        <f aca="false">IF(A1714="","",MOD(MONTH(A1714)-FYStart,12)+1)</f>
        <v/>
      </c>
      <c r="U1714" s="37" t="str">
        <f aca="false">IF(A1714="","",TEXT(A1714,"mmm"))</f>
        <v/>
      </c>
      <c r="V1714" s="37" t="str">
        <f aca="false">IF(Q1714="","",IFERROR(INDEX(Settings!$I$11:$I$15,MATCH(Q1714,Settings!$H$11:$H$15,0)),"No"))</f>
        <v/>
      </c>
      <c r="W1714" s="37" t="str">
        <f aca="false">IF(Q1714="","",IFERROR(INDEX(Settings!$J$11:$J$15,MATCH(Q1714,Settings!$H$11:$H$15,0)),"No"))</f>
        <v/>
      </c>
    </row>
    <row r="1715" customFormat="false" ht="15" hidden="false" customHeight="false" outlineLevel="0" collapsed="false">
      <c r="A1715" s="30"/>
      <c r="B1715" s="25"/>
      <c r="C1715" s="25"/>
      <c r="D1715" s="25"/>
      <c r="E1715" s="25"/>
      <c r="F1715" s="25"/>
      <c r="G1715" s="25"/>
      <c r="H1715" s="31"/>
      <c r="I1715" s="32"/>
      <c r="J1715" s="33"/>
      <c r="K1715" s="34" t="str">
        <f aca="false">IF(OR(H1715="",I1715=""),"",H1715*I1715*(1-N(J1715)))</f>
        <v/>
      </c>
      <c r="L1715" s="32"/>
      <c r="M1715" s="34" t="str">
        <f aca="false">IF(OR(H1715="",L1715=""),"",H1715*L1715)</f>
        <v/>
      </c>
      <c r="N1715" s="34" t="str">
        <f aca="false">IF(OR(K1715="",M1715=""),"",K1715-M1715)</f>
        <v/>
      </c>
      <c r="O1715" s="35" t="str">
        <f aca="false">IF(OR(N1715="",K1715=""),"",IF(K1715=0,"",N1715/K1715))</f>
        <v/>
      </c>
      <c r="P1715" s="25"/>
      <c r="Q1715" s="25"/>
      <c r="R1715" s="25"/>
      <c r="S1715" s="36" t="str">
        <f aca="false">IF(A1715="","",YEAR(A1715)+IF(AND(FYStart&gt;1,MONTH(A1715)&gt;=FYStart),1,0))</f>
        <v/>
      </c>
      <c r="T1715" s="36" t="str">
        <f aca="false">IF(A1715="","",MOD(MONTH(A1715)-FYStart,12)+1)</f>
        <v/>
      </c>
      <c r="U1715" s="37" t="str">
        <f aca="false">IF(A1715="","",TEXT(A1715,"mmm"))</f>
        <v/>
      </c>
      <c r="V1715" s="37" t="str">
        <f aca="false">IF(Q1715="","",IFERROR(INDEX(Settings!$I$11:$I$15,MATCH(Q1715,Settings!$H$11:$H$15,0)),"No"))</f>
        <v/>
      </c>
      <c r="W1715" s="37" t="str">
        <f aca="false">IF(Q1715="","",IFERROR(INDEX(Settings!$J$11:$J$15,MATCH(Q1715,Settings!$H$11:$H$15,0)),"No"))</f>
        <v/>
      </c>
    </row>
    <row r="1716" customFormat="false" ht="15" hidden="false" customHeight="false" outlineLevel="0" collapsed="false">
      <c r="A1716" s="30"/>
      <c r="B1716" s="25"/>
      <c r="C1716" s="25"/>
      <c r="D1716" s="25"/>
      <c r="E1716" s="25"/>
      <c r="F1716" s="25"/>
      <c r="G1716" s="25"/>
      <c r="H1716" s="31"/>
      <c r="I1716" s="32"/>
      <c r="J1716" s="33"/>
      <c r="K1716" s="34" t="str">
        <f aca="false">IF(OR(H1716="",I1716=""),"",H1716*I1716*(1-N(J1716)))</f>
        <v/>
      </c>
      <c r="L1716" s="32"/>
      <c r="M1716" s="34" t="str">
        <f aca="false">IF(OR(H1716="",L1716=""),"",H1716*L1716)</f>
        <v/>
      </c>
      <c r="N1716" s="34" t="str">
        <f aca="false">IF(OR(K1716="",M1716=""),"",K1716-M1716)</f>
        <v/>
      </c>
      <c r="O1716" s="35" t="str">
        <f aca="false">IF(OR(N1716="",K1716=""),"",IF(K1716=0,"",N1716/K1716))</f>
        <v/>
      </c>
      <c r="P1716" s="25"/>
      <c r="Q1716" s="25"/>
      <c r="R1716" s="25"/>
      <c r="S1716" s="36" t="str">
        <f aca="false">IF(A1716="","",YEAR(A1716)+IF(AND(FYStart&gt;1,MONTH(A1716)&gt;=FYStart),1,0))</f>
        <v/>
      </c>
      <c r="T1716" s="36" t="str">
        <f aca="false">IF(A1716="","",MOD(MONTH(A1716)-FYStart,12)+1)</f>
        <v/>
      </c>
      <c r="U1716" s="37" t="str">
        <f aca="false">IF(A1716="","",TEXT(A1716,"mmm"))</f>
        <v/>
      </c>
      <c r="V1716" s="37" t="str">
        <f aca="false">IF(Q1716="","",IFERROR(INDEX(Settings!$I$11:$I$15,MATCH(Q1716,Settings!$H$11:$H$15,0)),"No"))</f>
        <v/>
      </c>
      <c r="W1716" s="37" t="str">
        <f aca="false">IF(Q1716="","",IFERROR(INDEX(Settings!$J$11:$J$15,MATCH(Q1716,Settings!$H$11:$H$15,0)),"No"))</f>
        <v/>
      </c>
    </row>
    <row r="1717" customFormat="false" ht="15" hidden="false" customHeight="false" outlineLevel="0" collapsed="false">
      <c r="A1717" s="30"/>
      <c r="B1717" s="25"/>
      <c r="C1717" s="25"/>
      <c r="D1717" s="25"/>
      <c r="E1717" s="25"/>
      <c r="F1717" s="25"/>
      <c r="G1717" s="25"/>
      <c r="H1717" s="31"/>
      <c r="I1717" s="32"/>
      <c r="J1717" s="33"/>
      <c r="K1717" s="34" t="str">
        <f aca="false">IF(OR(H1717="",I1717=""),"",H1717*I1717*(1-N(J1717)))</f>
        <v/>
      </c>
      <c r="L1717" s="32"/>
      <c r="M1717" s="34" t="str">
        <f aca="false">IF(OR(H1717="",L1717=""),"",H1717*L1717)</f>
        <v/>
      </c>
      <c r="N1717" s="34" t="str">
        <f aca="false">IF(OR(K1717="",M1717=""),"",K1717-M1717)</f>
        <v/>
      </c>
      <c r="O1717" s="35" t="str">
        <f aca="false">IF(OR(N1717="",K1717=""),"",IF(K1717=0,"",N1717/K1717))</f>
        <v/>
      </c>
      <c r="P1717" s="25"/>
      <c r="Q1717" s="25"/>
      <c r="R1717" s="25"/>
      <c r="S1717" s="36" t="str">
        <f aca="false">IF(A1717="","",YEAR(A1717)+IF(AND(FYStart&gt;1,MONTH(A1717)&gt;=FYStart),1,0))</f>
        <v/>
      </c>
      <c r="T1717" s="36" t="str">
        <f aca="false">IF(A1717="","",MOD(MONTH(A1717)-FYStart,12)+1)</f>
        <v/>
      </c>
      <c r="U1717" s="37" t="str">
        <f aca="false">IF(A1717="","",TEXT(A1717,"mmm"))</f>
        <v/>
      </c>
      <c r="V1717" s="37" t="str">
        <f aca="false">IF(Q1717="","",IFERROR(INDEX(Settings!$I$11:$I$15,MATCH(Q1717,Settings!$H$11:$H$15,0)),"No"))</f>
        <v/>
      </c>
      <c r="W1717" s="37" t="str">
        <f aca="false">IF(Q1717="","",IFERROR(INDEX(Settings!$J$11:$J$15,MATCH(Q1717,Settings!$H$11:$H$15,0)),"No"))</f>
        <v/>
      </c>
    </row>
    <row r="1718" customFormat="false" ht="15" hidden="false" customHeight="false" outlineLevel="0" collapsed="false">
      <c r="A1718" s="30"/>
      <c r="B1718" s="25"/>
      <c r="C1718" s="25"/>
      <c r="D1718" s="25"/>
      <c r="E1718" s="25"/>
      <c r="F1718" s="25"/>
      <c r="G1718" s="25"/>
      <c r="H1718" s="31"/>
      <c r="I1718" s="32"/>
      <c r="J1718" s="33"/>
      <c r="K1718" s="34" t="str">
        <f aca="false">IF(OR(H1718="",I1718=""),"",H1718*I1718*(1-N(J1718)))</f>
        <v/>
      </c>
      <c r="L1718" s="32"/>
      <c r="M1718" s="34" t="str">
        <f aca="false">IF(OR(H1718="",L1718=""),"",H1718*L1718)</f>
        <v/>
      </c>
      <c r="N1718" s="34" t="str">
        <f aca="false">IF(OR(K1718="",M1718=""),"",K1718-M1718)</f>
        <v/>
      </c>
      <c r="O1718" s="35" t="str">
        <f aca="false">IF(OR(N1718="",K1718=""),"",IF(K1718=0,"",N1718/K1718))</f>
        <v/>
      </c>
      <c r="P1718" s="25"/>
      <c r="Q1718" s="25"/>
      <c r="R1718" s="25"/>
      <c r="S1718" s="36" t="str">
        <f aca="false">IF(A1718="","",YEAR(A1718)+IF(AND(FYStart&gt;1,MONTH(A1718)&gt;=FYStart),1,0))</f>
        <v/>
      </c>
      <c r="T1718" s="36" t="str">
        <f aca="false">IF(A1718="","",MOD(MONTH(A1718)-FYStart,12)+1)</f>
        <v/>
      </c>
      <c r="U1718" s="37" t="str">
        <f aca="false">IF(A1718="","",TEXT(A1718,"mmm"))</f>
        <v/>
      </c>
      <c r="V1718" s="37" t="str">
        <f aca="false">IF(Q1718="","",IFERROR(INDEX(Settings!$I$11:$I$15,MATCH(Q1718,Settings!$H$11:$H$15,0)),"No"))</f>
        <v/>
      </c>
      <c r="W1718" s="37" t="str">
        <f aca="false">IF(Q1718="","",IFERROR(INDEX(Settings!$J$11:$J$15,MATCH(Q1718,Settings!$H$11:$H$15,0)),"No"))</f>
        <v/>
      </c>
    </row>
    <row r="1719" customFormat="false" ht="15" hidden="false" customHeight="false" outlineLevel="0" collapsed="false">
      <c r="A1719" s="30"/>
      <c r="B1719" s="25"/>
      <c r="C1719" s="25"/>
      <c r="D1719" s="25"/>
      <c r="E1719" s="25"/>
      <c r="F1719" s="25"/>
      <c r="G1719" s="25"/>
      <c r="H1719" s="31"/>
      <c r="I1719" s="32"/>
      <c r="J1719" s="33"/>
      <c r="K1719" s="34" t="str">
        <f aca="false">IF(OR(H1719="",I1719=""),"",H1719*I1719*(1-N(J1719)))</f>
        <v/>
      </c>
      <c r="L1719" s="32"/>
      <c r="M1719" s="34" t="str">
        <f aca="false">IF(OR(H1719="",L1719=""),"",H1719*L1719)</f>
        <v/>
      </c>
      <c r="N1719" s="34" t="str">
        <f aca="false">IF(OR(K1719="",M1719=""),"",K1719-M1719)</f>
        <v/>
      </c>
      <c r="O1719" s="35" t="str">
        <f aca="false">IF(OR(N1719="",K1719=""),"",IF(K1719=0,"",N1719/K1719))</f>
        <v/>
      </c>
      <c r="P1719" s="25"/>
      <c r="Q1719" s="25"/>
      <c r="R1719" s="25"/>
      <c r="S1719" s="36" t="str">
        <f aca="false">IF(A1719="","",YEAR(A1719)+IF(AND(FYStart&gt;1,MONTH(A1719)&gt;=FYStart),1,0))</f>
        <v/>
      </c>
      <c r="T1719" s="36" t="str">
        <f aca="false">IF(A1719="","",MOD(MONTH(A1719)-FYStart,12)+1)</f>
        <v/>
      </c>
      <c r="U1719" s="37" t="str">
        <f aca="false">IF(A1719="","",TEXT(A1719,"mmm"))</f>
        <v/>
      </c>
      <c r="V1719" s="37" t="str">
        <f aca="false">IF(Q1719="","",IFERROR(INDEX(Settings!$I$11:$I$15,MATCH(Q1719,Settings!$H$11:$H$15,0)),"No"))</f>
        <v/>
      </c>
      <c r="W1719" s="37" t="str">
        <f aca="false">IF(Q1719="","",IFERROR(INDEX(Settings!$J$11:$J$15,MATCH(Q1719,Settings!$H$11:$H$15,0)),"No"))</f>
        <v/>
      </c>
    </row>
    <row r="1720" customFormat="false" ht="15" hidden="false" customHeight="false" outlineLevel="0" collapsed="false">
      <c r="A1720" s="30"/>
      <c r="B1720" s="25"/>
      <c r="C1720" s="25"/>
      <c r="D1720" s="25"/>
      <c r="E1720" s="25"/>
      <c r="F1720" s="25"/>
      <c r="G1720" s="25"/>
      <c r="H1720" s="31"/>
      <c r="I1720" s="32"/>
      <c r="J1720" s="33"/>
      <c r="K1720" s="34" t="str">
        <f aca="false">IF(OR(H1720="",I1720=""),"",H1720*I1720*(1-N(J1720)))</f>
        <v/>
      </c>
      <c r="L1720" s="32"/>
      <c r="M1720" s="34" t="str">
        <f aca="false">IF(OR(H1720="",L1720=""),"",H1720*L1720)</f>
        <v/>
      </c>
      <c r="N1720" s="34" t="str">
        <f aca="false">IF(OR(K1720="",M1720=""),"",K1720-M1720)</f>
        <v/>
      </c>
      <c r="O1720" s="35" t="str">
        <f aca="false">IF(OR(N1720="",K1720=""),"",IF(K1720=0,"",N1720/K1720))</f>
        <v/>
      </c>
      <c r="P1720" s="25"/>
      <c r="Q1720" s="25"/>
      <c r="R1720" s="25"/>
      <c r="S1720" s="36" t="str">
        <f aca="false">IF(A1720="","",YEAR(A1720)+IF(AND(FYStart&gt;1,MONTH(A1720)&gt;=FYStart),1,0))</f>
        <v/>
      </c>
      <c r="T1720" s="36" t="str">
        <f aca="false">IF(A1720="","",MOD(MONTH(A1720)-FYStart,12)+1)</f>
        <v/>
      </c>
      <c r="U1720" s="37" t="str">
        <f aca="false">IF(A1720="","",TEXT(A1720,"mmm"))</f>
        <v/>
      </c>
      <c r="V1720" s="37" t="str">
        <f aca="false">IF(Q1720="","",IFERROR(INDEX(Settings!$I$11:$I$15,MATCH(Q1720,Settings!$H$11:$H$15,0)),"No"))</f>
        <v/>
      </c>
      <c r="W1720" s="37" t="str">
        <f aca="false">IF(Q1720="","",IFERROR(INDEX(Settings!$J$11:$J$15,MATCH(Q1720,Settings!$H$11:$H$15,0)),"No"))</f>
        <v/>
      </c>
    </row>
    <row r="1721" customFormat="false" ht="15" hidden="false" customHeight="false" outlineLevel="0" collapsed="false">
      <c r="A1721" s="30"/>
      <c r="B1721" s="25"/>
      <c r="C1721" s="25"/>
      <c r="D1721" s="25"/>
      <c r="E1721" s="25"/>
      <c r="F1721" s="25"/>
      <c r="G1721" s="25"/>
      <c r="H1721" s="31"/>
      <c r="I1721" s="32"/>
      <c r="J1721" s="33"/>
      <c r="K1721" s="34" t="str">
        <f aca="false">IF(OR(H1721="",I1721=""),"",H1721*I1721*(1-N(J1721)))</f>
        <v/>
      </c>
      <c r="L1721" s="32"/>
      <c r="M1721" s="34" t="str">
        <f aca="false">IF(OR(H1721="",L1721=""),"",H1721*L1721)</f>
        <v/>
      </c>
      <c r="N1721" s="34" t="str">
        <f aca="false">IF(OR(K1721="",M1721=""),"",K1721-M1721)</f>
        <v/>
      </c>
      <c r="O1721" s="35" t="str">
        <f aca="false">IF(OR(N1721="",K1721=""),"",IF(K1721=0,"",N1721/K1721))</f>
        <v/>
      </c>
      <c r="P1721" s="25"/>
      <c r="Q1721" s="25"/>
      <c r="R1721" s="25"/>
      <c r="S1721" s="36" t="str">
        <f aca="false">IF(A1721="","",YEAR(A1721)+IF(AND(FYStart&gt;1,MONTH(A1721)&gt;=FYStart),1,0))</f>
        <v/>
      </c>
      <c r="T1721" s="36" t="str">
        <f aca="false">IF(A1721="","",MOD(MONTH(A1721)-FYStart,12)+1)</f>
        <v/>
      </c>
      <c r="U1721" s="37" t="str">
        <f aca="false">IF(A1721="","",TEXT(A1721,"mmm"))</f>
        <v/>
      </c>
      <c r="V1721" s="37" t="str">
        <f aca="false">IF(Q1721="","",IFERROR(INDEX(Settings!$I$11:$I$15,MATCH(Q1721,Settings!$H$11:$H$15,0)),"No"))</f>
        <v/>
      </c>
      <c r="W1721" s="37" t="str">
        <f aca="false">IF(Q1721="","",IFERROR(INDEX(Settings!$J$11:$J$15,MATCH(Q1721,Settings!$H$11:$H$15,0)),"No"))</f>
        <v/>
      </c>
    </row>
    <row r="1722" customFormat="false" ht="15" hidden="false" customHeight="false" outlineLevel="0" collapsed="false">
      <c r="A1722" s="30"/>
      <c r="B1722" s="25"/>
      <c r="C1722" s="25"/>
      <c r="D1722" s="25"/>
      <c r="E1722" s="25"/>
      <c r="F1722" s="25"/>
      <c r="G1722" s="25"/>
      <c r="H1722" s="31"/>
      <c r="I1722" s="32"/>
      <c r="J1722" s="33"/>
      <c r="K1722" s="34" t="str">
        <f aca="false">IF(OR(H1722="",I1722=""),"",H1722*I1722*(1-N(J1722)))</f>
        <v/>
      </c>
      <c r="L1722" s="32"/>
      <c r="M1722" s="34" t="str">
        <f aca="false">IF(OR(H1722="",L1722=""),"",H1722*L1722)</f>
        <v/>
      </c>
      <c r="N1722" s="34" t="str">
        <f aca="false">IF(OR(K1722="",M1722=""),"",K1722-M1722)</f>
        <v/>
      </c>
      <c r="O1722" s="35" t="str">
        <f aca="false">IF(OR(N1722="",K1722=""),"",IF(K1722=0,"",N1722/K1722))</f>
        <v/>
      </c>
      <c r="P1722" s="25"/>
      <c r="Q1722" s="25"/>
      <c r="R1722" s="25"/>
      <c r="S1722" s="36" t="str">
        <f aca="false">IF(A1722="","",YEAR(A1722)+IF(AND(FYStart&gt;1,MONTH(A1722)&gt;=FYStart),1,0))</f>
        <v/>
      </c>
      <c r="T1722" s="36" t="str">
        <f aca="false">IF(A1722="","",MOD(MONTH(A1722)-FYStart,12)+1)</f>
        <v/>
      </c>
      <c r="U1722" s="37" t="str">
        <f aca="false">IF(A1722="","",TEXT(A1722,"mmm"))</f>
        <v/>
      </c>
      <c r="V1722" s="37" t="str">
        <f aca="false">IF(Q1722="","",IFERROR(INDEX(Settings!$I$11:$I$15,MATCH(Q1722,Settings!$H$11:$H$15,0)),"No"))</f>
        <v/>
      </c>
      <c r="W1722" s="37" t="str">
        <f aca="false">IF(Q1722="","",IFERROR(INDEX(Settings!$J$11:$J$15,MATCH(Q1722,Settings!$H$11:$H$15,0)),"No"))</f>
        <v/>
      </c>
    </row>
    <row r="1723" customFormat="false" ht="15" hidden="false" customHeight="false" outlineLevel="0" collapsed="false">
      <c r="A1723" s="30"/>
      <c r="B1723" s="25"/>
      <c r="C1723" s="25"/>
      <c r="D1723" s="25"/>
      <c r="E1723" s="25"/>
      <c r="F1723" s="25"/>
      <c r="G1723" s="25"/>
      <c r="H1723" s="31"/>
      <c r="I1723" s="32"/>
      <c r="J1723" s="33"/>
      <c r="K1723" s="34" t="str">
        <f aca="false">IF(OR(H1723="",I1723=""),"",H1723*I1723*(1-N(J1723)))</f>
        <v/>
      </c>
      <c r="L1723" s="32"/>
      <c r="M1723" s="34" t="str">
        <f aca="false">IF(OR(H1723="",L1723=""),"",H1723*L1723)</f>
        <v/>
      </c>
      <c r="N1723" s="34" t="str">
        <f aca="false">IF(OR(K1723="",M1723=""),"",K1723-M1723)</f>
        <v/>
      </c>
      <c r="O1723" s="35" t="str">
        <f aca="false">IF(OR(N1723="",K1723=""),"",IF(K1723=0,"",N1723/K1723))</f>
        <v/>
      </c>
      <c r="P1723" s="25"/>
      <c r="Q1723" s="25"/>
      <c r="R1723" s="25"/>
      <c r="S1723" s="36" t="str">
        <f aca="false">IF(A1723="","",YEAR(A1723)+IF(AND(FYStart&gt;1,MONTH(A1723)&gt;=FYStart),1,0))</f>
        <v/>
      </c>
      <c r="T1723" s="36" t="str">
        <f aca="false">IF(A1723="","",MOD(MONTH(A1723)-FYStart,12)+1)</f>
        <v/>
      </c>
      <c r="U1723" s="37" t="str">
        <f aca="false">IF(A1723="","",TEXT(A1723,"mmm"))</f>
        <v/>
      </c>
      <c r="V1723" s="37" t="str">
        <f aca="false">IF(Q1723="","",IFERROR(INDEX(Settings!$I$11:$I$15,MATCH(Q1723,Settings!$H$11:$H$15,0)),"No"))</f>
        <v/>
      </c>
      <c r="W1723" s="37" t="str">
        <f aca="false">IF(Q1723="","",IFERROR(INDEX(Settings!$J$11:$J$15,MATCH(Q1723,Settings!$H$11:$H$15,0)),"No"))</f>
        <v/>
      </c>
    </row>
    <row r="1724" customFormat="false" ht="15" hidden="false" customHeight="false" outlineLevel="0" collapsed="false">
      <c r="A1724" s="30"/>
      <c r="B1724" s="25"/>
      <c r="C1724" s="25"/>
      <c r="D1724" s="25"/>
      <c r="E1724" s="25"/>
      <c r="F1724" s="25"/>
      <c r="G1724" s="25"/>
      <c r="H1724" s="31"/>
      <c r="I1724" s="32"/>
      <c r="J1724" s="33"/>
      <c r="K1724" s="34" t="str">
        <f aca="false">IF(OR(H1724="",I1724=""),"",H1724*I1724*(1-N(J1724)))</f>
        <v/>
      </c>
      <c r="L1724" s="32"/>
      <c r="M1724" s="34" t="str">
        <f aca="false">IF(OR(H1724="",L1724=""),"",H1724*L1724)</f>
        <v/>
      </c>
      <c r="N1724" s="34" t="str">
        <f aca="false">IF(OR(K1724="",M1724=""),"",K1724-M1724)</f>
        <v/>
      </c>
      <c r="O1724" s="35" t="str">
        <f aca="false">IF(OR(N1724="",K1724=""),"",IF(K1724=0,"",N1724/K1724))</f>
        <v/>
      </c>
      <c r="P1724" s="25"/>
      <c r="Q1724" s="25"/>
      <c r="R1724" s="25"/>
      <c r="S1724" s="36" t="str">
        <f aca="false">IF(A1724="","",YEAR(A1724)+IF(AND(FYStart&gt;1,MONTH(A1724)&gt;=FYStart),1,0))</f>
        <v/>
      </c>
      <c r="T1724" s="36" t="str">
        <f aca="false">IF(A1724="","",MOD(MONTH(A1724)-FYStart,12)+1)</f>
        <v/>
      </c>
      <c r="U1724" s="37" t="str">
        <f aca="false">IF(A1724="","",TEXT(A1724,"mmm"))</f>
        <v/>
      </c>
      <c r="V1724" s="37" t="str">
        <f aca="false">IF(Q1724="","",IFERROR(INDEX(Settings!$I$11:$I$15,MATCH(Q1724,Settings!$H$11:$H$15,0)),"No"))</f>
        <v/>
      </c>
      <c r="W1724" s="37" t="str">
        <f aca="false">IF(Q1724="","",IFERROR(INDEX(Settings!$J$11:$J$15,MATCH(Q1724,Settings!$H$11:$H$15,0)),"No"))</f>
        <v/>
      </c>
    </row>
    <row r="1725" customFormat="false" ht="15" hidden="false" customHeight="false" outlineLevel="0" collapsed="false">
      <c r="A1725" s="30"/>
      <c r="B1725" s="25"/>
      <c r="C1725" s="25"/>
      <c r="D1725" s="25"/>
      <c r="E1725" s="25"/>
      <c r="F1725" s="25"/>
      <c r="G1725" s="25"/>
      <c r="H1725" s="31"/>
      <c r="I1725" s="32"/>
      <c r="J1725" s="33"/>
      <c r="K1725" s="34" t="str">
        <f aca="false">IF(OR(H1725="",I1725=""),"",H1725*I1725*(1-N(J1725)))</f>
        <v/>
      </c>
      <c r="L1725" s="32"/>
      <c r="M1725" s="34" t="str">
        <f aca="false">IF(OR(H1725="",L1725=""),"",H1725*L1725)</f>
        <v/>
      </c>
      <c r="N1725" s="34" t="str">
        <f aca="false">IF(OR(K1725="",M1725=""),"",K1725-M1725)</f>
        <v/>
      </c>
      <c r="O1725" s="35" t="str">
        <f aca="false">IF(OR(N1725="",K1725=""),"",IF(K1725=0,"",N1725/K1725))</f>
        <v/>
      </c>
      <c r="P1725" s="25"/>
      <c r="Q1725" s="25"/>
      <c r="R1725" s="25"/>
      <c r="S1725" s="36" t="str">
        <f aca="false">IF(A1725="","",YEAR(A1725)+IF(AND(FYStart&gt;1,MONTH(A1725)&gt;=FYStart),1,0))</f>
        <v/>
      </c>
      <c r="T1725" s="36" t="str">
        <f aca="false">IF(A1725="","",MOD(MONTH(A1725)-FYStart,12)+1)</f>
        <v/>
      </c>
      <c r="U1725" s="37" t="str">
        <f aca="false">IF(A1725="","",TEXT(A1725,"mmm"))</f>
        <v/>
      </c>
      <c r="V1725" s="37" t="str">
        <f aca="false">IF(Q1725="","",IFERROR(INDEX(Settings!$I$11:$I$15,MATCH(Q1725,Settings!$H$11:$H$15,0)),"No"))</f>
        <v/>
      </c>
      <c r="W1725" s="37" t="str">
        <f aca="false">IF(Q1725="","",IFERROR(INDEX(Settings!$J$11:$J$15,MATCH(Q1725,Settings!$H$11:$H$15,0)),"No"))</f>
        <v/>
      </c>
    </row>
    <row r="1726" customFormat="false" ht="15" hidden="false" customHeight="false" outlineLevel="0" collapsed="false">
      <c r="A1726" s="30"/>
      <c r="B1726" s="25"/>
      <c r="C1726" s="25"/>
      <c r="D1726" s="25"/>
      <c r="E1726" s="25"/>
      <c r="F1726" s="25"/>
      <c r="G1726" s="25"/>
      <c r="H1726" s="31"/>
      <c r="I1726" s="32"/>
      <c r="J1726" s="33"/>
      <c r="K1726" s="34" t="str">
        <f aca="false">IF(OR(H1726="",I1726=""),"",H1726*I1726*(1-N(J1726)))</f>
        <v/>
      </c>
      <c r="L1726" s="32"/>
      <c r="M1726" s="34" t="str">
        <f aca="false">IF(OR(H1726="",L1726=""),"",H1726*L1726)</f>
        <v/>
      </c>
      <c r="N1726" s="34" t="str">
        <f aca="false">IF(OR(K1726="",M1726=""),"",K1726-M1726)</f>
        <v/>
      </c>
      <c r="O1726" s="35" t="str">
        <f aca="false">IF(OR(N1726="",K1726=""),"",IF(K1726=0,"",N1726/K1726))</f>
        <v/>
      </c>
      <c r="P1726" s="25"/>
      <c r="Q1726" s="25"/>
      <c r="R1726" s="25"/>
      <c r="S1726" s="36" t="str">
        <f aca="false">IF(A1726="","",YEAR(A1726)+IF(AND(FYStart&gt;1,MONTH(A1726)&gt;=FYStart),1,0))</f>
        <v/>
      </c>
      <c r="T1726" s="36" t="str">
        <f aca="false">IF(A1726="","",MOD(MONTH(A1726)-FYStart,12)+1)</f>
        <v/>
      </c>
      <c r="U1726" s="37" t="str">
        <f aca="false">IF(A1726="","",TEXT(A1726,"mmm"))</f>
        <v/>
      </c>
      <c r="V1726" s="37" t="str">
        <f aca="false">IF(Q1726="","",IFERROR(INDEX(Settings!$I$11:$I$15,MATCH(Q1726,Settings!$H$11:$H$15,0)),"No"))</f>
        <v/>
      </c>
      <c r="W1726" s="37" t="str">
        <f aca="false">IF(Q1726="","",IFERROR(INDEX(Settings!$J$11:$J$15,MATCH(Q1726,Settings!$H$11:$H$15,0)),"No"))</f>
        <v/>
      </c>
    </row>
    <row r="1727" customFormat="false" ht="15" hidden="false" customHeight="false" outlineLevel="0" collapsed="false">
      <c r="A1727" s="30"/>
      <c r="B1727" s="25"/>
      <c r="C1727" s="25"/>
      <c r="D1727" s="25"/>
      <c r="E1727" s="25"/>
      <c r="F1727" s="25"/>
      <c r="G1727" s="25"/>
      <c r="H1727" s="31"/>
      <c r="I1727" s="32"/>
      <c r="J1727" s="33"/>
      <c r="K1727" s="34" t="str">
        <f aca="false">IF(OR(H1727="",I1727=""),"",H1727*I1727*(1-N(J1727)))</f>
        <v/>
      </c>
      <c r="L1727" s="32"/>
      <c r="M1727" s="34" t="str">
        <f aca="false">IF(OR(H1727="",L1727=""),"",H1727*L1727)</f>
        <v/>
      </c>
      <c r="N1727" s="34" t="str">
        <f aca="false">IF(OR(K1727="",M1727=""),"",K1727-M1727)</f>
        <v/>
      </c>
      <c r="O1727" s="35" t="str">
        <f aca="false">IF(OR(N1727="",K1727=""),"",IF(K1727=0,"",N1727/K1727))</f>
        <v/>
      </c>
      <c r="P1727" s="25"/>
      <c r="Q1727" s="25"/>
      <c r="R1727" s="25"/>
      <c r="S1727" s="36" t="str">
        <f aca="false">IF(A1727="","",YEAR(A1727)+IF(AND(FYStart&gt;1,MONTH(A1727)&gt;=FYStart),1,0))</f>
        <v/>
      </c>
      <c r="T1727" s="36" t="str">
        <f aca="false">IF(A1727="","",MOD(MONTH(A1727)-FYStart,12)+1)</f>
        <v/>
      </c>
      <c r="U1727" s="37" t="str">
        <f aca="false">IF(A1727="","",TEXT(A1727,"mmm"))</f>
        <v/>
      </c>
      <c r="V1727" s="37" t="str">
        <f aca="false">IF(Q1727="","",IFERROR(INDEX(Settings!$I$11:$I$15,MATCH(Q1727,Settings!$H$11:$H$15,0)),"No"))</f>
        <v/>
      </c>
      <c r="W1727" s="37" t="str">
        <f aca="false">IF(Q1727="","",IFERROR(INDEX(Settings!$J$11:$J$15,MATCH(Q1727,Settings!$H$11:$H$15,0)),"No"))</f>
        <v/>
      </c>
    </row>
    <row r="1728" customFormat="false" ht="15" hidden="false" customHeight="false" outlineLevel="0" collapsed="false">
      <c r="A1728" s="30"/>
      <c r="B1728" s="25"/>
      <c r="C1728" s="25"/>
      <c r="D1728" s="25"/>
      <c r="E1728" s="25"/>
      <c r="F1728" s="25"/>
      <c r="G1728" s="25"/>
      <c r="H1728" s="31"/>
      <c r="I1728" s="32"/>
      <c r="J1728" s="33"/>
      <c r="K1728" s="34" t="str">
        <f aca="false">IF(OR(H1728="",I1728=""),"",H1728*I1728*(1-N(J1728)))</f>
        <v/>
      </c>
      <c r="L1728" s="32"/>
      <c r="M1728" s="34" t="str">
        <f aca="false">IF(OR(H1728="",L1728=""),"",H1728*L1728)</f>
        <v/>
      </c>
      <c r="N1728" s="34" t="str">
        <f aca="false">IF(OR(K1728="",M1728=""),"",K1728-M1728)</f>
        <v/>
      </c>
      <c r="O1728" s="35" t="str">
        <f aca="false">IF(OR(N1728="",K1728=""),"",IF(K1728=0,"",N1728/K1728))</f>
        <v/>
      </c>
      <c r="P1728" s="25"/>
      <c r="Q1728" s="25"/>
      <c r="R1728" s="25"/>
      <c r="S1728" s="36" t="str">
        <f aca="false">IF(A1728="","",YEAR(A1728)+IF(AND(FYStart&gt;1,MONTH(A1728)&gt;=FYStart),1,0))</f>
        <v/>
      </c>
      <c r="T1728" s="36" t="str">
        <f aca="false">IF(A1728="","",MOD(MONTH(A1728)-FYStart,12)+1)</f>
        <v/>
      </c>
      <c r="U1728" s="37" t="str">
        <f aca="false">IF(A1728="","",TEXT(A1728,"mmm"))</f>
        <v/>
      </c>
      <c r="V1728" s="37" t="str">
        <f aca="false">IF(Q1728="","",IFERROR(INDEX(Settings!$I$11:$I$15,MATCH(Q1728,Settings!$H$11:$H$15,0)),"No"))</f>
        <v/>
      </c>
      <c r="W1728" s="37" t="str">
        <f aca="false">IF(Q1728="","",IFERROR(INDEX(Settings!$J$11:$J$15,MATCH(Q1728,Settings!$H$11:$H$15,0)),"No"))</f>
        <v/>
      </c>
    </row>
    <row r="1729" customFormat="false" ht="15" hidden="false" customHeight="false" outlineLevel="0" collapsed="false">
      <c r="A1729" s="30"/>
      <c r="B1729" s="25"/>
      <c r="C1729" s="25"/>
      <c r="D1729" s="25"/>
      <c r="E1729" s="25"/>
      <c r="F1729" s="25"/>
      <c r="G1729" s="25"/>
      <c r="H1729" s="31"/>
      <c r="I1729" s="32"/>
      <c r="J1729" s="33"/>
      <c r="K1729" s="34" t="str">
        <f aca="false">IF(OR(H1729="",I1729=""),"",H1729*I1729*(1-N(J1729)))</f>
        <v/>
      </c>
      <c r="L1729" s="32"/>
      <c r="M1729" s="34" t="str">
        <f aca="false">IF(OR(H1729="",L1729=""),"",H1729*L1729)</f>
        <v/>
      </c>
      <c r="N1729" s="34" t="str">
        <f aca="false">IF(OR(K1729="",M1729=""),"",K1729-M1729)</f>
        <v/>
      </c>
      <c r="O1729" s="35" t="str">
        <f aca="false">IF(OR(N1729="",K1729=""),"",IF(K1729=0,"",N1729/K1729))</f>
        <v/>
      </c>
      <c r="P1729" s="25"/>
      <c r="Q1729" s="25"/>
      <c r="R1729" s="25"/>
      <c r="S1729" s="36" t="str">
        <f aca="false">IF(A1729="","",YEAR(A1729)+IF(AND(FYStart&gt;1,MONTH(A1729)&gt;=FYStart),1,0))</f>
        <v/>
      </c>
      <c r="T1729" s="36" t="str">
        <f aca="false">IF(A1729="","",MOD(MONTH(A1729)-FYStart,12)+1)</f>
        <v/>
      </c>
      <c r="U1729" s="37" t="str">
        <f aca="false">IF(A1729="","",TEXT(A1729,"mmm"))</f>
        <v/>
      </c>
      <c r="V1729" s="37" t="str">
        <f aca="false">IF(Q1729="","",IFERROR(INDEX(Settings!$I$11:$I$15,MATCH(Q1729,Settings!$H$11:$H$15,0)),"No"))</f>
        <v/>
      </c>
      <c r="W1729" s="37" t="str">
        <f aca="false">IF(Q1729="","",IFERROR(INDEX(Settings!$J$11:$J$15,MATCH(Q1729,Settings!$H$11:$H$15,0)),"No"))</f>
        <v/>
      </c>
    </row>
    <row r="1730" customFormat="false" ht="15" hidden="false" customHeight="false" outlineLevel="0" collapsed="false">
      <c r="A1730" s="30"/>
      <c r="B1730" s="25"/>
      <c r="C1730" s="25"/>
      <c r="D1730" s="25"/>
      <c r="E1730" s="25"/>
      <c r="F1730" s="25"/>
      <c r="G1730" s="25"/>
      <c r="H1730" s="31"/>
      <c r="I1730" s="32"/>
      <c r="J1730" s="33"/>
      <c r="K1730" s="34" t="str">
        <f aca="false">IF(OR(H1730="",I1730=""),"",H1730*I1730*(1-N(J1730)))</f>
        <v/>
      </c>
      <c r="L1730" s="32"/>
      <c r="M1730" s="34" t="str">
        <f aca="false">IF(OR(H1730="",L1730=""),"",H1730*L1730)</f>
        <v/>
      </c>
      <c r="N1730" s="34" t="str">
        <f aca="false">IF(OR(K1730="",M1730=""),"",K1730-M1730)</f>
        <v/>
      </c>
      <c r="O1730" s="35" t="str">
        <f aca="false">IF(OR(N1730="",K1730=""),"",IF(K1730=0,"",N1730/K1730))</f>
        <v/>
      </c>
      <c r="P1730" s="25"/>
      <c r="Q1730" s="25"/>
      <c r="R1730" s="25"/>
      <c r="S1730" s="36" t="str">
        <f aca="false">IF(A1730="","",YEAR(A1730)+IF(AND(FYStart&gt;1,MONTH(A1730)&gt;=FYStart),1,0))</f>
        <v/>
      </c>
      <c r="T1730" s="36" t="str">
        <f aca="false">IF(A1730="","",MOD(MONTH(A1730)-FYStart,12)+1)</f>
        <v/>
      </c>
      <c r="U1730" s="37" t="str">
        <f aca="false">IF(A1730="","",TEXT(A1730,"mmm"))</f>
        <v/>
      </c>
      <c r="V1730" s="37" t="str">
        <f aca="false">IF(Q1730="","",IFERROR(INDEX(Settings!$I$11:$I$15,MATCH(Q1730,Settings!$H$11:$H$15,0)),"No"))</f>
        <v/>
      </c>
      <c r="W1730" s="37" t="str">
        <f aca="false">IF(Q1730="","",IFERROR(INDEX(Settings!$J$11:$J$15,MATCH(Q1730,Settings!$H$11:$H$15,0)),"No"))</f>
        <v/>
      </c>
    </row>
    <row r="1731" customFormat="false" ht="15" hidden="false" customHeight="false" outlineLevel="0" collapsed="false">
      <c r="A1731" s="30"/>
      <c r="B1731" s="25"/>
      <c r="C1731" s="25"/>
      <c r="D1731" s="25"/>
      <c r="E1731" s="25"/>
      <c r="F1731" s="25"/>
      <c r="G1731" s="25"/>
      <c r="H1731" s="31"/>
      <c r="I1731" s="32"/>
      <c r="J1731" s="33"/>
      <c r="K1731" s="34" t="str">
        <f aca="false">IF(OR(H1731="",I1731=""),"",H1731*I1731*(1-N(J1731)))</f>
        <v/>
      </c>
      <c r="L1731" s="32"/>
      <c r="M1731" s="34" t="str">
        <f aca="false">IF(OR(H1731="",L1731=""),"",H1731*L1731)</f>
        <v/>
      </c>
      <c r="N1731" s="34" t="str">
        <f aca="false">IF(OR(K1731="",M1731=""),"",K1731-M1731)</f>
        <v/>
      </c>
      <c r="O1731" s="35" t="str">
        <f aca="false">IF(OR(N1731="",K1731=""),"",IF(K1731=0,"",N1731/K1731))</f>
        <v/>
      </c>
      <c r="P1731" s="25"/>
      <c r="Q1731" s="25"/>
      <c r="R1731" s="25"/>
      <c r="S1731" s="36" t="str">
        <f aca="false">IF(A1731="","",YEAR(A1731)+IF(AND(FYStart&gt;1,MONTH(A1731)&gt;=FYStart),1,0))</f>
        <v/>
      </c>
      <c r="T1731" s="36" t="str">
        <f aca="false">IF(A1731="","",MOD(MONTH(A1731)-FYStart,12)+1)</f>
        <v/>
      </c>
      <c r="U1731" s="37" t="str">
        <f aca="false">IF(A1731="","",TEXT(A1731,"mmm"))</f>
        <v/>
      </c>
      <c r="V1731" s="37" t="str">
        <f aca="false">IF(Q1731="","",IFERROR(INDEX(Settings!$I$11:$I$15,MATCH(Q1731,Settings!$H$11:$H$15,0)),"No"))</f>
        <v/>
      </c>
      <c r="W1731" s="37" t="str">
        <f aca="false">IF(Q1731="","",IFERROR(INDEX(Settings!$J$11:$J$15,MATCH(Q1731,Settings!$H$11:$H$15,0)),"No"))</f>
        <v/>
      </c>
    </row>
    <row r="1732" customFormat="false" ht="15" hidden="false" customHeight="false" outlineLevel="0" collapsed="false">
      <c r="A1732" s="30"/>
      <c r="B1732" s="25"/>
      <c r="C1732" s="25"/>
      <c r="D1732" s="25"/>
      <c r="E1732" s="25"/>
      <c r="F1732" s="25"/>
      <c r="G1732" s="25"/>
      <c r="H1732" s="31"/>
      <c r="I1732" s="32"/>
      <c r="J1732" s="33"/>
      <c r="K1732" s="34" t="str">
        <f aca="false">IF(OR(H1732="",I1732=""),"",H1732*I1732*(1-N(J1732)))</f>
        <v/>
      </c>
      <c r="L1732" s="32"/>
      <c r="M1732" s="34" t="str">
        <f aca="false">IF(OR(H1732="",L1732=""),"",H1732*L1732)</f>
        <v/>
      </c>
      <c r="N1732" s="34" t="str">
        <f aca="false">IF(OR(K1732="",M1732=""),"",K1732-M1732)</f>
        <v/>
      </c>
      <c r="O1732" s="35" t="str">
        <f aca="false">IF(OR(N1732="",K1732=""),"",IF(K1732=0,"",N1732/K1732))</f>
        <v/>
      </c>
      <c r="P1732" s="25"/>
      <c r="Q1732" s="25"/>
      <c r="R1732" s="25"/>
      <c r="S1732" s="36" t="str">
        <f aca="false">IF(A1732="","",YEAR(A1732)+IF(AND(FYStart&gt;1,MONTH(A1732)&gt;=FYStart),1,0))</f>
        <v/>
      </c>
      <c r="T1732" s="36" t="str">
        <f aca="false">IF(A1732="","",MOD(MONTH(A1732)-FYStart,12)+1)</f>
        <v/>
      </c>
      <c r="U1732" s="37" t="str">
        <f aca="false">IF(A1732="","",TEXT(A1732,"mmm"))</f>
        <v/>
      </c>
      <c r="V1732" s="37" t="str">
        <f aca="false">IF(Q1732="","",IFERROR(INDEX(Settings!$I$11:$I$15,MATCH(Q1732,Settings!$H$11:$H$15,0)),"No"))</f>
        <v/>
      </c>
      <c r="W1732" s="37" t="str">
        <f aca="false">IF(Q1732="","",IFERROR(INDEX(Settings!$J$11:$J$15,MATCH(Q1732,Settings!$H$11:$H$15,0)),"No"))</f>
        <v/>
      </c>
    </row>
    <row r="1733" customFormat="false" ht="15" hidden="false" customHeight="false" outlineLevel="0" collapsed="false">
      <c r="A1733" s="30"/>
      <c r="B1733" s="25"/>
      <c r="C1733" s="25"/>
      <c r="D1733" s="25"/>
      <c r="E1733" s="25"/>
      <c r="F1733" s="25"/>
      <c r="G1733" s="25"/>
      <c r="H1733" s="31"/>
      <c r="I1733" s="32"/>
      <c r="J1733" s="33"/>
      <c r="K1733" s="34" t="str">
        <f aca="false">IF(OR(H1733="",I1733=""),"",H1733*I1733*(1-N(J1733)))</f>
        <v/>
      </c>
      <c r="L1733" s="32"/>
      <c r="M1733" s="34" t="str">
        <f aca="false">IF(OR(H1733="",L1733=""),"",H1733*L1733)</f>
        <v/>
      </c>
      <c r="N1733" s="34" t="str">
        <f aca="false">IF(OR(K1733="",M1733=""),"",K1733-M1733)</f>
        <v/>
      </c>
      <c r="O1733" s="35" t="str">
        <f aca="false">IF(OR(N1733="",K1733=""),"",IF(K1733=0,"",N1733/K1733))</f>
        <v/>
      </c>
      <c r="P1733" s="25"/>
      <c r="Q1733" s="25"/>
      <c r="R1733" s="25"/>
      <c r="S1733" s="36" t="str">
        <f aca="false">IF(A1733="","",YEAR(A1733)+IF(AND(FYStart&gt;1,MONTH(A1733)&gt;=FYStart),1,0))</f>
        <v/>
      </c>
      <c r="T1733" s="36" t="str">
        <f aca="false">IF(A1733="","",MOD(MONTH(A1733)-FYStart,12)+1)</f>
        <v/>
      </c>
      <c r="U1733" s="37" t="str">
        <f aca="false">IF(A1733="","",TEXT(A1733,"mmm"))</f>
        <v/>
      </c>
      <c r="V1733" s="37" t="str">
        <f aca="false">IF(Q1733="","",IFERROR(INDEX(Settings!$I$11:$I$15,MATCH(Q1733,Settings!$H$11:$H$15,0)),"No"))</f>
        <v/>
      </c>
      <c r="W1733" s="37" t="str">
        <f aca="false">IF(Q1733="","",IFERROR(INDEX(Settings!$J$11:$J$15,MATCH(Q1733,Settings!$H$11:$H$15,0)),"No"))</f>
        <v/>
      </c>
    </row>
    <row r="1734" customFormat="false" ht="15" hidden="false" customHeight="false" outlineLevel="0" collapsed="false">
      <c r="A1734" s="30"/>
      <c r="B1734" s="25"/>
      <c r="C1734" s="25"/>
      <c r="D1734" s="25"/>
      <c r="E1734" s="25"/>
      <c r="F1734" s="25"/>
      <c r="G1734" s="25"/>
      <c r="H1734" s="31"/>
      <c r="I1734" s="32"/>
      <c r="J1734" s="33"/>
      <c r="K1734" s="34" t="str">
        <f aca="false">IF(OR(H1734="",I1734=""),"",H1734*I1734*(1-N(J1734)))</f>
        <v/>
      </c>
      <c r="L1734" s="32"/>
      <c r="M1734" s="34" t="str">
        <f aca="false">IF(OR(H1734="",L1734=""),"",H1734*L1734)</f>
        <v/>
      </c>
      <c r="N1734" s="34" t="str">
        <f aca="false">IF(OR(K1734="",M1734=""),"",K1734-M1734)</f>
        <v/>
      </c>
      <c r="O1734" s="35" t="str">
        <f aca="false">IF(OR(N1734="",K1734=""),"",IF(K1734=0,"",N1734/K1734))</f>
        <v/>
      </c>
      <c r="P1734" s="25"/>
      <c r="Q1734" s="25"/>
      <c r="R1734" s="25"/>
      <c r="S1734" s="36" t="str">
        <f aca="false">IF(A1734="","",YEAR(A1734)+IF(AND(FYStart&gt;1,MONTH(A1734)&gt;=FYStart),1,0))</f>
        <v/>
      </c>
      <c r="T1734" s="36" t="str">
        <f aca="false">IF(A1734="","",MOD(MONTH(A1734)-FYStart,12)+1)</f>
        <v/>
      </c>
      <c r="U1734" s="37" t="str">
        <f aca="false">IF(A1734="","",TEXT(A1734,"mmm"))</f>
        <v/>
      </c>
      <c r="V1734" s="37" t="str">
        <f aca="false">IF(Q1734="","",IFERROR(INDEX(Settings!$I$11:$I$15,MATCH(Q1734,Settings!$H$11:$H$15,0)),"No"))</f>
        <v/>
      </c>
      <c r="W1734" s="37" t="str">
        <f aca="false">IF(Q1734="","",IFERROR(INDEX(Settings!$J$11:$J$15,MATCH(Q1734,Settings!$H$11:$H$15,0)),"No"))</f>
        <v/>
      </c>
    </row>
    <row r="1735" customFormat="false" ht="15" hidden="false" customHeight="false" outlineLevel="0" collapsed="false">
      <c r="A1735" s="30"/>
      <c r="B1735" s="25"/>
      <c r="C1735" s="25"/>
      <c r="D1735" s="25"/>
      <c r="E1735" s="25"/>
      <c r="F1735" s="25"/>
      <c r="G1735" s="25"/>
      <c r="H1735" s="31"/>
      <c r="I1735" s="32"/>
      <c r="J1735" s="33"/>
      <c r="K1735" s="34" t="str">
        <f aca="false">IF(OR(H1735="",I1735=""),"",H1735*I1735*(1-N(J1735)))</f>
        <v/>
      </c>
      <c r="L1735" s="32"/>
      <c r="M1735" s="34" t="str">
        <f aca="false">IF(OR(H1735="",L1735=""),"",H1735*L1735)</f>
        <v/>
      </c>
      <c r="N1735" s="34" t="str">
        <f aca="false">IF(OR(K1735="",M1735=""),"",K1735-M1735)</f>
        <v/>
      </c>
      <c r="O1735" s="35" t="str">
        <f aca="false">IF(OR(N1735="",K1735=""),"",IF(K1735=0,"",N1735/K1735))</f>
        <v/>
      </c>
      <c r="P1735" s="25"/>
      <c r="Q1735" s="25"/>
      <c r="R1735" s="25"/>
      <c r="S1735" s="36" t="str">
        <f aca="false">IF(A1735="","",YEAR(A1735)+IF(AND(FYStart&gt;1,MONTH(A1735)&gt;=FYStart),1,0))</f>
        <v/>
      </c>
      <c r="T1735" s="36" t="str">
        <f aca="false">IF(A1735="","",MOD(MONTH(A1735)-FYStart,12)+1)</f>
        <v/>
      </c>
      <c r="U1735" s="37" t="str">
        <f aca="false">IF(A1735="","",TEXT(A1735,"mmm"))</f>
        <v/>
      </c>
      <c r="V1735" s="37" t="str">
        <f aca="false">IF(Q1735="","",IFERROR(INDEX(Settings!$I$11:$I$15,MATCH(Q1735,Settings!$H$11:$H$15,0)),"No"))</f>
        <v/>
      </c>
      <c r="W1735" s="37" t="str">
        <f aca="false">IF(Q1735="","",IFERROR(INDEX(Settings!$J$11:$J$15,MATCH(Q1735,Settings!$H$11:$H$15,0)),"No"))</f>
        <v/>
      </c>
    </row>
    <row r="1736" customFormat="false" ht="15" hidden="false" customHeight="false" outlineLevel="0" collapsed="false">
      <c r="A1736" s="30"/>
      <c r="B1736" s="25"/>
      <c r="C1736" s="25"/>
      <c r="D1736" s="25"/>
      <c r="E1736" s="25"/>
      <c r="F1736" s="25"/>
      <c r="G1736" s="25"/>
      <c r="H1736" s="31"/>
      <c r="I1736" s="32"/>
      <c r="J1736" s="33"/>
      <c r="K1736" s="34" t="str">
        <f aca="false">IF(OR(H1736="",I1736=""),"",H1736*I1736*(1-N(J1736)))</f>
        <v/>
      </c>
      <c r="L1736" s="32"/>
      <c r="M1736" s="34" t="str">
        <f aca="false">IF(OR(H1736="",L1736=""),"",H1736*L1736)</f>
        <v/>
      </c>
      <c r="N1736" s="34" t="str">
        <f aca="false">IF(OR(K1736="",M1736=""),"",K1736-M1736)</f>
        <v/>
      </c>
      <c r="O1736" s="35" t="str">
        <f aca="false">IF(OR(N1736="",K1736=""),"",IF(K1736=0,"",N1736/K1736))</f>
        <v/>
      </c>
      <c r="P1736" s="25"/>
      <c r="Q1736" s="25"/>
      <c r="R1736" s="25"/>
      <c r="S1736" s="36" t="str">
        <f aca="false">IF(A1736="","",YEAR(A1736)+IF(AND(FYStart&gt;1,MONTH(A1736)&gt;=FYStart),1,0))</f>
        <v/>
      </c>
      <c r="T1736" s="36" t="str">
        <f aca="false">IF(A1736="","",MOD(MONTH(A1736)-FYStart,12)+1)</f>
        <v/>
      </c>
      <c r="U1736" s="37" t="str">
        <f aca="false">IF(A1736="","",TEXT(A1736,"mmm"))</f>
        <v/>
      </c>
      <c r="V1736" s="37" t="str">
        <f aca="false">IF(Q1736="","",IFERROR(INDEX(Settings!$I$11:$I$15,MATCH(Q1736,Settings!$H$11:$H$15,0)),"No"))</f>
        <v/>
      </c>
      <c r="W1736" s="37" t="str">
        <f aca="false">IF(Q1736="","",IFERROR(INDEX(Settings!$J$11:$J$15,MATCH(Q1736,Settings!$H$11:$H$15,0)),"No"))</f>
        <v/>
      </c>
    </row>
    <row r="1737" customFormat="false" ht="15" hidden="false" customHeight="false" outlineLevel="0" collapsed="false">
      <c r="A1737" s="30"/>
      <c r="B1737" s="25"/>
      <c r="C1737" s="25"/>
      <c r="D1737" s="25"/>
      <c r="E1737" s="25"/>
      <c r="F1737" s="25"/>
      <c r="G1737" s="25"/>
      <c r="H1737" s="31"/>
      <c r="I1737" s="32"/>
      <c r="J1737" s="33"/>
      <c r="K1737" s="34" t="str">
        <f aca="false">IF(OR(H1737="",I1737=""),"",H1737*I1737*(1-N(J1737)))</f>
        <v/>
      </c>
      <c r="L1737" s="32"/>
      <c r="M1737" s="34" t="str">
        <f aca="false">IF(OR(H1737="",L1737=""),"",H1737*L1737)</f>
        <v/>
      </c>
      <c r="N1737" s="34" t="str">
        <f aca="false">IF(OR(K1737="",M1737=""),"",K1737-M1737)</f>
        <v/>
      </c>
      <c r="O1737" s="35" t="str">
        <f aca="false">IF(OR(N1737="",K1737=""),"",IF(K1737=0,"",N1737/K1737))</f>
        <v/>
      </c>
      <c r="P1737" s="25"/>
      <c r="Q1737" s="25"/>
      <c r="R1737" s="25"/>
      <c r="S1737" s="36" t="str">
        <f aca="false">IF(A1737="","",YEAR(A1737)+IF(AND(FYStart&gt;1,MONTH(A1737)&gt;=FYStart),1,0))</f>
        <v/>
      </c>
      <c r="T1737" s="36" t="str">
        <f aca="false">IF(A1737="","",MOD(MONTH(A1737)-FYStart,12)+1)</f>
        <v/>
      </c>
      <c r="U1737" s="37" t="str">
        <f aca="false">IF(A1737="","",TEXT(A1737,"mmm"))</f>
        <v/>
      </c>
      <c r="V1737" s="37" t="str">
        <f aca="false">IF(Q1737="","",IFERROR(INDEX(Settings!$I$11:$I$15,MATCH(Q1737,Settings!$H$11:$H$15,0)),"No"))</f>
        <v/>
      </c>
      <c r="W1737" s="37" t="str">
        <f aca="false">IF(Q1737="","",IFERROR(INDEX(Settings!$J$11:$J$15,MATCH(Q1737,Settings!$H$11:$H$15,0)),"No"))</f>
        <v/>
      </c>
    </row>
    <row r="1738" customFormat="false" ht="15" hidden="false" customHeight="false" outlineLevel="0" collapsed="false">
      <c r="A1738" s="30"/>
      <c r="B1738" s="25"/>
      <c r="C1738" s="25"/>
      <c r="D1738" s="25"/>
      <c r="E1738" s="25"/>
      <c r="F1738" s="25"/>
      <c r="G1738" s="25"/>
      <c r="H1738" s="31"/>
      <c r="I1738" s="32"/>
      <c r="J1738" s="33"/>
      <c r="K1738" s="34" t="str">
        <f aca="false">IF(OR(H1738="",I1738=""),"",H1738*I1738*(1-N(J1738)))</f>
        <v/>
      </c>
      <c r="L1738" s="32"/>
      <c r="M1738" s="34" t="str">
        <f aca="false">IF(OR(H1738="",L1738=""),"",H1738*L1738)</f>
        <v/>
      </c>
      <c r="N1738" s="34" t="str">
        <f aca="false">IF(OR(K1738="",M1738=""),"",K1738-M1738)</f>
        <v/>
      </c>
      <c r="O1738" s="35" t="str">
        <f aca="false">IF(OR(N1738="",K1738=""),"",IF(K1738=0,"",N1738/K1738))</f>
        <v/>
      </c>
      <c r="P1738" s="25"/>
      <c r="Q1738" s="25"/>
      <c r="R1738" s="25"/>
      <c r="S1738" s="36" t="str">
        <f aca="false">IF(A1738="","",YEAR(A1738)+IF(AND(FYStart&gt;1,MONTH(A1738)&gt;=FYStart),1,0))</f>
        <v/>
      </c>
      <c r="T1738" s="36" t="str">
        <f aca="false">IF(A1738="","",MOD(MONTH(A1738)-FYStart,12)+1)</f>
        <v/>
      </c>
      <c r="U1738" s="37" t="str">
        <f aca="false">IF(A1738="","",TEXT(A1738,"mmm"))</f>
        <v/>
      </c>
      <c r="V1738" s="37" t="str">
        <f aca="false">IF(Q1738="","",IFERROR(INDEX(Settings!$I$11:$I$15,MATCH(Q1738,Settings!$H$11:$H$15,0)),"No"))</f>
        <v/>
      </c>
      <c r="W1738" s="37" t="str">
        <f aca="false">IF(Q1738="","",IFERROR(INDEX(Settings!$J$11:$J$15,MATCH(Q1738,Settings!$H$11:$H$15,0)),"No"))</f>
        <v/>
      </c>
    </row>
    <row r="1739" customFormat="false" ht="15" hidden="false" customHeight="false" outlineLevel="0" collapsed="false">
      <c r="A1739" s="30"/>
      <c r="B1739" s="25"/>
      <c r="C1739" s="25"/>
      <c r="D1739" s="25"/>
      <c r="E1739" s="25"/>
      <c r="F1739" s="25"/>
      <c r="G1739" s="25"/>
      <c r="H1739" s="31"/>
      <c r="I1739" s="32"/>
      <c r="J1739" s="33"/>
      <c r="K1739" s="34" t="str">
        <f aca="false">IF(OR(H1739="",I1739=""),"",H1739*I1739*(1-N(J1739)))</f>
        <v/>
      </c>
      <c r="L1739" s="32"/>
      <c r="M1739" s="34" t="str">
        <f aca="false">IF(OR(H1739="",L1739=""),"",H1739*L1739)</f>
        <v/>
      </c>
      <c r="N1739" s="34" t="str">
        <f aca="false">IF(OR(K1739="",M1739=""),"",K1739-M1739)</f>
        <v/>
      </c>
      <c r="O1739" s="35" t="str">
        <f aca="false">IF(OR(N1739="",K1739=""),"",IF(K1739=0,"",N1739/K1739))</f>
        <v/>
      </c>
      <c r="P1739" s="25"/>
      <c r="Q1739" s="25"/>
      <c r="R1739" s="25"/>
      <c r="S1739" s="36" t="str">
        <f aca="false">IF(A1739="","",YEAR(A1739)+IF(AND(FYStart&gt;1,MONTH(A1739)&gt;=FYStart),1,0))</f>
        <v/>
      </c>
      <c r="T1739" s="36" t="str">
        <f aca="false">IF(A1739="","",MOD(MONTH(A1739)-FYStart,12)+1)</f>
        <v/>
      </c>
      <c r="U1739" s="37" t="str">
        <f aca="false">IF(A1739="","",TEXT(A1739,"mmm"))</f>
        <v/>
      </c>
      <c r="V1739" s="37" t="str">
        <f aca="false">IF(Q1739="","",IFERROR(INDEX(Settings!$I$11:$I$15,MATCH(Q1739,Settings!$H$11:$H$15,0)),"No"))</f>
        <v/>
      </c>
      <c r="W1739" s="37" t="str">
        <f aca="false">IF(Q1739="","",IFERROR(INDEX(Settings!$J$11:$J$15,MATCH(Q1739,Settings!$H$11:$H$15,0)),"No"))</f>
        <v/>
      </c>
    </row>
    <row r="1740" customFormat="false" ht="15" hidden="false" customHeight="false" outlineLevel="0" collapsed="false">
      <c r="A1740" s="30"/>
      <c r="B1740" s="25"/>
      <c r="C1740" s="25"/>
      <c r="D1740" s="25"/>
      <c r="E1740" s="25"/>
      <c r="F1740" s="25"/>
      <c r="G1740" s="25"/>
      <c r="H1740" s="31"/>
      <c r="I1740" s="32"/>
      <c r="J1740" s="33"/>
      <c r="K1740" s="34" t="str">
        <f aca="false">IF(OR(H1740="",I1740=""),"",H1740*I1740*(1-N(J1740)))</f>
        <v/>
      </c>
      <c r="L1740" s="32"/>
      <c r="M1740" s="34" t="str">
        <f aca="false">IF(OR(H1740="",L1740=""),"",H1740*L1740)</f>
        <v/>
      </c>
      <c r="N1740" s="34" t="str">
        <f aca="false">IF(OR(K1740="",M1740=""),"",K1740-M1740)</f>
        <v/>
      </c>
      <c r="O1740" s="35" t="str">
        <f aca="false">IF(OR(N1740="",K1740=""),"",IF(K1740=0,"",N1740/K1740))</f>
        <v/>
      </c>
      <c r="P1740" s="25"/>
      <c r="Q1740" s="25"/>
      <c r="R1740" s="25"/>
      <c r="S1740" s="36" t="str">
        <f aca="false">IF(A1740="","",YEAR(A1740)+IF(AND(FYStart&gt;1,MONTH(A1740)&gt;=FYStart),1,0))</f>
        <v/>
      </c>
      <c r="T1740" s="36" t="str">
        <f aca="false">IF(A1740="","",MOD(MONTH(A1740)-FYStart,12)+1)</f>
        <v/>
      </c>
      <c r="U1740" s="37" t="str">
        <f aca="false">IF(A1740="","",TEXT(A1740,"mmm"))</f>
        <v/>
      </c>
      <c r="V1740" s="37" t="str">
        <f aca="false">IF(Q1740="","",IFERROR(INDEX(Settings!$I$11:$I$15,MATCH(Q1740,Settings!$H$11:$H$15,0)),"No"))</f>
        <v/>
      </c>
      <c r="W1740" s="37" t="str">
        <f aca="false">IF(Q1740="","",IFERROR(INDEX(Settings!$J$11:$J$15,MATCH(Q1740,Settings!$H$11:$H$15,0)),"No"))</f>
        <v/>
      </c>
    </row>
    <row r="1741" customFormat="false" ht="15" hidden="false" customHeight="false" outlineLevel="0" collapsed="false">
      <c r="A1741" s="30"/>
      <c r="B1741" s="25"/>
      <c r="C1741" s="25"/>
      <c r="D1741" s="25"/>
      <c r="E1741" s="25"/>
      <c r="F1741" s="25"/>
      <c r="G1741" s="25"/>
      <c r="H1741" s="31"/>
      <c r="I1741" s="32"/>
      <c r="J1741" s="33"/>
      <c r="K1741" s="34" t="str">
        <f aca="false">IF(OR(H1741="",I1741=""),"",H1741*I1741*(1-N(J1741)))</f>
        <v/>
      </c>
      <c r="L1741" s="32"/>
      <c r="M1741" s="34" t="str">
        <f aca="false">IF(OR(H1741="",L1741=""),"",H1741*L1741)</f>
        <v/>
      </c>
      <c r="N1741" s="34" t="str">
        <f aca="false">IF(OR(K1741="",M1741=""),"",K1741-M1741)</f>
        <v/>
      </c>
      <c r="O1741" s="35" t="str">
        <f aca="false">IF(OR(N1741="",K1741=""),"",IF(K1741=0,"",N1741/K1741))</f>
        <v/>
      </c>
      <c r="P1741" s="25"/>
      <c r="Q1741" s="25"/>
      <c r="R1741" s="25"/>
      <c r="S1741" s="36" t="str">
        <f aca="false">IF(A1741="","",YEAR(A1741)+IF(AND(FYStart&gt;1,MONTH(A1741)&gt;=FYStart),1,0))</f>
        <v/>
      </c>
      <c r="T1741" s="36" t="str">
        <f aca="false">IF(A1741="","",MOD(MONTH(A1741)-FYStart,12)+1)</f>
        <v/>
      </c>
      <c r="U1741" s="37" t="str">
        <f aca="false">IF(A1741="","",TEXT(A1741,"mmm"))</f>
        <v/>
      </c>
      <c r="V1741" s="37" t="str">
        <f aca="false">IF(Q1741="","",IFERROR(INDEX(Settings!$I$11:$I$15,MATCH(Q1741,Settings!$H$11:$H$15,0)),"No"))</f>
        <v/>
      </c>
      <c r="W1741" s="37" t="str">
        <f aca="false">IF(Q1741="","",IFERROR(INDEX(Settings!$J$11:$J$15,MATCH(Q1741,Settings!$H$11:$H$15,0)),"No"))</f>
        <v/>
      </c>
    </row>
    <row r="1742" customFormat="false" ht="15" hidden="false" customHeight="false" outlineLevel="0" collapsed="false">
      <c r="A1742" s="30"/>
      <c r="B1742" s="25"/>
      <c r="C1742" s="25"/>
      <c r="D1742" s="25"/>
      <c r="E1742" s="25"/>
      <c r="F1742" s="25"/>
      <c r="G1742" s="25"/>
      <c r="H1742" s="31"/>
      <c r="I1742" s="32"/>
      <c r="J1742" s="33"/>
      <c r="K1742" s="34" t="str">
        <f aca="false">IF(OR(H1742="",I1742=""),"",H1742*I1742*(1-N(J1742)))</f>
        <v/>
      </c>
      <c r="L1742" s="32"/>
      <c r="M1742" s="34" t="str">
        <f aca="false">IF(OR(H1742="",L1742=""),"",H1742*L1742)</f>
        <v/>
      </c>
      <c r="N1742" s="34" t="str">
        <f aca="false">IF(OR(K1742="",M1742=""),"",K1742-M1742)</f>
        <v/>
      </c>
      <c r="O1742" s="35" t="str">
        <f aca="false">IF(OR(N1742="",K1742=""),"",IF(K1742=0,"",N1742/K1742))</f>
        <v/>
      </c>
      <c r="P1742" s="25"/>
      <c r="Q1742" s="25"/>
      <c r="R1742" s="25"/>
      <c r="S1742" s="36" t="str">
        <f aca="false">IF(A1742="","",YEAR(A1742)+IF(AND(FYStart&gt;1,MONTH(A1742)&gt;=FYStart),1,0))</f>
        <v/>
      </c>
      <c r="T1742" s="36" t="str">
        <f aca="false">IF(A1742="","",MOD(MONTH(A1742)-FYStart,12)+1)</f>
        <v/>
      </c>
      <c r="U1742" s="37" t="str">
        <f aca="false">IF(A1742="","",TEXT(A1742,"mmm"))</f>
        <v/>
      </c>
      <c r="V1742" s="37" t="str">
        <f aca="false">IF(Q1742="","",IFERROR(INDEX(Settings!$I$11:$I$15,MATCH(Q1742,Settings!$H$11:$H$15,0)),"No"))</f>
        <v/>
      </c>
      <c r="W1742" s="37" t="str">
        <f aca="false">IF(Q1742="","",IFERROR(INDEX(Settings!$J$11:$J$15,MATCH(Q1742,Settings!$H$11:$H$15,0)),"No"))</f>
        <v/>
      </c>
    </row>
    <row r="1743" customFormat="false" ht="15" hidden="false" customHeight="false" outlineLevel="0" collapsed="false">
      <c r="A1743" s="30"/>
      <c r="B1743" s="25"/>
      <c r="C1743" s="25"/>
      <c r="D1743" s="25"/>
      <c r="E1743" s="25"/>
      <c r="F1743" s="25"/>
      <c r="G1743" s="25"/>
      <c r="H1743" s="31"/>
      <c r="I1743" s="32"/>
      <c r="J1743" s="33"/>
      <c r="K1743" s="34" t="str">
        <f aca="false">IF(OR(H1743="",I1743=""),"",H1743*I1743*(1-N(J1743)))</f>
        <v/>
      </c>
      <c r="L1743" s="32"/>
      <c r="M1743" s="34" t="str">
        <f aca="false">IF(OR(H1743="",L1743=""),"",H1743*L1743)</f>
        <v/>
      </c>
      <c r="N1743" s="34" t="str">
        <f aca="false">IF(OR(K1743="",M1743=""),"",K1743-M1743)</f>
        <v/>
      </c>
      <c r="O1743" s="35" t="str">
        <f aca="false">IF(OR(N1743="",K1743=""),"",IF(K1743=0,"",N1743/K1743))</f>
        <v/>
      </c>
      <c r="P1743" s="25"/>
      <c r="Q1743" s="25"/>
      <c r="R1743" s="25"/>
      <c r="S1743" s="36" t="str">
        <f aca="false">IF(A1743="","",YEAR(A1743)+IF(AND(FYStart&gt;1,MONTH(A1743)&gt;=FYStart),1,0))</f>
        <v/>
      </c>
      <c r="T1743" s="36" t="str">
        <f aca="false">IF(A1743="","",MOD(MONTH(A1743)-FYStart,12)+1)</f>
        <v/>
      </c>
      <c r="U1743" s="37" t="str">
        <f aca="false">IF(A1743="","",TEXT(A1743,"mmm"))</f>
        <v/>
      </c>
      <c r="V1743" s="37" t="str">
        <f aca="false">IF(Q1743="","",IFERROR(INDEX(Settings!$I$11:$I$15,MATCH(Q1743,Settings!$H$11:$H$15,0)),"No"))</f>
        <v/>
      </c>
      <c r="W1743" s="37" t="str">
        <f aca="false">IF(Q1743="","",IFERROR(INDEX(Settings!$J$11:$J$15,MATCH(Q1743,Settings!$H$11:$H$15,0)),"No"))</f>
        <v/>
      </c>
    </row>
    <row r="1744" customFormat="false" ht="15" hidden="false" customHeight="false" outlineLevel="0" collapsed="false">
      <c r="A1744" s="30"/>
      <c r="B1744" s="25"/>
      <c r="C1744" s="25"/>
      <c r="D1744" s="25"/>
      <c r="E1744" s="25"/>
      <c r="F1744" s="25"/>
      <c r="G1744" s="25"/>
      <c r="H1744" s="31"/>
      <c r="I1744" s="32"/>
      <c r="J1744" s="33"/>
      <c r="K1744" s="34" t="str">
        <f aca="false">IF(OR(H1744="",I1744=""),"",H1744*I1744*(1-N(J1744)))</f>
        <v/>
      </c>
      <c r="L1744" s="32"/>
      <c r="M1744" s="34" t="str">
        <f aca="false">IF(OR(H1744="",L1744=""),"",H1744*L1744)</f>
        <v/>
      </c>
      <c r="N1744" s="34" t="str">
        <f aca="false">IF(OR(K1744="",M1744=""),"",K1744-M1744)</f>
        <v/>
      </c>
      <c r="O1744" s="35" t="str">
        <f aca="false">IF(OR(N1744="",K1744=""),"",IF(K1744=0,"",N1744/K1744))</f>
        <v/>
      </c>
      <c r="P1744" s="25"/>
      <c r="Q1744" s="25"/>
      <c r="R1744" s="25"/>
      <c r="S1744" s="36" t="str">
        <f aca="false">IF(A1744="","",YEAR(A1744)+IF(AND(FYStart&gt;1,MONTH(A1744)&gt;=FYStart),1,0))</f>
        <v/>
      </c>
      <c r="T1744" s="36" t="str">
        <f aca="false">IF(A1744="","",MOD(MONTH(A1744)-FYStart,12)+1)</f>
        <v/>
      </c>
      <c r="U1744" s="37" t="str">
        <f aca="false">IF(A1744="","",TEXT(A1744,"mmm"))</f>
        <v/>
      </c>
      <c r="V1744" s="37" t="str">
        <f aca="false">IF(Q1744="","",IFERROR(INDEX(Settings!$I$11:$I$15,MATCH(Q1744,Settings!$H$11:$H$15,0)),"No"))</f>
        <v/>
      </c>
      <c r="W1744" s="37" t="str">
        <f aca="false">IF(Q1744="","",IFERROR(INDEX(Settings!$J$11:$J$15,MATCH(Q1744,Settings!$H$11:$H$15,0)),"No"))</f>
        <v/>
      </c>
    </row>
    <row r="1745" customFormat="false" ht="15" hidden="false" customHeight="false" outlineLevel="0" collapsed="false">
      <c r="A1745" s="30"/>
      <c r="B1745" s="25"/>
      <c r="C1745" s="25"/>
      <c r="D1745" s="25"/>
      <c r="E1745" s="25"/>
      <c r="F1745" s="25"/>
      <c r="G1745" s="25"/>
      <c r="H1745" s="31"/>
      <c r="I1745" s="32"/>
      <c r="J1745" s="33"/>
      <c r="K1745" s="34" t="str">
        <f aca="false">IF(OR(H1745="",I1745=""),"",H1745*I1745*(1-N(J1745)))</f>
        <v/>
      </c>
      <c r="L1745" s="32"/>
      <c r="M1745" s="34" t="str">
        <f aca="false">IF(OR(H1745="",L1745=""),"",H1745*L1745)</f>
        <v/>
      </c>
      <c r="N1745" s="34" t="str">
        <f aca="false">IF(OR(K1745="",M1745=""),"",K1745-M1745)</f>
        <v/>
      </c>
      <c r="O1745" s="35" t="str">
        <f aca="false">IF(OR(N1745="",K1745=""),"",IF(K1745=0,"",N1745/K1745))</f>
        <v/>
      </c>
      <c r="P1745" s="25"/>
      <c r="Q1745" s="25"/>
      <c r="R1745" s="25"/>
      <c r="S1745" s="36" t="str">
        <f aca="false">IF(A1745="","",YEAR(A1745)+IF(AND(FYStart&gt;1,MONTH(A1745)&gt;=FYStart),1,0))</f>
        <v/>
      </c>
      <c r="T1745" s="36" t="str">
        <f aca="false">IF(A1745="","",MOD(MONTH(A1745)-FYStart,12)+1)</f>
        <v/>
      </c>
      <c r="U1745" s="37" t="str">
        <f aca="false">IF(A1745="","",TEXT(A1745,"mmm"))</f>
        <v/>
      </c>
      <c r="V1745" s="37" t="str">
        <f aca="false">IF(Q1745="","",IFERROR(INDEX(Settings!$I$11:$I$15,MATCH(Q1745,Settings!$H$11:$H$15,0)),"No"))</f>
        <v/>
      </c>
      <c r="W1745" s="37" t="str">
        <f aca="false">IF(Q1745="","",IFERROR(INDEX(Settings!$J$11:$J$15,MATCH(Q1745,Settings!$H$11:$H$15,0)),"No"))</f>
        <v/>
      </c>
    </row>
    <row r="1746" customFormat="false" ht="15" hidden="false" customHeight="false" outlineLevel="0" collapsed="false">
      <c r="A1746" s="30"/>
      <c r="B1746" s="25"/>
      <c r="C1746" s="25"/>
      <c r="D1746" s="25"/>
      <c r="E1746" s="25"/>
      <c r="F1746" s="25"/>
      <c r="G1746" s="25"/>
      <c r="H1746" s="31"/>
      <c r="I1746" s="32"/>
      <c r="J1746" s="33"/>
      <c r="K1746" s="34" t="str">
        <f aca="false">IF(OR(H1746="",I1746=""),"",H1746*I1746*(1-N(J1746)))</f>
        <v/>
      </c>
      <c r="L1746" s="32"/>
      <c r="M1746" s="34" t="str">
        <f aca="false">IF(OR(H1746="",L1746=""),"",H1746*L1746)</f>
        <v/>
      </c>
      <c r="N1746" s="34" t="str">
        <f aca="false">IF(OR(K1746="",M1746=""),"",K1746-M1746)</f>
        <v/>
      </c>
      <c r="O1746" s="35" t="str">
        <f aca="false">IF(OR(N1746="",K1746=""),"",IF(K1746=0,"",N1746/K1746))</f>
        <v/>
      </c>
      <c r="P1746" s="25"/>
      <c r="Q1746" s="25"/>
      <c r="R1746" s="25"/>
      <c r="S1746" s="36" t="str">
        <f aca="false">IF(A1746="","",YEAR(A1746)+IF(AND(FYStart&gt;1,MONTH(A1746)&gt;=FYStart),1,0))</f>
        <v/>
      </c>
      <c r="T1746" s="36" t="str">
        <f aca="false">IF(A1746="","",MOD(MONTH(A1746)-FYStart,12)+1)</f>
        <v/>
      </c>
      <c r="U1746" s="37" t="str">
        <f aca="false">IF(A1746="","",TEXT(A1746,"mmm"))</f>
        <v/>
      </c>
      <c r="V1746" s="37" t="str">
        <f aca="false">IF(Q1746="","",IFERROR(INDEX(Settings!$I$11:$I$15,MATCH(Q1746,Settings!$H$11:$H$15,0)),"No"))</f>
        <v/>
      </c>
      <c r="W1746" s="37" t="str">
        <f aca="false">IF(Q1746="","",IFERROR(INDEX(Settings!$J$11:$J$15,MATCH(Q1746,Settings!$H$11:$H$15,0)),"No"))</f>
        <v/>
      </c>
    </row>
    <row r="1747" customFormat="false" ht="15" hidden="false" customHeight="false" outlineLevel="0" collapsed="false">
      <c r="A1747" s="30"/>
      <c r="B1747" s="25"/>
      <c r="C1747" s="25"/>
      <c r="D1747" s="25"/>
      <c r="E1747" s="25"/>
      <c r="F1747" s="25"/>
      <c r="G1747" s="25"/>
      <c r="H1747" s="31"/>
      <c r="I1747" s="32"/>
      <c r="J1747" s="33"/>
      <c r="K1747" s="34" t="str">
        <f aca="false">IF(OR(H1747="",I1747=""),"",H1747*I1747*(1-N(J1747)))</f>
        <v/>
      </c>
      <c r="L1747" s="32"/>
      <c r="M1747" s="34" t="str">
        <f aca="false">IF(OR(H1747="",L1747=""),"",H1747*L1747)</f>
        <v/>
      </c>
      <c r="N1747" s="34" t="str">
        <f aca="false">IF(OR(K1747="",M1747=""),"",K1747-M1747)</f>
        <v/>
      </c>
      <c r="O1747" s="35" t="str">
        <f aca="false">IF(OR(N1747="",K1747=""),"",IF(K1747=0,"",N1747/K1747))</f>
        <v/>
      </c>
      <c r="P1747" s="25"/>
      <c r="Q1747" s="25"/>
      <c r="R1747" s="25"/>
      <c r="S1747" s="36" t="str">
        <f aca="false">IF(A1747="","",YEAR(A1747)+IF(AND(FYStart&gt;1,MONTH(A1747)&gt;=FYStart),1,0))</f>
        <v/>
      </c>
      <c r="T1747" s="36" t="str">
        <f aca="false">IF(A1747="","",MOD(MONTH(A1747)-FYStart,12)+1)</f>
        <v/>
      </c>
      <c r="U1747" s="37" t="str">
        <f aca="false">IF(A1747="","",TEXT(A1747,"mmm"))</f>
        <v/>
      </c>
      <c r="V1747" s="37" t="str">
        <f aca="false">IF(Q1747="","",IFERROR(INDEX(Settings!$I$11:$I$15,MATCH(Q1747,Settings!$H$11:$H$15,0)),"No"))</f>
        <v/>
      </c>
      <c r="W1747" s="37" t="str">
        <f aca="false">IF(Q1747="","",IFERROR(INDEX(Settings!$J$11:$J$15,MATCH(Q1747,Settings!$H$11:$H$15,0)),"No"))</f>
        <v/>
      </c>
    </row>
    <row r="1748" customFormat="false" ht="15" hidden="false" customHeight="false" outlineLevel="0" collapsed="false">
      <c r="A1748" s="30"/>
      <c r="B1748" s="25"/>
      <c r="C1748" s="25"/>
      <c r="D1748" s="25"/>
      <c r="E1748" s="25"/>
      <c r="F1748" s="25"/>
      <c r="G1748" s="25"/>
      <c r="H1748" s="31"/>
      <c r="I1748" s="32"/>
      <c r="J1748" s="33"/>
      <c r="K1748" s="34" t="str">
        <f aca="false">IF(OR(H1748="",I1748=""),"",H1748*I1748*(1-N(J1748)))</f>
        <v/>
      </c>
      <c r="L1748" s="32"/>
      <c r="M1748" s="34" t="str">
        <f aca="false">IF(OR(H1748="",L1748=""),"",H1748*L1748)</f>
        <v/>
      </c>
      <c r="N1748" s="34" t="str">
        <f aca="false">IF(OR(K1748="",M1748=""),"",K1748-M1748)</f>
        <v/>
      </c>
      <c r="O1748" s="35" t="str">
        <f aca="false">IF(OR(N1748="",K1748=""),"",IF(K1748=0,"",N1748/K1748))</f>
        <v/>
      </c>
      <c r="P1748" s="25"/>
      <c r="Q1748" s="25"/>
      <c r="R1748" s="25"/>
      <c r="S1748" s="36" t="str">
        <f aca="false">IF(A1748="","",YEAR(A1748)+IF(AND(FYStart&gt;1,MONTH(A1748)&gt;=FYStart),1,0))</f>
        <v/>
      </c>
      <c r="T1748" s="36" t="str">
        <f aca="false">IF(A1748="","",MOD(MONTH(A1748)-FYStart,12)+1)</f>
        <v/>
      </c>
      <c r="U1748" s="37" t="str">
        <f aca="false">IF(A1748="","",TEXT(A1748,"mmm"))</f>
        <v/>
      </c>
      <c r="V1748" s="37" t="str">
        <f aca="false">IF(Q1748="","",IFERROR(INDEX(Settings!$I$11:$I$15,MATCH(Q1748,Settings!$H$11:$H$15,0)),"No"))</f>
        <v/>
      </c>
      <c r="W1748" s="37" t="str">
        <f aca="false">IF(Q1748="","",IFERROR(INDEX(Settings!$J$11:$J$15,MATCH(Q1748,Settings!$H$11:$H$15,0)),"No"))</f>
        <v/>
      </c>
    </row>
    <row r="1749" customFormat="false" ht="15" hidden="false" customHeight="false" outlineLevel="0" collapsed="false">
      <c r="A1749" s="30"/>
      <c r="B1749" s="25"/>
      <c r="C1749" s="25"/>
      <c r="D1749" s="25"/>
      <c r="E1749" s="25"/>
      <c r="F1749" s="25"/>
      <c r="G1749" s="25"/>
      <c r="H1749" s="31"/>
      <c r="I1749" s="32"/>
      <c r="J1749" s="33"/>
      <c r="K1749" s="34" t="str">
        <f aca="false">IF(OR(H1749="",I1749=""),"",H1749*I1749*(1-N(J1749)))</f>
        <v/>
      </c>
      <c r="L1749" s="32"/>
      <c r="M1749" s="34" t="str">
        <f aca="false">IF(OR(H1749="",L1749=""),"",H1749*L1749)</f>
        <v/>
      </c>
      <c r="N1749" s="34" t="str">
        <f aca="false">IF(OR(K1749="",M1749=""),"",K1749-M1749)</f>
        <v/>
      </c>
      <c r="O1749" s="35" t="str">
        <f aca="false">IF(OR(N1749="",K1749=""),"",IF(K1749=0,"",N1749/K1749))</f>
        <v/>
      </c>
      <c r="P1749" s="25"/>
      <c r="Q1749" s="25"/>
      <c r="R1749" s="25"/>
      <c r="S1749" s="36" t="str">
        <f aca="false">IF(A1749="","",YEAR(A1749)+IF(AND(FYStart&gt;1,MONTH(A1749)&gt;=FYStart),1,0))</f>
        <v/>
      </c>
      <c r="T1749" s="36" t="str">
        <f aca="false">IF(A1749="","",MOD(MONTH(A1749)-FYStart,12)+1)</f>
        <v/>
      </c>
      <c r="U1749" s="37" t="str">
        <f aca="false">IF(A1749="","",TEXT(A1749,"mmm"))</f>
        <v/>
      </c>
      <c r="V1749" s="37" t="str">
        <f aca="false">IF(Q1749="","",IFERROR(INDEX(Settings!$I$11:$I$15,MATCH(Q1749,Settings!$H$11:$H$15,0)),"No"))</f>
        <v/>
      </c>
      <c r="W1749" s="37" t="str">
        <f aca="false">IF(Q1749="","",IFERROR(INDEX(Settings!$J$11:$J$15,MATCH(Q1749,Settings!$H$11:$H$15,0)),"No"))</f>
        <v/>
      </c>
    </row>
    <row r="1750" customFormat="false" ht="15" hidden="false" customHeight="false" outlineLevel="0" collapsed="false">
      <c r="A1750" s="30"/>
      <c r="B1750" s="25"/>
      <c r="C1750" s="25"/>
      <c r="D1750" s="25"/>
      <c r="E1750" s="25"/>
      <c r="F1750" s="25"/>
      <c r="G1750" s="25"/>
      <c r="H1750" s="31"/>
      <c r="I1750" s="32"/>
      <c r="J1750" s="33"/>
      <c r="K1750" s="34" t="str">
        <f aca="false">IF(OR(H1750="",I1750=""),"",H1750*I1750*(1-N(J1750)))</f>
        <v/>
      </c>
      <c r="L1750" s="32"/>
      <c r="M1750" s="34" t="str">
        <f aca="false">IF(OR(H1750="",L1750=""),"",H1750*L1750)</f>
        <v/>
      </c>
      <c r="N1750" s="34" t="str">
        <f aca="false">IF(OR(K1750="",M1750=""),"",K1750-M1750)</f>
        <v/>
      </c>
      <c r="O1750" s="35" t="str">
        <f aca="false">IF(OR(N1750="",K1750=""),"",IF(K1750=0,"",N1750/K1750))</f>
        <v/>
      </c>
      <c r="P1750" s="25"/>
      <c r="Q1750" s="25"/>
      <c r="R1750" s="25"/>
      <c r="S1750" s="36" t="str">
        <f aca="false">IF(A1750="","",YEAR(A1750)+IF(AND(FYStart&gt;1,MONTH(A1750)&gt;=FYStart),1,0))</f>
        <v/>
      </c>
      <c r="T1750" s="36" t="str">
        <f aca="false">IF(A1750="","",MOD(MONTH(A1750)-FYStart,12)+1)</f>
        <v/>
      </c>
      <c r="U1750" s="37" t="str">
        <f aca="false">IF(A1750="","",TEXT(A1750,"mmm"))</f>
        <v/>
      </c>
      <c r="V1750" s="37" t="str">
        <f aca="false">IF(Q1750="","",IFERROR(INDEX(Settings!$I$11:$I$15,MATCH(Q1750,Settings!$H$11:$H$15,0)),"No"))</f>
        <v/>
      </c>
      <c r="W1750" s="37" t="str">
        <f aca="false">IF(Q1750="","",IFERROR(INDEX(Settings!$J$11:$J$15,MATCH(Q1750,Settings!$H$11:$H$15,0)),"No"))</f>
        <v/>
      </c>
    </row>
    <row r="1751" customFormat="false" ht="15" hidden="false" customHeight="false" outlineLevel="0" collapsed="false">
      <c r="A1751" s="30"/>
      <c r="B1751" s="25"/>
      <c r="C1751" s="25"/>
      <c r="D1751" s="25"/>
      <c r="E1751" s="25"/>
      <c r="F1751" s="25"/>
      <c r="G1751" s="25"/>
      <c r="H1751" s="31"/>
      <c r="I1751" s="32"/>
      <c r="J1751" s="33"/>
      <c r="K1751" s="34" t="str">
        <f aca="false">IF(OR(H1751="",I1751=""),"",H1751*I1751*(1-N(J1751)))</f>
        <v/>
      </c>
      <c r="L1751" s="32"/>
      <c r="M1751" s="34" t="str">
        <f aca="false">IF(OR(H1751="",L1751=""),"",H1751*L1751)</f>
        <v/>
      </c>
      <c r="N1751" s="34" t="str">
        <f aca="false">IF(OR(K1751="",M1751=""),"",K1751-M1751)</f>
        <v/>
      </c>
      <c r="O1751" s="35" t="str">
        <f aca="false">IF(OR(N1751="",K1751=""),"",IF(K1751=0,"",N1751/K1751))</f>
        <v/>
      </c>
      <c r="P1751" s="25"/>
      <c r="Q1751" s="25"/>
      <c r="R1751" s="25"/>
      <c r="S1751" s="36" t="str">
        <f aca="false">IF(A1751="","",YEAR(A1751)+IF(AND(FYStart&gt;1,MONTH(A1751)&gt;=FYStart),1,0))</f>
        <v/>
      </c>
      <c r="T1751" s="36" t="str">
        <f aca="false">IF(A1751="","",MOD(MONTH(A1751)-FYStart,12)+1)</f>
        <v/>
      </c>
      <c r="U1751" s="37" t="str">
        <f aca="false">IF(A1751="","",TEXT(A1751,"mmm"))</f>
        <v/>
      </c>
      <c r="V1751" s="37" t="str">
        <f aca="false">IF(Q1751="","",IFERROR(INDEX(Settings!$I$11:$I$15,MATCH(Q1751,Settings!$H$11:$H$15,0)),"No"))</f>
        <v/>
      </c>
      <c r="W1751" s="37" t="str">
        <f aca="false">IF(Q1751="","",IFERROR(INDEX(Settings!$J$11:$J$15,MATCH(Q1751,Settings!$H$11:$H$15,0)),"No"))</f>
        <v/>
      </c>
    </row>
    <row r="1752" customFormat="false" ht="15" hidden="false" customHeight="false" outlineLevel="0" collapsed="false">
      <c r="A1752" s="30"/>
      <c r="B1752" s="25"/>
      <c r="C1752" s="25"/>
      <c r="D1752" s="25"/>
      <c r="E1752" s="25"/>
      <c r="F1752" s="25"/>
      <c r="G1752" s="25"/>
      <c r="H1752" s="31"/>
      <c r="I1752" s="32"/>
      <c r="J1752" s="33"/>
      <c r="K1752" s="34" t="str">
        <f aca="false">IF(OR(H1752="",I1752=""),"",H1752*I1752*(1-N(J1752)))</f>
        <v/>
      </c>
      <c r="L1752" s="32"/>
      <c r="M1752" s="34" t="str">
        <f aca="false">IF(OR(H1752="",L1752=""),"",H1752*L1752)</f>
        <v/>
      </c>
      <c r="N1752" s="34" t="str">
        <f aca="false">IF(OR(K1752="",M1752=""),"",K1752-M1752)</f>
        <v/>
      </c>
      <c r="O1752" s="35" t="str">
        <f aca="false">IF(OR(N1752="",K1752=""),"",IF(K1752=0,"",N1752/K1752))</f>
        <v/>
      </c>
      <c r="P1752" s="25"/>
      <c r="Q1752" s="25"/>
      <c r="R1752" s="25"/>
      <c r="S1752" s="36" t="str">
        <f aca="false">IF(A1752="","",YEAR(A1752)+IF(AND(FYStart&gt;1,MONTH(A1752)&gt;=FYStart),1,0))</f>
        <v/>
      </c>
      <c r="T1752" s="36" t="str">
        <f aca="false">IF(A1752="","",MOD(MONTH(A1752)-FYStart,12)+1)</f>
        <v/>
      </c>
      <c r="U1752" s="37" t="str">
        <f aca="false">IF(A1752="","",TEXT(A1752,"mmm"))</f>
        <v/>
      </c>
      <c r="V1752" s="37" t="str">
        <f aca="false">IF(Q1752="","",IFERROR(INDEX(Settings!$I$11:$I$15,MATCH(Q1752,Settings!$H$11:$H$15,0)),"No"))</f>
        <v/>
      </c>
      <c r="W1752" s="37" t="str">
        <f aca="false">IF(Q1752="","",IFERROR(INDEX(Settings!$J$11:$J$15,MATCH(Q1752,Settings!$H$11:$H$15,0)),"No"))</f>
        <v/>
      </c>
    </row>
    <row r="1753" customFormat="false" ht="15" hidden="false" customHeight="false" outlineLevel="0" collapsed="false">
      <c r="A1753" s="30"/>
      <c r="B1753" s="25"/>
      <c r="C1753" s="25"/>
      <c r="D1753" s="25"/>
      <c r="E1753" s="25"/>
      <c r="F1753" s="25"/>
      <c r="G1753" s="25"/>
      <c r="H1753" s="31"/>
      <c r="I1753" s="32"/>
      <c r="J1753" s="33"/>
      <c r="K1753" s="34" t="str">
        <f aca="false">IF(OR(H1753="",I1753=""),"",H1753*I1753*(1-N(J1753)))</f>
        <v/>
      </c>
      <c r="L1753" s="32"/>
      <c r="M1753" s="34" t="str">
        <f aca="false">IF(OR(H1753="",L1753=""),"",H1753*L1753)</f>
        <v/>
      </c>
      <c r="N1753" s="34" t="str">
        <f aca="false">IF(OR(K1753="",M1753=""),"",K1753-M1753)</f>
        <v/>
      </c>
      <c r="O1753" s="35" t="str">
        <f aca="false">IF(OR(N1753="",K1753=""),"",IF(K1753=0,"",N1753/K1753))</f>
        <v/>
      </c>
      <c r="P1753" s="25"/>
      <c r="Q1753" s="25"/>
      <c r="R1753" s="25"/>
      <c r="S1753" s="36" t="str">
        <f aca="false">IF(A1753="","",YEAR(A1753)+IF(AND(FYStart&gt;1,MONTH(A1753)&gt;=FYStart),1,0))</f>
        <v/>
      </c>
      <c r="T1753" s="36" t="str">
        <f aca="false">IF(A1753="","",MOD(MONTH(A1753)-FYStart,12)+1)</f>
        <v/>
      </c>
      <c r="U1753" s="37" t="str">
        <f aca="false">IF(A1753="","",TEXT(A1753,"mmm"))</f>
        <v/>
      </c>
      <c r="V1753" s="37" t="str">
        <f aca="false">IF(Q1753="","",IFERROR(INDEX(Settings!$I$11:$I$15,MATCH(Q1753,Settings!$H$11:$H$15,0)),"No"))</f>
        <v/>
      </c>
      <c r="W1753" s="37" t="str">
        <f aca="false">IF(Q1753="","",IFERROR(INDEX(Settings!$J$11:$J$15,MATCH(Q1753,Settings!$H$11:$H$15,0)),"No"))</f>
        <v/>
      </c>
    </row>
    <row r="1754" customFormat="false" ht="15" hidden="false" customHeight="false" outlineLevel="0" collapsed="false">
      <c r="A1754" s="30"/>
      <c r="B1754" s="25"/>
      <c r="C1754" s="25"/>
      <c r="D1754" s="25"/>
      <c r="E1754" s="25"/>
      <c r="F1754" s="25"/>
      <c r="G1754" s="25"/>
      <c r="H1754" s="31"/>
      <c r="I1754" s="32"/>
      <c r="J1754" s="33"/>
      <c r="K1754" s="34" t="str">
        <f aca="false">IF(OR(H1754="",I1754=""),"",H1754*I1754*(1-N(J1754)))</f>
        <v/>
      </c>
      <c r="L1754" s="32"/>
      <c r="M1754" s="34" t="str">
        <f aca="false">IF(OR(H1754="",L1754=""),"",H1754*L1754)</f>
        <v/>
      </c>
      <c r="N1754" s="34" t="str">
        <f aca="false">IF(OR(K1754="",M1754=""),"",K1754-M1754)</f>
        <v/>
      </c>
      <c r="O1754" s="35" t="str">
        <f aca="false">IF(OR(N1754="",K1754=""),"",IF(K1754=0,"",N1754/K1754))</f>
        <v/>
      </c>
      <c r="P1754" s="25"/>
      <c r="Q1754" s="25"/>
      <c r="R1754" s="25"/>
      <c r="S1754" s="36" t="str">
        <f aca="false">IF(A1754="","",YEAR(A1754)+IF(AND(FYStart&gt;1,MONTH(A1754)&gt;=FYStart),1,0))</f>
        <v/>
      </c>
      <c r="T1754" s="36" t="str">
        <f aca="false">IF(A1754="","",MOD(MONTH(A1754)-FYStart,12)+1)</f>
        <v/>
      </c>
      <c r="U1754" s="37" t="str">
        <f aca="false">IF(A1754="","",TEXT(A1754,"mmm"))</f>
        <v/>
      </c>
      <c r="V1754" s="37" t="str">
        <f aca="false">IF(Q1754="","",IFERROR(INDEX(Settings!$I$11:$I$15,MATCH(Q1754,Settings!$H$11:$H$15,0)),"No"))</f>
        <v/>
      </c>
      <c r="W1754" s="37" t="str">
        <f aca="false">IF(Q1754="","",IFERROR(INDEX(Settings!$J$11:$J$15,MATCH(Q1754,Settings!$H$11:$H$15,0)),"No"))</f>
        <v/>
      </c>
    </row>
    <row r="1755" customFormat="false" ht="15" hidden="false" customHeight="false" outlineLevel="0" collapsed="false">
      <c r="A1755" s="30"/>
      <c r="B1755" s="25"/>
      <c r="C1755" s="25"/>
      <c r="D1755" s="25"/>
      <c r="E1755" s="25"/>
      <c r="F1755" s="25"/>
      <c r="G1755" s="25"/>
      <c r="H1755" s="31"/>
      <c r="I1755" s="32"/>
      <c r="J1755" s="33"/>
      <c r="K1755" s="34" t="str">
        <f aca="false">IF(OR(H1755="",I1755=""),"",H1755*I1755*(1-N(J1755)))</f>
        <v/>
      </c>
      <c r="L1755" s="32"/>
      <c r="M1755" s="34" t="str">
        <f aca="false">IF(OR(H1755="",L1755=""),"",H1755*L1755)</f>
        <v/>
      </c>
      <c r="N1755" s="34" t="str">
        <f aca="false">IF(OR(K1755="",M1755=""),"",K1755-M1755)</f>
        <v/>
      </c>
      <c r="O1755" s="35" t="str">
        <f aca="false">IF(OR(N1755="",K1755=""),"",IF(K1755=0,"",N1755/K1755))</f>
        <v/>
      </c>
      <c r="P1755" s="25"/>
      <c r="Q1755" s="25"/>
      <c r="R1755" s="25"/>
      <c r="S1755" s="36" t="str">
        <f aca="false">IF(A1755="","",YEAR(A1755)+IF(AND(FYStart&gt;1,MONTH(A1755)&gt;=FYStart),1,0))</f>
        <v/>
      </c>
      <c r="T1755" s="36" t="str">
        <f aca="false">IF(A1755="","",MOD(MONTH(A1755)-FYStart,12)+1)</f>
        <v/>
      </c>
      <c r="U1755" s="37" t="str">
        <f aca="false">IF(A1755="","",TEXT(A1755,"mmm"))</f>
        <v/>
      </c>
      <c r="V1755" s="37" t="str">
        <f aca="false">IF(Q1755="","",IFERROR(INDEX(Settings!$I$11:$I$15,MATCH(Q1755,Settings!$H$11:$H$15,0)),"No"))</f>
        <v/>
      </c>
      <c r="W1755" s="37" t="str">
        <f aca="false">IF(Q1755="","",IFERROR(INDEX(Settings!$J$11:$J$15,MATCH(Q1755,Settings!$H$11:$H$15,0)),"No"))</f>
        <v/>
      </c>
    </row>
    <row r="1756" customFormat="false" ht="15" hidden="false" customHeight="false" outlineLevel="0" collapsed="false">
      <c r="A1756" s="30"/>
      <c r="B1756" s="25"/>
      <c r="C1756" s="25"/>
      <c r="D1756" s="25"/>
      <c r="E1756" s="25"/>
      <c r="F1756" s="25"/>
      <c r="G1756" s="25"/>
      <c r="H1756" s="31"/>
      <c r="I1756" s="32"/>
      <c r="J1756" s="33"/>
      <c r="K1756" s="34" t="str">
        <f aca="false">IF(OR(H1756="",I1756=""),"",H1756*I1756*(1-N(J1756)))</f>
        <v/>
      </c>
      <c r="L1756" s="32"/>
      <c r="M1756" s="34" t="str">
        <f aca="false">IF(OR(H1756="",L1756=""),"",H1756*L1756)</f>
        <v/>
      </c>
      <c r="N1756" s="34" t="str">
        <f aca="false">IF(OR(K1756="",M1756=""),"",K1756-M1756)</f>
        <v/>
      </c>
      <c r="O1756" s="35" t="str">
        <f aca="false">IF(OR(N1756="",K1756=""),"",IF(K1756=0,"",N1756/K1756))</f>
        <v/>
      </c>
      <c r="P1756" s="25"/>
      <c r="Q1756" s="25"/>
      <c r="R1756" s="25"/>
      <c r="S1756" s="36" t="str">
        <f aca="false">IF(A1756="","",YEAR(A1756)+IF(AND(FYStart&gt;1,MONTH(A1756)&gt;=FYStart),1,0))</f>
        <v/>
      </c>
      <c r="T1756" s="36" t="str">
        <f aca="false">IF(A1756="","",MOD(MONTH(A1756)-FYStart,12)+1)</f>
        <v/>
      </c>
      <c r="U1756" s="37" t="str">
        <f aca="false">IF(A1756="","",TEXT(A1756,"mmm"))</f>
        <v/>
      </c>
      <c r="V1756" s="37" t="str">
        <f aca="false">IF(Q1756="","",IFERROR(INDEX(Settings!$I$11:$I$15,MATCH(Q1756,Settings!$H$11:$H$15,0)),"No"))</f>
        <v/>
      </c>
      <c r="W1756" s="37" t="str">
        <f aca="false">IF(Q1756="","",IFERROR(INDEX(Settings!$J$11:$J$15,MATCH(Q1756,Settings!$H$11:$H$15,0)),"No"))</f>
        <v/>
      </c>
    </row>
    <row r="1757" customFormat="false" ht="15" hidden="false" customHeight="false" outlineLevel="0" collapsed="false">
      <c r="A1757" s="30"/>
      <c r="B1757" s="25"/>
      <c r="C1757" s="25"/>
      <c r="D1757" s="25"/>
      <c r="E1757" s="25"/>
      <c r="F1757" s="25"/>
      <c r="G1757" s="25"/>
      <c r="H1757" s="31"/>
      <c r="I1757" s="32"/>
      <c r="J1757" s="33"/>
      <c r="K1757" s="34" t="str">
        <f aca="false">IF(OR(H1757="",I1757=""),"",H1757*I1757*(1-N(J1757)))</f>
        <v/>
      </c>
      <c r="L1757" s="32"/>
      <c r="M1757" s="34" t="str">
        <f aca="false">IF(OR(H1757="",L1757=""),"",H1757*L1757)</f>
        <v/>
      </c>
      <c r="N1757" s="34" t="str">
        <f aca="false">IF(OR(K1757="",M1757=""),"",K1757-M1757)</f>
        <v/>
      </c>
      <c r="O1757" s="35" t="str">
        <f aca="false">IF(OR(N1757="",K1757=""),"",IF(K1757=0,"",N1757/K1757))</f>
        <v/>
      </c>
      <c r="P1757" s="25"/>
      <c r="Q1757" s="25"/>
      <c r="R1757" s="25"/>
      <c r="S1757" s="36" t="str">
        <f aca="false">IF(A1757="","",YEAR(A1757)+IF(AND(FYStart&gt;1,MONTH(A1757)&gt;=FYStart),1,0))</f>
        <v/>
      </c>
      <c r="T1757" s="36" t="str">
        <f aca="false">IF(A1757="","",MOD(MONTH(A1757)-FYStart,12)+1)</f>
        <v/>
      </c>
      <c r="U1757" s="37" t="str">
        <f aca="false">IF(A1757="","",TEXT(A1757,"mmm"))</f>
        <v/>
      </c>
      <c r="V1757" s="37" t="str">
        <f aca="false">IF(Q1757="","",IFERROR(INDEX(Settings!$I$11:$I$15,MATCH(Q1757,Settings!$H$11:$H$15,0)),"No"))</f>
        <v/>
      </c>
      <c r="W1757" s="37" t="str">
        <f aca="false">IF(Q1757="","",IFERROR(INDEX(Settings!$J$11:$J$15,MATCH(Q1757,Settings!$H$11:$H$15,0)),"No"))</f>
        <v/>
      </c>
    </row>
    <row r="1758" customFormat="false" ht="15" hidden="false" customHeight="false" outlineLevel="0" collapsed="false">
      <c r="A1758" s="30"/>
      <c r="B1758" s="25"/>
      <c r="C1758" s="25"/>
      <c r="D1758" s="25"/>
      <c r="E1758" s="25"/>
      <c r="F1758" s="25"/>
      <c r="G1758" s="25"/>
      <c r="H1758" s="31"/>
      <c r="I1758" s="32"/>
      <c r="J1758" s="33"/>
      <c r="K1758" s="34" t="str">
        <f aca="false">IF(OR(H1758="",I1758=""),"",H1758*I1758*(1-N(J1758)))</f>
        <v/>
      </c>
      <c r="L1758" s="32"/>
      <c r="M1758" s="34" t="str">
        <f aca="false">IF(OR(H1758="",L1758=""),"",H1758*L1758)</f>
        <v/>
      </c>
      <c r="N1758" s="34" t="str">
        <f aca="false">IF(OR(K1758="",M1758=""),"",K1758-M1758)</f>
        <v/>
      </c>
      <c r="O1758" s="35" t="str">
        <f aca="false">IF(OR(N1758="",K1758=""),"",IF(K1758=0,"",N1758/K1758))</f>
        <v/>
      </c>
      <c r="P1758" s="25"/>
      <c r="Q1758" s="25"/>
      <c r="R1758" s="25"/>
      <c r="S1758" s="36" t="str">
        <f aca="false">IF(A1758="","",YEAR(A1758)+IF(AND(FYStart&gt;1,MONTH(A1758)&gt;=FYStart),1,0))</f>
        <v/>
      </c>
      <c r="T1758" s="36" t="str">
        <f aca="false">IF(A1758="","",MOD(MONTH(A1758)-FYStart,12)+1)</f>
        <v/>
      </c>
      <c r="U1758" s="37" t="str">
        <f aca="false">IF(A1758="","",TEXT(A1758,"mmm"))</f>
        <v/>
      </c>
      <c r="V1758" s="37" t="str">
        <f aca="false">IF(Q1758="","",IFERROR(INDEX(Settings!$I$11:$I$15,MATCH(Q1758,Settings!$H$11:$H$15,0)),"No"))</f>
        <v/>
      </c>
      <c r="W1758" s="37" t="str">
        <f aca="false">IF(Q1758="","",IFERROR(INDEX(Settings!$J$11:$J$15,MATCH(Q1758,Settings!$H$11:$H$15,0)),"No"))</f>
        <v/>
      </c>
    </row>
    <row r="1759" customFormat="false" ht="15" hidden="false" customHeight="false" outlineLevel="0" collapsed="false">
      <c r="A1759" s="30"/>
      <c r="B1759" s="25"/>
      <c r="C1759" s="25"/>
      <c r="D1759" s="25"/>
      <c r="E1759" s="25"/>
      <c r="F1759" s="25"/>
      <c r="G1759" s="25"/>
      <c r="H1759" s="31"/>
      <c r="I1759" s="32"/>
      <c r="J1759" s="33"/>
      <c r="K1759" s="34" t="str">
        <f aca="false">IF(OR(H1759="",I1759=""),"",H1759*I1759*(1-N(J1759)))</f>
        <v/>
      </c>
      <c r="L1759" s="32"/>
      <c r="M1759" s="34" t="str">
        <f aca="false">IF(OR(H1759="",L1759=""),"",H1759*L1759)</f>
        <v/>
      </c>
      <c r="N1759" s="34" t="str">
        <f aca="false">IF(OR(K1759="",M1759=""),"",K1759-M1759)</f>
        <v/>
      </c>
      <c r="O1759" s="35" t="str">
        <f aca="false">IF(OR(N1759="",K1759=""),"",IF(K1759=0,"",N1759/K1759))</f>
        <v/>
      </c>
      <c r="P1759" s="25"/>
      <c r="Q1759" s="25"/>
      <c r="R1759" s="25"/>
      <c r="S1759" s="36" t="str">
        <f aca="false">IF(A1759="","",YEAR(A1759)+IF(AND(FYStart&gt;1,MONTH(A1759)&gt;=FYStart),1,0))</f>
        <v/>
      </c>
      <c r="T1759" s="36" t="str">
        <f aca="false">IF(A1759="","",MOD(MONTH(A1759)-FYStart,12)+1)</f>
        <v/>
      </c>
      <c r="U1759" s="37" t="str">
        <f aca="false">IF(A1759="","",TEXT(A1759,"mmm"))</f>
        <v/>
      </c>
      <c r="V1759" s="37" t="str">
        <f aca="false">IF(Q1759="","",IFERROR(INDEX(Settings!$I$11:$I$15,MATCH(Q1759,Settings!$H$11:$H$15,0)),"No"))</f>
        <v/>
      </c>
      <c r="W1759" s="37" t="str">
        <f aca="false">IF(Q1759="","",IFERROR(INDEX(Settings!$J$11:$J$15,MATCH(Q1759,Settings!$H$11:$H$15,0)),"No"))</f>
        <v/>
      </c>
    </row>
    <row r="1760" customFormat="false" ht="15" hidden="false" customHeight="false" outlineLevel="0" collapsed="false">
      <c r="A1760" s="30"/>
      <c r="B1760" s="25"/>
      <c r="C1760" s="25"/>
      <c r="D1760" s="25"/>
      <c r="E1760" s="25"/>
      <c r="F1760" s="25"/>
      <c r="G1760" s="25"/>
      <c r="H1760" s="31"/>
      <c r="I1760" s="32"/>
      <c r="J1760" s="33"/>
      <c r="K1760" s="34" t="str">
        <f aca="false">IF(OR(H1760="",I1760=""),"",H1760*I1760*(1-N(J1760)))</f>
        <v/>
      </c>
      <c r="L1760" s="32"/>
      <c r="M1760" s="34" t="str">
        <f aca="false">IF(OR(H1760="",L1760=""),"",H1760*L1760)</f>
        <v/>
      </c>
      <c r="N1760" s="34" t="str">
        <f aca="false">IF(OR(K1760="",M1760=""),"",K1760-M1760)</f>
        <v/>
      </c>
      <c r="O1760" s="35" t="str">
        <f aca="false">IF(OR(N1760="",K1760=""),"",IF(K1760=0,"",N1760/K1760))</f>
        <v/>
      </c>
      <c r="P1760" s="25"/>
      <c r="Q1760" s="25"/>
      <c r="R1760" s="25"/>
      <c r="S1760" s="36" t="str">
        <f aca="false">IF(A1760="","",YEAR(A1760)+IF(AND(FYStart&gt;1,MONTH(A1760)&gt;=FYStart),1,0))</f>
        <v/>
      </c>
      <c r="T1760" s="36" t="str">
        <f aca="false">IF(A1760="","",MOD(MONTH(A1760)-FYStart,12)+1)</f>
        <v/>
      </c>
      <c r="U1760" s="37" t="str">
        <f aca="false">IF(A1760="","",TEXT(A1760,"mmm"))</f>
        <v/>
      </c>
      <c r="V1760" s="37" t="str">
        <f aca="false">IF(Q1760="","",IFERROR(INDEX(Settings!$I$11:$I$15,MATCH(Q1760,Settings!$H$11:$H$15,0)),"No"))</f>
        <v/>
      </c>
      <c r="W1760" s="37" t="str">
        <f aca="false">IF(Q1760="","",IFERROR(INDEX(Settings!$J$11:$J$15,MATCH(Q1760,Settings!$H$11:$H$15,0)),"No"))</f>
        <v/>
      </c>
    </row>
    <row r="1761" customFormat="false" ht="15" hidden="false" customHeight="false" outlineLevel="0" collapsed="false">
      <c r="A1761" s="30"/>
      <c r="B1761" s="25"/>
      <c r="C1761" s="25"/>
      <c r="D1761" s="25"/>
      <c r="E1761" s="25"/>
      <c r="F1761" s="25"/>
      <c r="G1761" s="25"/>
      <c r="H1761" s="31"/>
      <c r="I1761" s="32"/>
      <c r="J1761" s="33"/>
      <c r="K1761" s="34" t="str">
        <f aca="false">IF(OR(H1761="",I1761=""),"",H1761*I1761*(1-N(J1761)))</f>
        <v/>
      </c>
      <c r="L1761" s="32"/>
      <c r="M1761" s="34" t="str">
        <f aca="false">IF(OR(H1761="",L1761=""),"",H1761*L1761)</f>
        <v/>
      </c>
      <c r="N1761" s="34" t="str">
        <f aca="false">IF(OR(K1761="",M1761=""),"",K1761-M1761)</f>
        <v/>
      </c>
      <c r="O1761" s="35" t="str">
        <f aca="false">IF(OR(N1761="",K1761=""),"",IF(K1761=0,"",N1761/K1761))</f>
        <v/>
      </c>
      <c r="P1761" s="25"/>
      <c r="Q1761" s="25"/>
      <c r="R1761" s="25"/>
      <c r="S1761" s="36" t="str">
        <f aca="false">IF(A1761="","",YEAR(A1761)+IF(AND(FYStart&gt;1,MONTH(A1761)&gt;=FYStart),1,0))</f>
        <v/>
      </c>
      <c r="T1761" s="36" t="str">
        <f aca="false">IF(A1761="","",MOD(MONTH(A1761)-FYStart,12)+1)</f>
        <v/>
      </c>
      <c r="U1761" s="37" t="str">
        <f aca="false">IF(A1761="","",TEXT(A1761,"mmm"))</f>
        <v/>
      </c>
      <c r="V1761" s="37" t="str">
        <f aca="false">IF(Q1761="","",IFERROR(INDEX(Settings!$I$11:$I$15,MATCH(Q1761,Settings!$H$11:$H$15,0)),"No"))</f>
        <v/>
      </c>
      <c r="W1761" s="37" t="str">
        <f aca="false">IF(Q1761="","",IFERROR(INDEX(Settings!$J$11:$J$15,MATCH(Q1761,Settings!$H$11:$H$15,0)),"No"))</f>
        <v/>
      </c>
    </row>
    <row r="1762" customFormat="false" ht="15" hidden="false" customHeight="false" outlineLevel="0" collapsed="false">
      <c r="A1762" s="30"/>
      <c r="B1762" s="25"/>
      <c r="C1762" s="25"/>
      <c r="D1762" s="25"/>
      <c r="E1762" s="25"/>
      <c r="F1762" s="25"/>
      <c r="G1762" s="25"/>
      <c r="H1762" s="31"/>
      <c r="I1762" s="32"/>
      <c r="J1762" s="33"/>
      <c r="K1762" s="34" t="str">
        <f aca="false">IF(OR(H1762="",I1762=""),"",H1762*I1762*(1-N(J1762)))</f>
        <v/>
      </c>
      <c r="L1762" s="32"/>
      <c r="M1762" s="34" t="str">
        <f aca="false">IF(OR(H1762="",L1762=""),"",H1762*L1762)</f>
        <v/>
      </c>
      <c r="N1762" s="34" t="str">
        <f aca="false">IF(OR(K1762="",M1762=""),"",K1762-M1762)</f>
        <v/>
      </c>
      <c r="O1762" s="35" t="str">
        <f aca="false">IF(OR(N1762="",K1762=""),"",IF(K1762=0,"",N1762/K1762))</f>
        <v/>
      </c>
      <c r="P1762" s="25"/>
      <c r="Q1762" s="25"/>
      <c r="R1762" s="25"/>
      <c r="S1762" s="36" t="str">
        <f aca="false">IF(A1762="","",YEAR(A1762)+IF(AND(FYStart&gt;1,MONTH(A1762)&gt;=FYStart),1,0))</f>
        <v/>
      </c>
      <c r="T1762" s="36" t="str">
        <f aca="false">IF(A1762="","",MOD(MONTH(A1762)-FYStart,12)+1)</f>
        <v/>
      </c>
      <c r="U1762" s="37" t="str">
        <f aca="false">IF(A1762="","",TEXT(A1762,"mmm"))</f>
        <v/>
      </c>
      <c r="V1762" s="37" t="str">
        <f aca="false">IF(Q1762="","",IFERROR(INDEX(Settings!$I$11:$I$15,MATCH(Q1762,Settings!$H$11:$H$15,0)),"No"))</f>
        <v/>
      </c>
      <c r="W1762" s="37" t="str">
        <f aca="false">IF(Q1762="","",IFERROR(INDEX(Settings!$J$11:$J$15,MATCH(Q1762,Settings!$H$11:$H$15,0)),"No"))</f>
        <v/>
      </c>
    </row>
    <row r="1763" customFormat="false" ht="15" hidden="false" customHeight="false" outlineLevel="0" collapsed="false">
      <c r="A1763" s="30"/>
      <c r="B1763" s="25"/>
      <c r="C1763" s="25"/>
      <c r="D1763" s="25"/>
      <c r="E1763" s="25"/>
      <c r="F1763" s="25"/>
      <c r="G1763" s="25"/>
      <c r="H1763" s="31"/>
      <c r="I1763" s="32"/>
      <c r="J1763" s="33"/>
      <c r="K1763" s="34" t="str">
        <f aca="false">IF(OR(H1763="",I1763=""),"",H1763*I1763*(1-N(J1763)))</f>
        <v/>
      </c>
      <c r="L1763" s="32"/>
      <c r="M1763" s="34" t="str">
        <f aca="false">IF(OR(H1763="",L1763=""),"",H1763*L1763)</f>
        <v/>
      </c>
      <c r="N1763" s="34" t="str">
        <f aca="false">IF(OR(K1763="",M1763=""),"",K1763-M1763)</f>
        <v/>
      </c>
      <c r="O1763" s="35" t="str">
        <f aca="false">IF(OR(N1763="",K1763=""),"",IF(K1763=0,"",N1763/K1763))</f>
        <v/>
      </c>
      <c r="P1763" s="25"/>
      <c r="Q1763" s="25"/>
      <c r="R1763" s="25"/>
      <c r="S1763" s="36" t="str">
        <f aca="false">IF(A1763="","",YEAR(A1763)+IF(AND(FYStart&gt;1,MONTH(A1763)&gt;=FYStart),1,0))</f>
        <v/>
      </c>
      <c r="T1763" s="36" t="str">
        <f aca="false">IF(A1763="","",MOD(MONTH(A1763)-FYStart,12)+1)</f>
        <v/>
      </c>
      <c r="U1763" s="37" t="str">
        <f aca="false">IF(A1763="","",TEXT(A1763,"mmm"))</f>
        <v/>
      </c>
      <c r="V1763" s="37" t="str">
        <f aca="false">IF(Q1763="","",IFERROR(INDEX(Settings!$I$11:$I$15,MATCH(Q1763,Settings!$H$11:$H$15,0)),"No"))</f>
        <v/>
      </c>
      <c r="W1763" s="37" t="str">
        <f aca="false">IF(Q1763="","",IFERROR(INDEX(Settings!$J$11:$J$15,MATCH(Q1763,Settings!$H$11:$H$15,0)),"No"))</f>
        <v/>
      </c>
    </row>
    <row r="1764" customFormat="false" ht="15" hidden="false" customHeight="false" outlineLevel="0" collapsed="false">
      <c r="A1764" s="30"/>
      <c r="B1764" s="25"/>
      <c r="C1764" s="25"/>
      <c r="D1764" s="25"/>
      <c r="E1764" s="25"/>
      <c r="F1764" s="25"/>
      <c r="G1764" s="25"/>
      <c r="H1764" s="31"/>
      <c r="I1764" s="32"/>
      <c r="J1764" s="33"/>
      <c r="K1764" s="34" t="str">
        <f aca="false">IF(OR(H1764="",I1764=""),"",H1764*I1764*(1-N(J1764)))</f>
        <v/>
      </c>
      <c r="L1764" s="32"/>
      <c r="M1764" s="34" t="str">
        <f aca="false">IF(OR(H1764="",L1764=""),"",H1764*L1764)</f>
        <v/>
      </c>
      <c r="N1764" s="34" t="str">
        <f aca="false">IF(OR(K1764="",M1764=""),"",K1764-M1764)</f>
        <v/>
      </c>
      <c r="O1764" s="35" t="str">
        <f aca="false">IF(OR(N1764="",K1764=""),"",IF(K1764=0,"",N1764/K1764))</f>
        <v/>
      </c>
      <c r="P1764" s="25"/>
      <c r="Q1764" s="25"/>
      <c r="R1764" s="25"/>
      <c r="S1764" s="36" t="str">
        <f aca="false">IF(A1764="","",YEAR(A1764)+IF(AND(FYStart&gt;1,MONTH(A1764)&gt;=FYStart),1,0))</f>
        <v/>
      </c>
      <c r="T1764" s="36" t="str">
        <f aca="false">IF(A1764="","",MOD(MONTH(A1764)-FYStart,12)+1)</f>
        <v/>
      </c>
      <c r="U1764" s="37" t="str">
        <f aca="false">IF(A1764="","",TEXT(A1764,"mmm"))</f>
        <v/>
      </c>
      <c r="V1764" s="37" t="str">
        <f aca="false">IF(Q1764="","",IFERROR(INDEX(Settings!$I$11:$I$15,MATCH(Q1764,Settings!$H$11:$H$15,0)),"No"))</f>
        <v/>
      </c>
      <c r="W1764" s="37" t="str">
        <f aca="false">IF(Q1764="","",IFERROR(INDEX(Settings!$J$11:$J$15,MATCH(Q1764,Settings!$H$11:$H$15,0)),"No"))</f>
        <v/>
      </c>
    </row>
    <row r="1765" customFormat="false" ht="15" hidden="false" customHeight="false" outlineLevel="0" collapsed="false">
      <c r="A1765" s="30"/>
      <c r="B1765" s="25"/>
      <c r="C1765" s="25"/>
      <c r="D1765" s="25"/>
      <c r="E1765" s="25"/>
      <c r="F1765" s="25"/>
      <c r="G1765" s="25"/>
      <c r="H1765" s="31"/>
      <c r="I1765" s="32"/>
      <c r="J1765" s="33"/>
      <c r="K1765" s="34" t="str">
        <f aca="false">IF(OR(H1765="",I1765=""),"",H1765*I1765*(1-N(J1765)))</f>
        <v/>
      </c>
      <c r="L1765" s="32"/>
      <c r="M1765" s="34" t="str">
        <f aca="false">IF(OR(H1765="",L1765=""),"",H1765*L1765)</f>
        <v/>
      </c>
      <c r="N1765" s="34" t="str">
        <f aca="false">IF(OR(K1765="",M1765=""),"",K1765-M1765)</f>
        <v/>
      </c>
      <c r="O1765" s="35" t="str">
        <f aca="false">IF(OR(N1765="",K1765=""),"",IF(K1765=0,"",N1765/K1765))</f>
        <v/>
      </c>
      <c r="P1765" s="25"/>
      <c r="Q1765" s="25"/>
      <c r="R1765" s="25"/>
      <c r="S1765" s="36" t="str">
        <f aca="false">IF(A1765="","",YEAR(A1765)+IF(AND(FYStart&gt;1,MONTH(A1765)&gt;=FYStart),1,0))</f>
        <v/>
      </c>
      <c r="T1765" s="36" t="str">
        <f aca="false">IF(A1765="","",MOD(MONTH(A1765)-FYStart,12)+1)</f>
        <v/>
      </c>
      <c r="U1765" s="37" t="str">
        <f aca="false">IF(A1765="","",TEXT(A1765,"mmm"))</f>
        <v/>
      </c>
      <c r="V1765" s="37" t="str">
        <f aca="false">IF(Q1765="","",IFERROR(INDEX(Settings!$I$11:$I$15,MATCH(Q1765,Settings!$H$11:$H$15,0)),"No"))</f>
        <v/>
      </c>
      <c r="W1765" s="37" t="str">
        <f aca="false">IF(Q1765="","",IFERROR(INDEX(Settings!$J$11:$J$15,MATCH(Q1765,Settings!$H$11:$H$15,0)),"No"))</f>
        <v/>
      </c>
    </row>
    <row r="1766" customFormat="false" ht="15" hidden="false" customHeight="false" outlineLevel="0" collapsed="false">
      <c r="A1766" s="30"/>
      <c r="B1766" s="25"/>
      <c r="C1766" s="25"/>
      <c r="D1766" s="25"/>
      <c r="E1766" s="25"/>
      <c r="F1766" s="25"/>
      <c r="G1766" s="25"/>
      <c r="H1766" s="31"/>
      <c r="I1766" s="32"/>
      <c r="J1766" s="33"/>
      <c r="K1766" s="34" t="str">
        <f aca="false">IF(OR(H1766="",I1766=""),"",H1766*I1766*(1-N(J1766)))</f>
        <v/>
      </c>
      <c r="L1766" s="32"/>
      <c r="M1766" s="34" t="str">
        <f aca="false">IF(OR(H1766="",L1766=""),"",H1766*L1766)</f>
        <v/>
      </c>
      <c r="N1766" s="34" t="str">
        <f aca="false">IF(OR(K1766="",M1766=""),"",K1766-M1766)</f>
        <v/>
      </c>
      <c r="O1766" s="35" t="str">
        <f aca="false">IF(OR(N1766="",K1766=""),"",IF(K1766=0,"",N1766/K1766))</f>
        <v/>
      </c>
      <c r="P1766" s="25"/>
      <c r="Q1766" s="25"/>
      <c r="R1766" s="25"/>
      <c r="S1766" s="36" t="str">
        <f aca="false">IF(A1766="","",YEAR(A1766)+IF(AND(FYStart&gt;1,MONTH(A1766)&gt;=FYStart),1,0))</f>
        <v/>
      </c>
      <c r="T1766" s="36" t="str">
        <f aca="false">IF(A1766="","",MOD(MONTH(A1766)-FYStart,12)+1)</f>
        <v/>
      </c>
      <c r="U1766" s="37" t="str">
        <f aca="false">IF(A1766="","",TEXT(A1766,"mmm"))</f>
        <v/>
      </c>
      <c r="V1766" s="37" t="str">
        <f aca="false">IF(Q1766="","",IFERROR(INDEX(Settings!$I$11:$I$15,MATCH(Q1766,Settings!$H$11:$H$15,0)),"No"))</f>
        <v/>
      </c>
      <c r="W1766" s="37" t="str">
        <f aca="false">IF(Q1766="","",IFERROR(INDEX(Settings!$J$11:$J$15,MATCH(Q1766,Settings!$H$11:$H$15,0)),"No"))</f>
        <v/>
      </c>
    </row>
    <row r="1767" customFormat="false" ht="15" hidden="false" customHeight="false" outlineLevel="0" collapsed="false">
      <c r="A1767" s="30"/>
      <c r="B1767" s="25"/>
      <c r="C1767" s="25"/>
      <c r="D1767" s="25"/>
      <c r="E1767" s="25"/>
      <c r="F1767" s="25"/>
      <c r="G1767" s="25"/>
      <c r="H1767" s="31"/>
      <c r="I1767" s="32"/>
      <c r="J1767" s="33"/>
      <c r="K1767" s="34" t="str">
        <f aca="false">IF(OR(H1767="",I1767=""),"",H1767*I1767*(1-N(J1767)))</f>
        <v/>
      </c>
      <c r="L1767" s="32"/>
      <c r="M1767" s="34" t="str">
        <f aca="false">IF(OR(H1767="",L1767=""),"",H1767*L1767)</f>
        <v/>
      </c>
      <c r="N1767" s="34" t="str">
        <f aca="false">IF(OR(K1767="",M1767=""),"",K1767-M1767)</f>
        <v/>
      </c>
      <c r="O1767" s="35" t="str">
        <f aca="false">IF(OR(N1767="",K1767=""),"",IF(K1767=0,"",N1767/K1767))</f>
        <v/>
      </c>
      <c r="P1767" s="25"/>
      <c r="Q1767" s="25"/>
      <c r="R1767" s="25"/>
      <c r="S1767" s="36" t="str">
        <f aca="false">IF(A1767="","",YEAR(A1767)+IF(AND(FYStart&gt;1,MONTH(A1767)&gt;=FYStart),1,0))</f>
        <v/>
      </c>
      <c r="T1767" s="36" t="str">
        <f aca="false">IF(A1767="","",MOD(MONTH(A1767)-FYStart,12)+1)</f>
        <v/>
      </c>
      <c r="U1767" s="37" t="str">
        <f aca="false">IF(A1767="","",TEXT(A1767,"mmm"))</f>
        <v/>
      </c>
      <c r="V1767" s="37" t="str">
        <f aca="false">IF(Q1767="","",IFERROR(INDEX(Settings!$I$11:$I$15,MATCH(Q1767,Settings!$H$11:$H$15,0)),"No"))</f>
        <v/>
      </c>
      <c r="W1767" s="37" t="str">
        <f aca="false">IF(Q1767="","",IFERROR(INDEX(Settings!$J$11:$J$15,MATCH(Q1767,Settings!$H$11:$H$15,0)),"No"))</f>
        <v/>
      </c>
    </row>
    <row r="1768" customFormat="false" ht="15" hidden="false" customHeight="false" outlineLevel="0" collapsed="false">
      <c r="A1768" s="30"/>
      <c r="B1768" s="25"/>
      <c r="C1768" s="25"/>
      <c r="D1768" s="25"/>
      <c r="E1768" s="25"/>
      <c r="F1768" s="25"/>
      <c r="G1768" s="25"/>
      <c r="H1768" s="31"/>
      <c r="I1768" s="32"/>
      <c r="J1768" s="33"/>
      <c r="K1768" s="34" t="str">
        <f aca="false">IF(OR(H1768="",I1768=""),"",H1768*I1768*(1-N(J1768)))</f>
        <v/>
      </c>
      <c r="L1768" s="32"/>
      <c r="M1768" s="34" t="str">
        <f aca="false">IF(OR(H1768="",L1768=""),"",H1768*L1768)</f>
        <v/>
      </c>
      <c r="N1768" s="34" t="str">
        <f aca="false">IF(OR(K1768="",M1768=""),"",K1768-M1768)</f>
        <v/>
      </c>
      <c r="O1768" s="35" t="str">
        <f aca="false">IF(OR(N1768="",K1768=""),"",IF(K1768=0,"",N1768/K1768))</f>
        <v/>
      </c>
      <c r="P1768" s="25"/>
      <c r="Q1768" s="25"/>
      <c r="R1768" s="25"/>
      <c r="S1768" s="36" t="str">
        <f aca="false">IF(A1768="","",YEAR(A1768)+IF(AND(FYStart&gt;1,MONTH(A1768)&gt;=FYStart),1,0))</f>
        <v/>
      </c>
      <c r="T1768" s="36" t="str">
        <f aca="false">IF(A1768="","",MOD(MONTH(A1768)-FYStart,12)+1)</f>
        <v/>
      </c>
      <c r="U1768" s="37" t="str">
        <f aca="false">IF(A1768="","",TEXT(A1768,"mmm"))</f>
        <v/>
      </c>
      <c r="V1768" s="37" t="str">
        <f aca="false">IF(Q1768="","",IFERROR(INDEX(Settings!$I$11:$I$15,MATCH(Q1768,Settings!$H$11:$H$15,0)),"No"))</f>
        <v/>
      </c>
      <c r="W1768" s="37" t="str">
        <f aca="false">IF(Q1768="","",IFERROR(INDEX(Settings!$J$11:$J$15,MATCH(Q1768,Settings!$H$11:$H$15,0)),"No"))</f>
        <v/>
      </c>
    </row>
    <row r="1769" customFormat="false" ht="15" hidden="false" customHeight="false" outlineLevel="0" collapsed="false">
      <c r="A1769" s="30"/>
      <c r="B1769" s="25"/>
      <c r="C1769" s="25"/>
      <c r="D1769" s="25"/>
      <c r="E1769" s="25"/>
      <c r="F1769" s="25"/>
      <c r="G1769" s="25"/>
      <c r="H1769" s="31"/>
      <c r="I1769" s="32"/>
      <c r="J1769" s="33"/>
      <c r="K1769" s="34" t="str">
        <f aca="false">IF(OR(H1769="",I1769=""),"",H1769*I1769*(1-N(J1769)))</f>
        <v/>
      </c>
      <c r="L1769" s="32"/>
      <c r="M1769" s="34" t="str">
        <f aca="false">IF(OR(H1769="",L1769=""),"",H1769*L1769)</f>
        <v/>
      </c>
      <c r="N1769" s="34" t="str">
        <f aca="false">IF(OR(K1769="",M1769=""),"",K1769-M1769)</f>
        <v/>
      </c>
      <c r="O1769" s="35" t="str">
        <f aca="false">IF(OR(N1769="",K1769=""),"",IF(K1769=0,"",N1769/K1769))</f>
        <v/>
      </c>
      <c r="P1769" s="25"/>
      <c r="Q1769" s="25"/>
      <c r="R1769" s="25"/>
      <c r="S1769" s="36" t="str">
        <f aca="false">IF(A1769="","",YEAR(A1769)+IF(AND(FYStart&gt;1,MONTH(A1769)&gt;=FYStart),1,0))</f>
        <v/>
      </c>
      <c r="T1769" s="36" t="str">
        <f aca="false">IF(A1769="","",MOD(MONTH(A1769)-FYStart,12)+1)</f>
        <v/>
      </c>
      <c r="U1769" s="37" t="str">
        <f aca="false">IF(A1769="","",TEXT(A1769,"mmm"))</f>
        <v/>
      </c>
      <c r="V1769" s="37" t="str">
        <f aca="false">IF(Q1769="","",IFERROR(INDEX(Settings!$I$11:$I$15,MATCH(Q1769,Settings!$H$11:$H$15,0)),"No"))</f>
        <v/>
      </c>
      <c r="W1769" s="37" t="str">
        <f aca="false">IF(Q1769="","",IFERROR(INDEX(Settings!$J$11:$J$15,MATCH(Q1769,Settings!$H$11:$H$15,0)),"No"))</f>
        <v/>
      </c>
    </row>
    <row r="1770" customFormat="false" ht="15" hidden="false" customHeight="false" outlineLevel="0" collapsed="false">
      <c r="A1770" s="30"/>
      <c r="B1770" s="25"/>
      <c r="C1770" s="25"/>
      <c r="D1770" s="25"/>
      <c r="E1770" s="25"/>
      <c r="F1770" s="25"/>
      <c r="G1770" s="25"/>
      <c r="H1770" s="31"/>
      <c r="I1770" s="32"/>
      <c r="J1770" s="33"/>
      <c r="K1770" s="34" t="str">
        <f aca="false">IF(OR(H1770="",I1770=""),"",H1770*I1770*(1-N(J1770)))</f>
        <v/>
      </c>
      <c r="L1770" s="32"/>
      <c r="M1770" s="34" t="str">
        <f aca="false">IF(OR(H1770="",L1770=""),"",H1770*L1770)</f>
        <v/>
      </c>
      <c r="N1770" s="34" t="str">
        <f aca="false">IF(OR(K1770="",M1770=""),"",K1770-M1770)</f>
        <v/>
      </c>
      <c r="O1770" s="35" t="str">
        <f aca="false">IF(OR(N1770="",K1770=""),"",IF(K1770=0,"",N1770/K1770))</f>
        <v/>
      </c>
      <c r="P1770" s="25"/>
      <c r="Q1770" s="25"/>
      <c r="R1770" s="25"/>
      <c r="S1770" s="36" t="str">
        <f aca="false">IF(A1770="","",YEAR(A1770)+IF(AND(FYStart&gt;1,MONTH(A1770)&gt;=FYStart),1,0))</f>
        <v/>
      </c>
      <c r="T1770" s="36" t="str">
        <f aca="false">IF(A1770="","",MOD(MONTH(A1770)-FYStart,12)+1)</f>
        <v/>
      </c>
      <c r="U1770" s="37" t="str">
        <f aca="false">IF(A1770="","",TEXT(A1770,"mmm"))</f>
        <v/>
      </c>
      <c r="V1770" s="37" t="str">
        <f aca="false">IF(Q1770="","",IFERROR(INDEX(Settings!$I$11:$I$15,MATCH(Q1770,Settings!$H$11:$H$15,0)),"No"))</f>
        <v/>
      </c>
      <c r="W1770" s="37" t="str">
        <f aca="false">IF(Q1770="","",IFERROR(INDEX(Settings!$J$11:$J$15,MATCH(Q1770,Settings!$H$11:$H$15,0)),"No"))</f>
        <v/>
      </c>
    </row>
    <row r="1771" customFormat="false" ht="15" hidden="false" customHeight="false" outlineLevel="0" collapsed="false">
      <c r="A1771" s="30"/>
      <c r="B1771" s="25"/>
      <c r="C1771" s="25"/>
      <c r="D1771" s="25"/>
      <c r="E1771" s="25"/>
      <c r="F1771" s="25"/>
      <c r="G1771" s="25"/>
      <c r="H1771" s="31"/>
      <c r="I1771" s="32"/>
      <c r="J1771" s="33"/>
      <c r="K1771" s="34" t="str">
        <f aca="false">IF(OR(H1771="",I1771=""),"",H1771*I1771*(1-N(J1771)))</f>
        <v/>
      </c>
      <c r="L1771" s="32"/>
      <c r="M1771" s="34" t="str">
        <f aca="false">IF(OR(H1771="",L1771=""),"",H1771*L1771)</f>
        <v/>
      </c>
      <c r="N1771" s="34" t="str">
        <f aca="false">IF(OR(K1771="",M1771=""),"",K1771-M1771)</f>
        <v/>
      </c>
      <c r="O1771" s="35" t="str">
        <f aca="false">IF(OR(N1771="",K1771=""),"",IF(K1771=0,"",N1771/K1771))</f>
        <v/>
      </c>
      <c r="P1771" s="25"/>
      <c r="Q1771" s="25"/>
      <c r="R1771" s="25"/>
      <c r="S1771" s="36" t="str">
        <f aca="false">IF(A1771="","",YEAR(A1771)+IF(AND(FYStart&gt;1,MONTH(A1771)&gt;=FYStart),1,0))</f>
        <v/>
      </c>
      <c r="T1771" s="36" t="str">
        <f aca="false">IF(A1771="","",MOD(MONTH(A1771)-FYStart,12)+1)</f>
        <v/>
      </c>
      <c r="U1771" s="37" t="str">
        <f aca="false">IF(A1771="","",TEXT(A1771,"mmm"))</f>
        <v/>
      </c>
      <c r="V1771" s="37" t="str">
        <f aca="false">IF(Q1771="","",IFERROR(INDEX(Settings!$I$11:$I$15,MATCH(Q1771,Settings!$H$11:$H$15,0)),"No"))</f>
        <v/>
      </c>
      <c r="W1771" s="37" t="str">
        <f aca="false">IF(Q1771="","",IFERROR(INDEX(Settings!$J$11:$J$15,MATCH(Q1771,Settings!$H$11:$H$15,0)),"No"))</f>
        <v/>
      </c>
    </row>
    <row r="1772" customFormat="false" ht="15" hidden="false" customHeight="false" outlineLevel="0" collapsed="false">
      <c r="A1772" s="30"/>
      <c r="B1772" s="25"/>
      <c r="C1772" s="25"/>
      <c r="D1772" s="25"/>
      <c r="E1772" s="25"/>
      <c r="F1772" s="25"/>
      <c r="G1772" s="25"/>
      <c r="H1772" s="31"/>
      <c r="I1772" s="32"/>
      <c r="J1772" s="33"/>
      <c r="K1772" s="34" t="str">
        <f aca="false">IF(OR(H1772="",I1772=""),"",H1772*I1772*(1-N(J1772)))</f>
        <v/>
      </c>
      <c r="L1772" s="32"/>
      <c r="M1772" s="34" t="str">
        <f aca="false">IF(OR(H1772="",L1772=""),"",H1772*L1772)</f>
        <v/>
      </c>
      <c r="N1772" s="34" t="str">
        <f aca="false">IF(OR(K1772="",M1772=""),"",K1772-M1772)</f>
        <v/>
      </c>
      <c r="O1772" s="35" t="str">
        <f aca="false">IF(OR(N1772="",K1772=""),"",IF(K1772=0,"",N1772/K1772))</f>
        <v/>
      </c>
      <c r="P1772" s="25"/>
      <c r="Q1772" s="25"/>
      <c r="R1772" s="25"/>
      <c r="S1772" s="36" t="str">
        <f aca="false">IF(A1772="","",YEAR(A1772)+IF(AND(FYStart&gt;1,MONTH(A1772)&gt;=FYStart),1,0))</f>
        <v/>
      </c>
      <c r="T1772" s="36" t="str">
        <f aca="false">IF(A1772="","",MOD(MONTH(A1772)-FYStart,12)+1)</f>
        <v/>
      </c>
      <c r="U1772" s="37" t="str">
        <f aca="false">IF(A1772="","",TEXT(A1772,"mmm"))</f>
        <v/>
      </c>
      <c r="V1772" s="37" t="str">
        <f aca="false">IF(Q1772="","",IFERROR(INDEX(Settings!$I$11:$I$15,MATCH(Q1772,Settings!$H$11:$H$15,0)),"No"))</f>
        <v/>
      </c>
      <c r="W1772" s="37" t="str">
        <f aca="false">IF(Q1772="","",IFERROR(INDEX(Settings!$J$11:$J$15,MATCH(Q1772,Settings!$H$11:$H$15,0)),"No"))</f>
        <v/>
      </c>
    </row>
    <row r="1773" customFormat="false" ht="15" hidden="false" customHeight="false" outlineLevel="0" collapsed="false">
      <c r="A1773" s="30"/>
      <c r="B1773" s="25"/>
      <c r="C1773" s="25"/>
      <c r="D1773" s="25"/>
      <c r="E1773" s="25"/>
      <c r="F1773" s="25"/>
      <c r="G1773" s="25"/>
      <c r="H1773" s="31"/>
      <c r="I1773" s="32"/>
      <c r="J1773" s="33"/>
      <c r="K1773" s="34" t="str">
        <f aca="false">IF(OR(H1773="",I1773=""),"",H1773*I1773*(1-N(J1773)))</f>
        <v/>
      </c>
      <c r="L1773" s="32"/>
      <c r="M1773" s="34" t="str">
        <f aca="false">IF(OR(H1773="",L1773=""),"",H1773*L1773)</f>
        <v/>
      </c>
      <c r="N1773" s="34" t="str">
        <f aca="false">IF(OR(K1773="",M1773=""),"",K1773-M1773)</f>
        <v/>
      </c>
      <c r="O1773" s="35" t="str">
        <f aca="false">IF(OR(N1773="",K1773=""),"",IF(K1773=0,"",N1773/K1773))</f>
        <v/>
      </c>
      <c r="P1773" s="25"/>
      <c r="Q1773" s="25"/>
      <c r="R1773" s="25"/>
      <c r="S1773" s="36" t="str">
        <f aca="false">IF(A1773="","",YEAR(A1773)+IF(AND(FYStart&gt;1,MONTH(A1773)&gt;=FYStart),1,0))</f>
        <v/>
      </c>
      <c r="T1773" s="36" t="str">
        <f aca="false">IF(A1773="","",MOD(MONTH(A1773)-FYStart,12)+1)</f>
        <v/>
      </c>
      <c r="U1773" s="37" t="str">
        <f aca="false">IF(A1773="","",TEXT(A1773,"mmm"))</f>
        <v/>
      </c>
      <c r="V1773" s="37" t="str">
        <f aca="false">IF(Q1773="","",IFERROR(INDEX(Settings!$I$11:$I$15,MATCH(Q1773,Settings!$H$11:$H$15,0)),"No"))</f>
        <v/>
      </c>
      <c r="W1773" s="37" t="str">
        <f aca="false">IF(Q1773="","",IFERROR(INDEX(Settings!$J$11:$J$15,MATCH(Q1773,Settings!$H$11:$H$15,0)),"No"))</f>
        <v/>
      </c>
    </row>
    <row r="1774" customFormat="false" ht="15" hidden="false" customHeight="false" outlineLevel="0" collapsed="false">
      <c r="A1774" s="30"/>
      <c r="B1774" s="25"/>
      <c r="C1774" s="25"/>
      <c r="D1774" s="25"/>
      <c r="E1774" s="25"/>
      <c r="F1774" s="25"/>
      <c r="G1774" s="25"/>
      <c r="H1774" s="31"/>
      <c r="I1774" s="32"/>
      <c r="J1774" s="33"/>
      <c r="K1774" s="34" t="str">
        <f aca="false">IF(OR(H1774="",I1774=""),"",H1774*I1774*(1-N(J1774)))</f>
        <v/>
      </c>
      <c r="L1774" s="32"/>
      <c r="M1774" s="34" t="str">
        <f aca="false">IF(OR(H1774="",L1774=""),"",H1774*L1774)</f>
        <v/>
      </c>
      <c r="N1774" s="34" t="str">
        <f aca="false">IF(OR(K1774="",M1774=""),"",K1774-M1774)</f>
        <v/>
      </c>
      <c r="O1774" s="35" t="str">
        <f aca="false">IF(OR(N1774="",K1774=""),"",IF(K1774=0,"",N1774/K1774))</f>
        <v/>
      </c>
      <c r="P1774" s="25"/>
      <c r="Q1774" s="25"/>
      <c r="R1774" s="25"/>
      <c r="S1774" s="36" t="str">
        <f aca="false">IF(A1774="","",YEAR(A1774)+IF(AND(FYStart&gt;1,MONTH(A1774)&gt;=FYStart),1,0))</f>
        <v/>
      </c>
      <c r="T1774" s="36" t="str">
        <f aca="false">IF(A1774="","",MOD(MONTH(A1774)-FYStart,12)+1)</f>
        <v/>
      </c>
      <c r="U1774" s="37" t="str">
        <f aca="false">IF(A1774="","",TEXT(A1774,"mmm"))</f>
        <v/>
      </c>
      <c r="V1774" s="37" t="str">
        <f aca="false">IF(Q1774="","",IFERROR(INDEX(Settings!$I$11:$I$15,MATCH(Q1774,Settings!$H$11:$H$15,0)),"No"))</f>
        <v/>
      </c>
      <c r="W1774" s="37" t="str">
        <f aca="false">IF(Q1774="","",IFERROR(INDEX(Settings!$J$11:$J$15,MATCH(Q1774,Settings!$H$11:$H$15,0)),"No"))</f>
        <v/>
      </c>
    </row>
    <row r="1775" customFormat="false" ht="15" hidden="false" customHeight="false" outlineLevel="0" collapsed="false">
      <c r="A1775" s="30"/>
      <c r="B1775" s="25"/>
      <c r="C1775" s="25"/>
      <c r="D1775" s="25"/>
      <c r="E1775" s="25"/>
      <c r="F1775" s="25"/>
      <c r="G1775" s="25"/>
      <c r="H1775" s="31"/>
      <c r="I1775" s="32"/>
      <c r="J1775" s="33"/>
      <c r="K1775" s="34" t="str">
        <f aca="false">IF(OR(H1775="",I1775=""),"",H1775*I1775*(1-N(J1775)))</f>
        <v/>
      </c>
      <c r="L1775" s="32"/>
      <c r="M1775" s="34" t="str">
        <f aca="false">IF(OR(H1775="",L1775=""),"",H1775*L1775)</f>
        <v/>
      </c>
      <c r="N1775" s="34" t="str">
        <f aca="false">IF(OR(K1775="",M1775=""),"",K1775-M1775)</f>
        <v/>
      </c>
      <c r="O1775" s="35" t="str">
        <f aca="false">IF(OR(N1775="",K1775=""),"",IF(K1775=0,"",N1775/K1775))</f>
        <v/>
      </c>
      <c r="P1775" s="25"/>
      <c r="Q1775" s="25"/>
      <c r="R1775" s="25"/>
      <c r="S1775" s="36" t="str">
        <f aca="false">IF(A1775="","",YEAR(A1775)+IF(AND(FYStart&gt;1,MONTH(A1775)&gt;=FYStart),1,0))</f>
        <v/>
      </c>
      <c r="T1775" s="36" t="str">
        <f aca="false">IF(A1775="","",MOD(MONTH(A1775)-FYStart,12)+1)</f>
        <v/>
      </c>
      <c r="U1775" s="37" t="str">
        <f aca="false">IF(A1775="","",TEXT(A1775,"mmm"))</f>
        <v/>
      </c>
      <c r="V1775" s="37" t="str">
        <f aca="false">IF(Q1775="","",IFERROR(INDEX(Settings!$I$11:$I$15,MATCH(Q1775,Settings!$H$11:$H$15,0)),"No"))</f>
        <v/>
      </c>
      <c r="W1775" s="37" t="str">
        <f aca="false">IF(Q1775="","",IFERROR(INDEX(Settings!$J$11:$J$15,MATCH(Q1775,Settings!$H$11:$H$15,0)),"No"))</f>
        <v/>
      </c>
    </row>
    <row r="1776" customFormat="false" ht="15" hidden="false" customHeight="false" outlineLevel="0" collapsed="false">
      <c r="A1776" s="30"/>
      <c r="B1776" s="25"/>
      <c r="C1776" s="25"/>
      <c r="D1776" s="25"/>
      <c r="E1776" s="25"/>
      <c r="F1776" s="25"/>
      <c r="G1776" s="25"/>
      <c r="H1776" s="31"/>
      <c r="I1776" s="32"/>
      <c r="J1776" s="33"/>
      <c r="K1776" s="34" t="str">
        <f aca="false">IF(OR(H1776="",I1776=""),"",H1776*I1776*(1-N(J1776)))</f>
        <v/>
      </c>
      <c r="L1776" s="32"/>
      <c r="M1776" s="34" t="str">
        <f aca="false">IF(OR(H1776="",L1776=""),"",H1776*L1776)</f>
        <v/>
      </c>
      <c r="N1776" s="34" t="str">
        <f aca="false">IF(OR(K1776="",M1776=""),"",K1776-M1776)</f>
        <v/>
      </c>
      <c r="O1776" s="35" t="str">
        <f aca="false">IF(OR(N1776="",K1776=""),"",IF(K1776=0,"",N1776/K1776))</f>
        <v/>
      </c>
      <c r="P1776" s="25"/>
      <c r="Q1776" s="25"/>
      <c r="R1776" s="25"/>
      <c r="S1776" s="36" t="str">
        <f aca="false">IF(A1776="","",YEAR(A1776)+IF(AND(FYStart&gt;1,MONTH(A1776)&gt;=FYStart),1,0))</f>
        <v/>
      </c>
      <c r="T1776" s="36" t="str">
        <f aca="false">IF(A1776="","",MOD(MONTH(A1776)-FYStart,12)+1)</f>
        <v/>
      </c>
      <c r="U1776" s="37" t="str">
        <f aca="false">IF(A1776="","",TEXT(A1776,"mmm"))</f>
        <v/>
      </c>
      <c r="V1776" s="37" t="str">
        <f aca="false">IF(Q1776="","",IFERROR(INDEX(Settings!$I$11:$I$15,MATCH(Q1776,Settings!$H$11:$H$15,0)),"No"))</f>
        <v/>
      </c>
      <c r="W1776" s="37" t="str">
        <f aca="false">IF(Q1776="","",IFERROR(INDEX(Settings!$J$11:$J$15,MATCH(Q1776,Settings!$H$11:$H$15,0)),"No"))</f>
        <v/>
      </c>
    </row>
    <row r="1777" customFormat="false" ht="15" hidden="false" customHeight="false" outlineLevel="0" collapsed="false">
      <c r="A1777" s="30"/>
      <c r="B1777" s="25"/>
      <c r="C1777" s="25"/>
      <c r="D1777" s="25"/>
      <c r="E1777" s="25"/>
      <c r="F1777" s="25"/>
      <c r="G1777" s="25"/>
      <c r="H1777" s="31"/>
      <c r="I1777" s="32"/>
      <c r="J1777" s="33"/>
      <c r="K1777" s="34" t="str">
        <f aca="false">IF(OR(H1777="",I1777=""),"",H1777*I1777*(1-N(J1777)))</f>
        <v/>
      </c>
      <c r="L1777" s="32"/>
      <c r="M1777" s="34" t="str">
        <f aca="false">IF(OR(H1777="",L1777=""),"",H1777*L1777)</f>
        <v/>
      </c>
      <c r="N1777" s="34" t="str">
        <f aca="false">IF(OR(K1777="",M1777=""),"",K1777-M1777)</f>
        <v/>
      </c>
      <c r="O1777" s="35" t="str">
        <f aca="false">IF(OR(N1777="",K1777=""),"",IF(K1777=0,"",N1777/K1777))</f>
        <v/>
      </c>
      <c r="P1777" s="25"/>
      <c r="Q1777" s="25"/>
      <c r="R1777" s="25"/>
      <c r="S1777" s="36" t="str">
        <f aca="false">IF(A1777="","",YEAR(A1777)+IF(AND(FYStart&gt;1,MONTH(A1777)&gt;=FYStart),1,0))</f>
        <v/>
      </c>
      <c r="T1777" s="36" t="str">
        <f aca="false">IF(A1777="","",MOD(MONTH(A1777)-FYStart,12)+1)</f>
        <v/>
      </c>
      <c r="U1777" s="37" t="str">
        <f aca="false">IF(A1777="","",TEXT(A1777,"mmm"))</f>
        <v/>
      </c>
      <c r="V1777" s="37" t="str">
        <f aca="false">IF(Q1777="","",IFERROR(INDEX(Settings!$I$11:$I$15,MATCH(Q1777,Settings!$H$11:$H$15,0)),"No"))</f>
        <v/>
      </c>
      <c r="W1777" s="37" t="str">
        <f aca="false">IF(Q1777="","",IFERROR(INDEX(Settings!$J$11:$J$15,MATCH(Q1777,Settings!$H$11:$H$15,0)),"No"))</f>
        <v/>
      </c>
    </row>
    <row r="1778" customFormat="false" ht="15" hidden="false" customHeight="false" outlineLevel="0" collapsed="false">
      <c r="A1778" s="30"/>
      <c r="B1778" s="25"/>
      <c r="C1778" s="25"/>
      <c r="D1778" s="25"/>
      <c r="E1778" s="25"/>
      <c r="F1778" s="25"/>
      <c r="G1778" s="25"/>
      <c r="H1778" s="31"/>
      <c r="I1778" s="32"/>
      <c r="J1778" s="33"/>
      <c r="K1778" s="34" t="str">
        <f aca="false">IF(OR(H1778="",I1778=""),"",H1778*I1778*(1-N(J1778)))</f>
        <v/>
      </c>
      <c r="L1778" s="32"/>
      <c r="M1778" s="34" t="str">
        <f aca="false">IF(OR(H1778="",L1778=""),"",H1778*L1778)</f>
        <v/>
      </c>
      <c r="N1778" s="34" t="str">
        <f aca="false">IF(OR(K1778="",M1778=""),"",K1778-M1778)</f>
        <v/>
      </c>
      <c r="O1778" s="35" t="str">
        <f aca="false">IF(OR(N1778="",K1778=""),"",IF(K1778=0,"",N1778/K1778))</f>
        <v/>
      </c>
      <c r="P1778" s="25"/>
      <c r="Q1778" s="25"/>
      <c r="R1778" s="25"/>
      <c r="S1778" s="36" t="str">
        <f aca="false">IF(A1778="","",YEAR(A1778)+IF(AND(FYStart&gt;1,MONTH(A1778)&gt;=FYStart),1,0))</f>
        <v/>
      </c>
      <c r="T1778" s="36" t="str">
        <f aca="false">IF(A1778="","",MOD(MONTH(A1778)-FYStart,12)+1)</f>
        <v/>
      </c>
      <c r="U1778" s="37" t="str">
        <f aca="false">IF(A1778="","",TEXT(A1778,"mmm"))</f>
        <v/>
      </c>
      <c r="V1778" s="37" t="str">
        <f aca="false">IF(Q1778="","",IFERROR(INDEX(Settings!$I$11:$I$15,MATCH(Q1778,Settings!$H$11:$H$15,0)),"No"))</f>
        <v/>
      </c>
      <c r="W1778" s="37" t="str">
        <f aca="false">IF(Q1778="","",IFERROR(INDEX(Settings!$J$11:$J$15,MATCH(Q1778,Settings!$H$11:$H$15,0)),"No"))</f>
        <v/>
      </c>
    </row>
    <row r="1779" customFormat="false" ht="15" hidden="false" customHeight="false" outlineLevel="0" collapsed="false">
      <c r="A1779" s="30"/>
      <c r="B1779" s="25"/>
      <c r="C1779" s="25"/>
      <c r="D1779" s="25"/>
      <c r="E1779" s="25"/>
      <c r="F1779" s="25"/>
      <c r="G1779" s="25"/>
      <c r="H1779" s="31"/>
      <c r="I1779" s="32"/>
      <c r="J1779" s="33"/>
      <c r="K1779" s="34" t="str">
        <f aca="false">IF(OR(H1779="",I1779=""),"",H1779*I1779*(1-N(J1779)))</f>
        <v/>
      </c>
      <c r="L1779" s="32"/>
      <c r="M1779" s="34" t="str">
        <f aca="false">IF(OR(H1779="",L1779=""),"",H1779*L1779)</f>
        <v/>
      </c>
      <c r="N1779" s="34" t="str">
        <f aca="false">IF(OR(K1779="",M1779=""),"",K1779-M1779)</f>
        <v/>
      </c>
      <c r="O1779" s="35" t="str">
        <f aca="false">IF(OR(N1779="",K1779=""),"",IF(K1779=0,"",N1779/K1779))</f>
        <v/>
      </c>
      <c r="P1779" s="25"/>
      <c r="Q1779" s="25"/>
      <c r="R1779" s="25"/>
      <c r="S1779" s="36" t="str">
        <f aca="false">IF(A1779="","",YEAR(A1779)+IF(AND(FYStart&gt;1,MONTH(A1779)&gt;=FYStart),1,0))</f>
        <v/>
      </c>
      <c r="T1779" s="36" t="str">
        <f aca="false">IF(A1779="","",MOD(MONTH(A1779)-FYStart,12)+1)</f>
        <v/>
      </c>
      <c r="U1779" s="37" t="str">
        <f aca="false">IF(A1779="","",TEXT(A1779,"mmm"))</f>
        <v/>
      </c>
      <c r="V1779" s="37" t="str">
        <f aca="false">IF(Q1779="","",IFERROR(INDEX(Settings!$I$11:$I$15,MATCH(Q1779,Settings!$H$11:$H$15,0)),"No"))</f>
        <v/>
      </c>
      <c r="W1779" s="37" t="str">
        <f aca="false">IF(Q1779="","",IFERROR(INDEX(Settings!$J$11:$J$15,MATCH(Q1779,Settings!$H$11:$H$15,0)),"No"))</f>
        <v/>
      </c>
    </row>
    <row r="1780" customFormat="false" ht="15" hidden="false" customHeight="false" outlineLevel="0" collapsed="false">
      <c r="A1780" s="30"/>
      <c r="B1780" s="25"/>
      <c r="C1780" s="25"/>
      <c r="D1780" s="25"/>
      <c r="E1780" s="25"/>
      <c r="F1780" s="25"/>
      <c r="G1780" s="25"/>
      <c r="H1780" s="31"/>
      <c r="I1780" s="32"/>
      <c r="J1780" s="33"/>
      <c r="K1780" s="34" t="str">
        <f aca="false">IF(OR(H1780="",I1780=""),"",H1780*I1780*(1-N(J1780)))</f>
        <v/>
      </c>
      <c r="L1780" s="32"/>
      <c r="M1780" s="34" t="str">
        <f aca="false">IF(OR(H1780="",L1780=""),"",H1780*L1780)</f>
        <v/>
      </c>
      <c r="N1780" s="34" t="str">
        <f aca="false">IF(OR(K1780="",M1780=""),"",K1780-M1780)</f>
        <v/>
      </c>
      <c r="O1780" s="35" t="str">
        <f aca="false">IF(OR(N1780="",K1780=""),"",IF(K1780=0,"",N1780/K1780))</f>
        <v/>
      </c>
      <c r="P1780" s="25"/>
      <c r="Q1780" s="25"/>
      <c r="R1780" s="25"/>
      <c r="S1780" s="36" t="str">
        <f aca="false">IF(A1780="","",YEAR(A1780)+IF(AND(FYStart&gt;1,MONTH(A1780)&gt;=FYStart),1,0))</f>
        <v/>
      </c>
      <c r="T1780" s="36" t="str">
        <f aca="false">IF(A1780="","",MOD(MONTH(A1780)-FYStart,12)+1)</f>
        <v/>
      </c>
      <c r="U1780" s="37" t="str">
        <f aca="false">IF(A1780="","",TEXT(A1780,"mmm"))</f>
        <v/>
      </c>
      <c r="V1780" s="37" t="str">
        <f aca="false">IF(Q1780="","",IFERROR(INDEX(Settings!$I$11:$I$15,MATCH(Q1780,Settings!$H$11:$H$15,0)),"No"))</f>
        <v/>
      </c>
      <c r="W1780" s="37" t="str">
        <f aca="false">IF(Q1780="","",IFERROR(INDEX(Settings!$J$11:$J$15,MATCH(Q1780,Settings!$H$11:$H$15,0)),"No"))</f>
        <v/>
      </c>
    </row>
    <row r="1781" customFormat="false" ht="15" hidden="false" customHeight="false" outlineLevel="0" collapsed="false">
      <c r="A1781" s="30"/>
      <c r="B1781" s="25"/>
      <c r="C1781" s="25"/>
      <c r="D1781" s="25"/>
      <c r="E1781" s="25"/>
      <c r="F1781" s="25"/>
      <c r="G1781" s="25"/>
      <c r="H1781" s="31"/>
      <c r="I1781" s="32"/>
      <c r="J1781" s="33"/>
      <c r="K1781" s="34" t="str">
        <f aca="false">IF(OR(H1781="",I1781=""),"",H1781*I1781*(1-N(J1781)))</f>
        <v/>
      </c>
      <c r="L1781" s="32"/>
      <c r="M1781" s="34" t="str">
        <f aca="false">IF(OR(H1781="",L1781=""),"",H1781*L1781)</f>
        <v/>
      </c>
      <c r="N1781" s="34" t="str">
        <f aca="false">IF(OR(K1781="",M1781=""),"",K1781-M1781)</f>
        <v/>
      </c>
      <c r="O1781" s="35" t="str">
        <f aca="false">IF(OR(N1781="",K1781=""),"",IF(K1781=0,"",N1781/K1781))</f>
        <v/>
      </c>
      <c r="P1781" s="25"/>
      <c r="Q1781" s="25"/>
      <c r="R1781" s="25"/>
      <c r="S1781" s="36" t="str">
        <f aca="false">IF(A1781="","",YEAR(A1781)+IF(AND(FYStart&gt;1,MONTH(A1781)&gt;=FYStart),1,0))</f>
        <v/>
      </c>
      <c r="T1781" s="36" t="str">
        <f aca="false">IF(A1781="","",MOD(MONTH(A1781)-FYStart,12)+1)</f>
        <v/>
      </c>
      <c r="U1781" s="37" t="str">
        <f aca="false">IF(A1781="","",TEXT(A1781,"mmm"))</f>
        <v/>
      </c>
      <c r="V1781" s="37" t="str">
        <f aca="false">IF(Q1781="","",IFERROR(INDEX(Settings!$I$11:$I$15,MATCH(Q1781,Settings!$H$11:$H$15,0)),"No"))</f>
        <v/>
      </c>
      <c r="W1781" s="37" t="str">
        <f aca="false">IF(Q1781="","",IFERROR(INDEX(Settings!$J$11:$J$15,MATCH(Q1781,Settings!$H$11:$H$15,0)),"No"))</f>
        <v/>
      </c>
    </row>
    <row r="1782" customFormat="false" ht="15" hidden="false" customHeight="false" outlineLevel="0" collapsed="false">
      <c r="A1782" s="30"/>
      <c r="B1782" s="25"/>
      <c r="C1782" s="25"/>
      <c r="D1782" s="25"/>
      <c r="E1782" s="25"/>
      <c r="F1782" s="25"/>
      <c r="G1782" s="25"/>
      <c r="H1782" s="31"/>
      <c r="I1782" s="32"/>
      <c r="J1782" s="33"/>
      <c r="K1782" s="34" t="str">
        <f aca="false">IF(OR(H1782="",I1782=""),"",H1782*I1782*(1-N(J1782)))</f>
        <v/>
      </c>
      <c r="L1782" s="32"/>
      <c r="M1782" s="34" t="str">
        <f aca="false">IF(OR(H1782="",L1782=""),"",H1782*L1782)</f>
        <v/>
      </c>
      <c r="N1782" s="34" t="str">
        <f aca="false">IF(OR(K1782="",M1782=""),"",K1782-M1782)</f>
        <v/>
      </c>
      <c r="O1782" s="35" t="str">
        <f aca="false">IF(OR(N1782="",K1782=""),"",IF(K1782=0,"",N1782/K1782))</f>
        <v/>
      </c>
      <c r="P1782" s="25"/>
      <c r="Q1782" s="25"/>
      <c r="R1782" s="25"/>
      <c r="S1782" s="36" t="str">
        <f aca="false">IF(A1782="","",YEAR(A1782)+IF(AND(FYStart&gt;1,MONTH(A1782)&gt;=FYStart),1,0))</f>
        <v/>
      </c>
      <c r="T1782" s="36" t="str">
        <f aca="false">IF(A1782="","",MOD(MONTH(A1782)-FYStart,12)+1)</f>
        <v/>
      </c>
      <c r="U1782" s="37" t="str">
        <f aca="false">IF(A1782="","",TEXT(A1782,"mmm"))</f>
        <v/>
      </c>
      <c r="V1782" s="37" t="str">
        <f aca="false">IF(Q1782="","",IFERROR(INDEX(Settings!$I$11:$I$15,MATCH(Q1782,Settings!$H$11:$H$15,0)),"No"))</f>
        <v/>
      </c>
      <c r="W1782" s="37" t="str">
        <f aca="false">IF(Q1782="","",IFERROR(INDEX(Settings!$J$11:$J$15,MATCH(Q1782,Settings!$H$11:$H$15,0)),"No"))</f>
        <v/>
      </c>
    </row>
    <row r="1783" customFormat="false" ht="15" hidden="false" customHeight="false" outlineLevel="0" collapsed="false">
      <c r="A1783" s="30"/>
      <c r="B1783" s="25"/>
      <c r="C1783" s="25"/>
      <c r="D1783" s="25"/>
      <c r="E1783" s="25"/>
      <c r="F1783" s="25"/>
      <c r="G1783" s="25"/>
      <c r="H1783" s="31"/>
      <c r="I1783" s="32"/>
      <c r="J1783" s="33"/>
      <c r="K1783" s="34" t="str">
        <f aca="false">IF(OR(H1783="",I1783=""),"",H1783*I1783*(1-N(J1783)))</f>
        <v/>
      </c>
      <c r="L1783" s="32"/>
      <c r="M1783" s="34" t="str">
        <f aca="false">IF(OR(H1783="",L1783=""),"",H1783*L1783)</f>
        <v/>
      </c>
      <c r="N1783" s="34" t="str">
        <f aca="false">IF(OR(K1783="",M1783=""),"",K1783-M1783)</f>
        <v/>
      </c>
      <c r="O1783" s="35" t="str">
        <f aca="false">IF(OR(N1783="",K1783=""),"",IF(K1783=0,"",N1783/K1783))</f>
        <v/>
      </c>
      <c r="P1783" s="25"/>
      <c r="Q1783" s="25"/>
      <c r="R1783" s="25"/>
      <c r="S1783" s="36" t="str">
        <f aca="false">IF(A1783="","",YEAR(A1783)+IF(AND(FYStart&gt;1,MONTH(A1783)&gt;=FYStart),1,0))</f>
        <v/>
      </c>
      <c r="T1783" s="36" t="str">
        <f aca="false">IF(A1783="","",MOD(MONTH(A1783)-FYStart,12)+1)</f>
        <v/>
      </c>
      <c r="U1783" s="37" t="str">
        <f aca="false">IF(A1783="","",TEXT(A1783,"mmm"))</f>
        <v/>
      </c>
      <c r="V1783" s="37" t="str">
        <f aca="false">IF(Q1783="","",IFERROR(INDEX(Settings!$I$11:$I$15,MATCH(Q1783,Settings!$H$11:$H$15,0)),"No"))</f>
        <v/>
      </c>
      <c r="W1783" s="37" t="str">
        <f aca="false">IF(Q1783="","",IFERROR(INDEX(Settings!$J$11:$J$15,MATCH(Q1783,Settings!$H$11:$H$15,0)),"No"))</f>
        <v/>
      </c>
    </row>
    <row r="1784" customFormat="false" ht="15" hidden="false" customHeight="false" outlineLevel="0" collapsed="false">
      <c r="A1784" s="30"/>
      <c r="B1784" s="25"/>
      <c r="C1784" s="25"/>
      <c r="D1784" s="25"/>
      <c r="E1784" s="25"/>
      <c r="F1784" s="25"/>
      <c r="G1784" s="25"/>
      <c r="H1784" s="31"/>
      <c r="I1784" s="32"/>
      <c r="J1784" s="33"/>
      <c r="K1784" s="34" t="str">
        <f aca="false">IF(OR(H1784="",I1784=""),"",H1784*I1784*(1-N(J1784)))</f>
        <v/>
      </c>
      <c r="L1784" s="32"/>
      <c r="M1784" s="34" t="str">
        <f aca="false">IF(OR(H1784="",L1784=""),"",H1784*L1784)</f>
        <v/>
      </c>
      <c r="N1784" s="34" t="str">
        <f aca="false">IF(OR(K1784="",M1784=""),"",K1784-M1784)</f>
        <v/>
      </c>
      <c r="O1784" s="35" t="str">
        <f aca="false">IF(OR(N1784="",K1784=""),"",IF(K1784=0,"",N1784/K1784))</f>
        <v/>
      </c>
      <c r="P1784" s="25"/>
      <c r="Q1784" s="25"/>
      <c r="R1784" s="25"/>
      <c r="S1784" s="36" t="str">
        <f aca="false">IF(A1784="","",YEAR(A1784)+IF(AND(FYStart&gt;1,MONTH(A1784)&gt;=FYStart),1,0))</f>
        <v/>
      </c>
      <c r="T1784" s="36" t="str">
        <f aca="false">IF(A1784="","",MOD(MONTH(A1784)-FYStart,12)+1)</f>
        <v/>
      </c>
      <c r="U1784" s="37" t="str">
        <f aca="false">IF(A1784="","",TEXT(A1784,"mmm"))</f>
        <v/>
      </c>
      <c r="V1784" s="37" t="str">
        <f aca="false">IF(Q1784="","",IFERROR(INDEX(Settings!$I$11:$I$15,MATCH(Q1784,Settings!$H$11:$H$15,0)),"No"))</f>
        <v/>
      </c>
      <c r="W1784" s="37" t="str">
        <f aca="false">IF(Q1784="","",IFERROR(INDEX(Settings!$J$11:$J$15,MATCH(Q1784,Settings!$H$11:$H$15,0)),"No"))</f>
        <v/>
      </c>
    </row>
    <row r="1785" customFormat="false" ht="15" hidden="false" customHeight="false" outlineLevel="0" collapsed="false">
      <c r="A1785" s="30"/>
      <c r="B1785" s="25"/>
      <c r="C1785" s="25"/>
      <c r="D1785" s="25"/>
      <c r="E1785" s="25"/>
      <c r="F1785" s="25"/>
      <c r="G1785" s="25"/>
      <c r="H1785" s="31"/>
      <c r="I1785" s="32"/>
      <c r="J1785" s="33"/>
      <c r="K1785" s="34" t="str">
        <f aca="false">IF(OR(H1785="",I1785=""),"",H1785*I1785*(1-N(J1785)))</f>
        <v/>
      </c>
      <c r="L1785" s="32"/>
      <c r="M1785" s="34" t="str">
        <f aca="false">IF(OR(H1785="",L1785=""),"",H1785*L1785)</f>
        <v/>
      </c>
      <c r="N1785" s="34" t="str">
        <f aca="false">IF(OR(K1785="",M1785=""),"",K1785-M1785)</f>
        <v/>
      </c>
      <c r="O1785" s="35" t="str">
        <f aca="false">IF(OR(N1785="",K1785=""),"",IF(K1785=0,"",N1785/K1785))</f>
        <v/>
      </c>
      <c r="P1785" s="25"/>
      <c r="Q1785" s="25"/>
      <c r="R1785" s="25"/>
      <c r="S1785" s="36" t="str">
        <f aca="false">IF(A1785="","",YEAR(A1785)+IF(AND(FYStart&gt;1,MONTH(A1785)&gt;=FYStart),1,0))</f>
        <v/>
      </c>
      <c r="T1785" s="36" t="str">
        <f aca="false">IF(A1785="","",MOD(MONTH(A1785)-FYStart,12)+1)</f>
        <v/>
      </c>
      <c r="U1785" s="37" t="str">
        <f aca="false">IF(A1785="","",TEXT(A1785,"mmm"))</f>
        <v/>
      </c>
      <c r="V1785" s="37" t="str">
        <f aca="false">IF(Q1785="","",IFERROR(INDEX(Settings!$I$11:$I$15,MATCH(Q1785,Settings!$H$11:$H$15,0)),"No"))</f>
        <v/>
      </c>
      <c r="W1785" s="37" t="str">
        <f aca="false">IF(Q1785="","",IFERROR(INDEX(Settings!$J$11:$J$15,MATCH(Q1785,Settings!$H$11:$H$15,0)),"No"))</f>
        <v/>
      </c>
    </row>
    <row r="1786" customFormat="false" ht="15" hidden="false" customHeight="false" outlineLevel="0" collapsed="false">
      <c r="A1786" s="30"/>
      <c r="B1786" s="25"/>
      <c r="C1786" s="25"/>
      <c r="D1786" s="25"/>
      <c r="E1786" s="25"/>
      <c r="F1786" s="25"/>
      <c r="G1786" s="25"/>
      <c r="H1786" s="31"/>
      <c r="I1786" s="32"/>
      <c r="J1786" s="33"/>
      <c r="K1786" s="34" t="str">
        <f aca="false">IF(OR(H1786="",I1786=""),"",H1786*I1786*(1-N(J1786)))</f>
        <v/>
      </c>
      <c r="L1786" s="32"/>
      <c r="M1786" s="34" t="str">
        <f aca="false">IF(OR(H1786="",L1786=""),"",H1786*L1786)</f>
        <v/>
      </c>
      <c r="N1786" s="34" t="str">
        <f aca="false">IF(OR(K1786="",M1786=""),"",K1786-M1786)</f>
        <v/>
      </c>
      <c r="O1786" s="35" t="str">
        <f aca="false">IF(OR(N1786="",K1786=""),"",IF(K1786=0,"",N1786/K1786))</f>
        <v/>
      </c>
      <c r="P1786" s="25"/>
      <c r="Q1786" s="25"/>
      <c r="R1786" s="25"/>
      <c r="S1786" s="36" t="str">
        <f aca="false">IF(A1786="","",YEAR(A1786)+IF(AND(FYStart&gt;1,MONTH(A1786)&gt;=FYStart),1,0))</f>
        <v/>
      </c>
      <c r="T1786" s="36" t="str">
        <f aca="false">IF(A1786="","",MOD(MONTH(A1786)-FYStart,12)+1)</f>
        <v/>
      </c>
      <c r="U1786" s="37" t="str">
        <f aca="false">IF(A1786="","",TEXT(A1786,"mmm"))</f>
        <v/>
      </c>
      <c r="V1786" s="37" t="str">
        <f aca="false">IF(Q1786="","",IFERROR(INDEX(Settings!$I$11:$I$15,MATCH(Q1786,Settings!$H$11:$H$15,0)),"No"))</f>
        <v/>
      </c>
      <c r="W1786" s="37" t="str">
        <f aca="false">IF(Q1786="","",IFERROR(INDEX(Settings!$J$11:$J$15,MATCH(Q1786,Settings!$H$11:$H$15,0)),"No"))</f>
        <v/>
      </c>
    </row>
    <row r="1787" customFormat="false" ht="15" hidden="false" customHeight="false" outlineLevel="0" collapsed="false">
      <c r="A1787" s="30"/>
      <c r="B1787" s="25"/>
      <c r="C1787" s="25"/>
      <c r="D1787" s="25"/>
      <c r="E1787" s="25"/>
      <c r="F1787" s="25"/>
      <c r="G1787" s="25"/>
      <c r="H1787" s="31"/>
      <c r="I1787" s="32"/>
      <c r="J1787" s="33"/>
      <c r="K1787" s="34" t="str">
        <f aca="false">IF(OR(H1787="",I1787=""),"",H1787*I1787*(1-N(J1787)))</f>
        <v/>
      </c>
      <c r="L1787" s="32"/>
      <c r="M1787" s="34" t="str">
        <f aca="false">IF(OR(H1787="",L1787=""),"",H1787*L1787)</f>
        <v/>
      </c>
      <c r="N1787" s="34" t="str">
        <f aca="false">IF(OR(K1787="",M1787=""),"",K1787-M1787)</f>
        <v/>
      </c>
      <c r="O1787" s="35" t="str">
        <f aca="false">IF(OR(N1787="",K1787=""),"",IF(K1787=0,"",N1787/K1787))</f>
        <v/>
      </c>
      <c r="P1787" s="25"/>
      <c r="Q1787" s="25"/>
      <c r="R1787" s="25"/>
      <c r="S1787" s="36" t="str">
        <f aca="false">IF(A1787="","",YEAR(A1787)+IF(AND(FYStart&gt;1,MONTH(A1787)&gt;=FYStart),1,0))</f>
        <v/>
      </c>
      <c r="T1787" s="36" t="str">
        <f aca="false">IF(A1787="","",MOD(MONTH(A1787)-FYStart,12)+1)</f>
        <v/>
      </c>
      <c r="U1787" s="37" t="str">
        <f aca="false">IF(A1787="","",TEXT(A1787,"mmm"))</f>
        <v/>
      </c>
      <c r="V1787" s="37" t="str">
        <f aca="false">IF(Q1787="","",IFERROR(INDEX(Settings!$I$11:$I$15,MATCH(Q1787,Settings!$H$11:$H$15,0)),"No"))</f>
        <v/>
      </c>
      <c r="W1787" s="37" t="str">
        <f aca="false">IF(Q1787="","",IFERROR(INDEX(Settings!$J$11:$J$15,MATCH(Q1787,Settings!$H$11:$H$15,0)),"No"))</f>
        <v/>
      </c>
    </row>
    <row r="1788" customFormat="false" ht="15" hidden="false" customHeight="false" outlineLevel="0" collapsed="false">
      <c r="A1788" s="30"/>
      <c r="B1788" s="25"/>
      <c r="C1788" s="25"/>
      <c r="D1788" s="25"/>
      <c r="E1788" s="25"/>
      <c r="F1788" s="25"/>
      <c r="G1788" s="25"/>
      <c r="H1788" s="31"/>
      <c r="I1788" s="32"/>
      <c r="J1788" s="33"/>
      <c r="K1788" s="34" t="str">
        <f aca="false">IF(OR(H1788="",I1788=""),"",H1788*I1788*(1-N(J1788)))</f>
        <v/>
      </c>
      <c r="L1788" s="32"/>
      <c r="M1788" s="34" t="str">
        <f aca="false">IF(OR(H1788="",L1788=""),"",H1788*L1788)</f>
        <v/>
      </c>
      <c r="N1788" s="34" t="str">
        <f aca="false">IF(OR(K1788="",M1788=""),"",K1788-M1788)</f>
        <v/>
      </c>
      <c r="O1788" s="35" t="str">
        <f aca="false">IF(OR(N1788="",K1788=""),"",IF(K1788=0,"",N1788/K1788))</f>
        <v/>
      </c>
      <c r="P1788" s="25"/>
      <c r="Q1788" s="25"/>
      <c r="R1788" s="25"/>
      <c r="S1788" s="36" t="str">
        <f aca="false">IF(A1788="","",YEAR(A1788)+IF(AND(FYStart&gt;1,MONTH(A1788)&gt;=FYStart),1,0))</f>
        <v/>
      </c>
      <c r="T1788" s="36" t="str">
        <f aca="false">IF(A1788="","",MOD(MONTH(A1788)-FYStart,12)+1)</f>
        <v/>
      </c>
      <c r="U1788" s="37" t="str">
        <f aca="false">IF(A1788="","",TEXT(A1788,"mmm"))</f>
        <v/>
      </c>
      <c r="V1788" s="37" t="str">
        <f aca="false">IF(Q1788="","",IFERROR(INDEX(Settings!$I$11:$I$15,MATCH(Q1788,Settings!$H$11:$H$15,0)),"No"))</f>
        <v/>
      </c>
      <c r="W1788" s="37" t="str">
        <f aca="false">IF(Q1788="","",IFERROR(INDEX(Settings!$J$11:$J$15,MATCH(Q1788,Settings!$H$11:$H$15,0)),"No"))</f>
        <v/>
      </c>
    </row>
    <row r="1789" customFormat="false" ht="15" hidden="false" customHeight="false" outlineLevel="0" collapsed="false">
      <c r="A1789" s="30"/>
      <c r="B1789" s="25"/>
      <c r="C1789" s="25"/>
      <c r="D1789" s="25"/>
      <c r="E1789" s="25"/>
      <c r="F1789" s="25"/>
      <c r="G1789" s="25"/>
      <c r="H1789" s="31"/>
      <c r="I1789" s="32"/>
      <c r="J1789" s="33"/>
      <c r="K1789" s="34" t="str">
        <f aca="false">IF(OR(H1789="",I1789=""),"",H1789*I1789*(1-N(J1789)))</f>
        <v/>
      </c>
      <c r="L1789" s="32"/>
      <c r="M1789" s="34" t="str">
        <f aca="false">IF(OR(H1789="",L1789=""),"",H1789*L1789)</f>
        <v/>
      </c>
      <c r="N1789" s="34" t="str">
        <f aca="false">IF(OR(K1789="",M1789=""),"",K1789-M1789)</f>
        <v/>
      </c>
      <c r="O1789" s="35" t="str">
        <f aca="false">IF(OR(N1789="",K1789=""),"",IF(K1789=0,"",N1789/K1789))</f>
        <v/>
      </c>
      <c r="P1789" s="25"/>
      <c r="Q1789" s="25"/>
      <c r="R1789" s="25"/>
      <c r="S1789" s="36" t="str">
        <f aca="false">IF(A1789="","",YEAR(A1789)+IF(AND(FYStart&gt;1,MONTH(A1789)&gt;=FYStart),1,0))</f>
        <v/>
      </c>
      <c r="T1789" s="36" t="str">
        <f aca="false">IF(A1789="","",MOD(MONTH(A1789)-FYStart,12)+1)</f>
        <v/>
      </c>
      <c r="U1789" s="37" t="str">
        <f aca="false">IF(A1789="","",TEXT(A1789,"mmm"))</f>
        <v/>
      </c>
      <c r="V1789" s="37" t="str">
        <f aca="false">IF(Q1789="","",IFERROR(INDEX(Settings!$I$11:$I$15,MATCH(Q1789,Settings!$H$11:$H$15,0)),"No"))</f>
        <v/>
      </c>
      <c r="W1789" s="37" t="str">
        <f aca="false">IF(Q1789="","",IFERROR(INDEX(Settings!$J$11:$J$15,MATCH(Q1789,Settings!$H$11:$H$15,0)),"No"))</f>
        <v/>
      </c>
    </row>
    <row r="1790" customFormat="false" ht="15" hidden="false" customHeight="false" outlineLevel="0" collapsed="false">
      <c r="A1790" s="30"/>
      <c r="B1790" s="25"/>
      <c r="C1790" s="25"/>
      <c r="D1790" s="25"/>
      <c r="E1790" s="25"/>
      <c r="F1790" s="25"/>
      <c r="G1790" s="25"/>
      <c r="H1790" s="31"/>
      <c r="I1790" s="32"/>
      <c r="J1790" s="33"/>
      <c r="K1790" s="34" t="str">
        <f aca="false">IF(OR(H1790="",I1790=""),"",H1790*I1790*(1-N(J1790)))</f>
        <v/>
      </c>
      <c r="L1790" s="32"/>
      <c r="M1790" s="34" t="str">
        <f aca="false">IF(OR(H1790="",L1790=""),"",H1790*L1790)</f>
        <v/>
      </c>
      <c r="N1790" s="34" t="str">
        <f aca="false">IF(OR(K1790="",M1790=""),"",K1790-M1790)</f>
        <v/>
      </c>
      <c r="O1790" s="35" t="str">
        <f aca="false">IF(OR(N1790="",K1790=""),"",IF(K1790=0,"",N1790/K1790))</f>
        <v/>
      </c>
      <c r="P1790" s="25"/>
      <c r="Q1790" s="25"/>
      <c r="R1790" s="25"/>
      <c r="S1790" s="36" t="str">
        <f aca="false">IF(A1790="","",YEAR(A1790)+IF(AND(FYStart&gt;1,MONTH(A1790)&gt;=FYStart),1,0))</f>
        <v/>
      </c>
      <c r="T1790" s="36" t="str">
        <f aca="false">IF(A1790="","",MOD(MONTH(A1790)-FYStart,12)+1)</f>
        <v/>
      </c>
      <c r="U1790" s="37" t="str">
        <f aca="false">IF(A1790="","",TEXT(A1790,"mmm"))</f>
        <v/>
      </c>
      <c r="V1790" s="37" t="str">
        <f aca="false">IF(Q1790="","",IFERROR(INDEX(Settings!$I$11:$I$15,MATCH(Q1790,Settings!$H$11:$H$15,0)),"No"))</f>
        <v/>
      </c>
      <c r="W1790" s="37" t="str">
        <f aca="false">IF(Q1790="","",IFERROR(INDEX(Settings!$J$11:$J$15,MATCH(Q1790,Settings!$H$11:$H$15,0)),"No"))</f>
        <v/>
      </c>
    </row>
    <row r="1791" customFormat="false" ht="15" hidden="false" customHeight="false" outlineLevel="0" collapsed="false">
      <c r="A1791" s="30"/>
      <c r="B1791" s="25"/>
      <c r="C1791" s="25"/>
      <c r="D1791" s="25"/>
      <c r="E1791" s="25"/>
      <c r="F1791" s="25"/>
      <c r="G1791" s="25"/>
      <c r="H1791" s="31"/>
      <c r="I1791" s="32"/>
      <c r="J1791" s="33"/>
      <c r="K1791" s="34" t="str">
        <f aca="false">IF(OR(H1791="",I1791=""),"",H1791*I1791*(1-N(J1791)))</f>
        <v/>
      </c>
      <c r="L1791" s="32"/>
      <c r="M1791" s="34" t="str">
        <f aca="false">IF(OR(H1791="",L1791=""),"",H1791*L1791)</f>
        <v/>
      </c>
      <c r="N1791" s="34" t="str">
        <f aca="false">IF(OR(K1791="",M1791=""),"",K1791-M1791)</f>
        <v/>
      </c>
      <c r="O1791" s="35" t="str">
        <f aca="false">IF(OR(N1791="",K1791=""),"",IF(K1791=0,"",N1791/K1791))</f>
        <v/>
      </c>
      <c r="P1791" s="25"/>
      <c r="Q1791" s="25"/>
      <c r="R1791" s="25"/>
      <c r="S1791" s="36" t="str">
        <f aca="false">IF(A1791="","",YEAR(A1791)+IF(AND(FYStart&gt;1,MONTH(A1791)&gt;=FYStart),1,0))</f>
        <v/>
      </c>
      <c r="T1791" s="36" t="str">
        <f aca="false">IF(A1791="","",MOD(MONTH(A1791)-FYStart,12)+1)</f>
        <v/>
      </c>
      <c r="U1791" s="37" t="str">
        <f aca="false">IF(A1791="","",TEXT(A1791,"mmm"))</f>
        <v/>
      </c>
      <c r="V1791" s="37" t="str">
        <f aca="false">IF(Q1791="","",IFERROR(INDEX(Settings!$I$11:$I$15,MATCH(Q1791,Settings!$H$11:$H$15,0)),"No"))</f>
        <v/>
      </c>
      <c r="W1791" s="37" t="str">
        <f aca="false">IF(Q1791="","",IFERROR(INDEX(Settings!$J$11:$J$15,MATCH(Q1791,Settings!$H$11:$H$15,0)),"No"))</f>
        <v/>
      </c>
    </row>
    <row r="1792" customFormat="false" ht="15" hidden="false" customHeight="false" outlineLevel="0" collapsed="false">
      <c r="A1792" s="30"/>
      <c r="B1792" s="25"/>
      <c r="C1792" s="25"/>
      <c r="D1792" s="25"/>
      <c r="E1792" s="25"/>
      <c r="F1792" s="25"/>
      <c r="G1792" s="25"/>
      <c r="H1792" s="31"/>
      <c r="I1792" s="32"/>
      <c r="J1792" s="33"/>
      <c r="K1792" s="34" t="str">
        <f aca="false">IF(OR(H1792="",I1792=""),"",H1792*I1792*(1-N(J1792)))</f>
        <v/>
      </c>
      <c r="L1792" s="32"/>
      <c r="M1792" s="34" t="str">
        <f aca="false">IF(OR(H1792="",L1792=""),"",H1792*L1792)</f>
        <v/>
      </c>
      <c r="N1792" s="34" t="str">
        <f aca="false">IF(OR(K1792="",M1792=""),"",K1792-M1792)</f>
        <v/>
      </c>
      <c r="O1792" s="35" t="str">
        <f aca="false">IF(OR(N1792="",K1792=""),"",IF(K1792=0,"",N1792/K1792))</f>
        <v/>
      </c>
      <c r="P1792" s="25"/>
      <c r="Q1792" s="25"/>
      <c r="R1792" s="25"/>
      <c r="S1792" s="36" t="str">
        <f aca="false">IF(A1792="","",YEAR(A1792)+IF(AND(FYStart&gt;1,MONTH(A1792)&gt;=FYStart),1,0))</f>
        <v/>
      </c>
      <c r="T1792" s="36" t="str">
        <f aca="false">IF(A1792="","",MOD(MONTH(A1792)-FYStart,12)+1)</f>
        <v/>
      </c>
      <c r="U1792" s="37" t="str">
        <f aca="false">IF(A1792="","",TEXT(A1792,"mmm"))</f>
        <v/>
      </c>
      <c r="V1792" s="37" t="str">
        <f aca="false">IF(Q1792="","",IFERROR(INDEX(Settings!$I$11:$I$15,MATCH(Q1792,Settings!$H$11:$H$15,0)),"No"))</f>
        <v/>
      </c>
      <c r="W1792" s="37" t="str">
        <f aca="false">IF(Q1792="","",IFERROR(INDEX(Settings!$J$11:$J$15,MATCH(Q1792,Settings!$H$11:$H$15,0)),"No"))</f>
        <v/>
      </c>
    </row>
    <row r="1793" customFormat="false" ht="15" hidden="false" customHeight="false" outlineLevel="0" collapsed="false">
      <c r="A1793" s="30"/>
      <c r="B1793" s="25"/>
      <c r="C1793" s="25"/>
      <c r="D1793" s="25"/>
      <c r="E1793" s="25"/>
      <c r="F1793" s="25"/>
      <c r="G1793" s="25"/>
      <c r="H1793" s="31"/>
      <c r="I1793" s="32"/>
      <c r="J1793" s="33"/>
      <c r="K1793" s="34" t="str">
        <f aca="false">IF(OR(H1793="",I1793=""),"",H1793*I1793*(1-N(J1793)))</f>
        <v/>
      </c>
      <c r="L1793" s="32"/>
      <c r="M1793" s="34" t="str">
        <f aca="false">IF(OR(H1793="",L1793=""),"",H1793*L1793)</f>
        <v/>
      </c>
      <c r="N1793" s="34" t="str">
        <f aca="false">IF(OR(K1793="",M1793=""),"",K1793-M1793)</f>
        <v/>
      </c>
      <c r="O1793" s="35" t="str">
        <f aca="false">IF(OR(N1793="",K1793=""),"",IF(K1793=0,"",N1793/K1793))</f>
        <v/>
      </c>
      <c r="P1793" s="25"/>
      <c r="Q1793" s="25"/>
      <c r="R1793" s="25"/>
      <c r="S1793" s="36" t="str">
        <f aca="false">IF(A1793="","",YEAR(A1793)+IF(AND(FYStart&gt;1,MONTH(A1793)&gt;=FYStart),1,0))</f>
        <v/>
      </c>
      <c r="T1793" s="36" t="str">
        <f aca="false">IF(A1793="","",MOD(MONTH(A1793)-FYStart,12)+1)</f>
        <v/>
      </c>
      <c r="U1793" s="37" t="str">
        <f aca="false">IF(A1793="","",TEXT(A1793,"mmm"))</f>
        <v/>
      </c>
      <c r="V1793" s="37" t="str">
        <f aca="false">IF(Q1793="","",IFERROR(INDEX(Settings!$I$11:$I$15,MATCH(Q1793,Settings!$H$11:$H$15,0)),"No"))</f>
        <v/>
      </c>
      <c r="W1793" s="37" t="str">
        <f aca="false">IF(Q1793="","",IFERROR(INDEX(Settings!$J$11:$J$15,MATCH(Q1793,Settings!$H$11:$H$15,0)),"No"))</f>
        <v/>
      </c>
    </row>
    <row r="1794" customFormat="false" ht="15" hidden="false" customHeight="false" outlineLevel="0" collapsed="false">
      <c r="A1794" s="30"/>
      <c r="B1794" s="25"/>
      <c r="C1794" s="25"/>
      <c r="D1794" s="25"/>
      <c r="E1794" s="25"/>
      <c r="F1794" s="25"/>
      <c r="G1794" s="25"/>
      <c r="H1794" s="31"/>
      <c r="I1794" s="32"/>
      <c r="J1794" s="33"/>
      <c r="K1794" s="34" t="str">
        <f aca="false">IF(OR(H1794="",I1794=""),"",H1794*I1794*(1-N(J1794)))</f>
        <v/>
      </c>
      <c r="L1794" s="32"/>
      <c r="M1794" s="34" t="str">
        <f aca="false">IF(OR(H1794="",L1794=""),"",H1794*L1794)</f>
        <v/>
      </c>
      <c r="N1794" s="34" t="str">
        <f aca="false">IF(OR(K1794="",M1794=""),"",K1794-M1794)</f>
        <v/>
      </c>
      <c r="O1794" s="35" t="str">
        <f aca="false">IF(OR(N1794="",K1794=""),"",IF(K1794=0,"",N1794/K1794))</f>
        <v/>
      </c>
      <c r="P1794" s="25"/>
      <c r="Q1794" s="25"/>
      <c r="R1794" s="25"/>
      <c r="S1794" s="36" t="str">
        <f aca="false">IF(A1794="","",YEAR(A1794)+IF(AND(FYStart&gt;1,MONTH(A1794)&gt;=FYStart),1,0))</f>
        <v/>
      </c>
      <c r="T1794" s="36" t="str">
        <f aca="false">IF(A1794="","",MOD(MONTH(A1794)-FYStart,12)+1)</f>
        <v/>
      </c>
      <c r="U1794" s="37" t="str">
        <f aca="false">IF(A1794="","",TEXT(A1794,"mmm"))</f>
        <v/>
      </c>
      <c r="V1794" s="37" t="str">
        <f aca="false">IF(Q1794="","",IFERROR(INDEX(Settings!$I$11:$I$15,MATCH(Q1794,Settings!$H$11:$H$15,0)),"No"))</f>
        <v/>
      </c>
      <c r="W1794" s="37" t="str">
        <f aca="false">IF(Q1794="","",IFERROR(INDEX(Settings!$J$11:$J$15,MATCH(Q1794,Settings!$H$11:$H$15,0)),"No"))</f>
        <v/>
      </c>
    </row>
    <row r="1795" customFormat="false" ht="15" hidden="false" customHeight="false" outlineLevel="0" collapsed="false">
      <c r="A1795" s="30"/>
      <c r="B1795" s="25"/>
      <c r="C1795" s="25"/>
      <c r="D1795" s="25"/>
      <c r="E1795" s="25"/>
      <c r="F1795" s="25"/>
      <c r="G1795" s="25"/>
      <c r="H1795" s="31"/>
      <c r="I1795" s="32"/>
      <c r="J1795" s="33"/>
      <c r="K1795" s="34" t="str">
        <f aca="false">IF(OR(H1795="",I1795=""),"",H1795*I1795*(1-N(J1795)))</f>
        <v/>
      </c>
      <c r="L1795" s="32"/>
      <c r="M1795" s="34" t="str">
        <f aca="false">IF(OR(H1795="",L1795=""),"",H1795*L1795)</f>
        <v/>
      </c>
      <c r="N1795" s="34" t="str">
        <f aca="false">IF(OR(K1795="",M1795=""),"",K1795-M1795)</f>
        <v/>
      </c>
      <c r="O1795" s="35" t="str">
        <f aca="false">IF(OR(N1795="",K1795=""),"",IF(K1795=0,"",N1795/K1795))</f>
        <v/>
      </c>
      <c r="P1795" s="25"/>
      <c r="Q1795" s="25"/>
      <c r="R1795" s="25"/>
      <c r="S1795" s="36" t="str">
        <f aca="false">IF(A1795="","",YEAR(A1795)+IF(AND(FYStart&gt;1,MONTH(A1795)&gt;=FYStart),1,0))</f>
        <v/>
      </c>
      <c r="T1795" s="36" t="str">
        <f aca="false">IF(A1795="","",MOD(MONTH(A1795)-FYStart,12)+1)</f>
        <v/>
      </c>
      <c r="U1795" s="37" t="str">
        <f aca="false">IF(A1795="","",TEXT(A1795,"mmm"))</f>
        <v/>
      </c>
      <c r="V1795" s="37" t="str">
        <f aca="false">IF(Q1795="","",IFERROR(INDEX(Settings!$I$11:$I$15,MATCH(Q1795,Settings!$H$11:$H$15,0)),"No"))</f>
        <v/>
      </c>
      <c r="W1795" s="37" t="str">
        <f aca="false">IF(Q1795="","",IFERROR(INDEX(Settings!$J$11:$J$15,MATCH(Q1795,Settings!$H$11:$H$15,0)),"No"))</f>
        <v/>
      </c>
    </row>
    <row r="1796" customFormat="false" ht="15" hidden="false" customHeight="false" outlineLevel="0" collapsed="false">
      <c r="A1796" s="30"/>
      <c r="B1796" s="25"/>
      <c r="C1796" s="25"/>
      <c r="D1796" s="25"/>
      <c r="E1796" s="25"/>
      <c r="F1796" s="25"/>
      <c r="G1796" s="25"/>
      <c r="H1796" s="31"/>
      <c r="I1796" s="32"/>
      <c r="J1796" s="33"/>
      <c r="K1796" s="34" t="str">
        <f aca="false">IF(OR(H1796="",I1796=""),"",H1796*I1796*(1-N(J1796)))</f>
        <v/>
      </c>
      <c r="L1796" s="32"/>
      <c r="M1796" s="34" t="str">
        <f aca="false">IF(OR(H1796="",L1796=""),"",H1796*L1796)</f>
        <v/>
      </c>
      <c r="N1796" s="34" t="str">
        <f aca="false">IF(OR(K1796="",M1796=""),"",K1796-M1796)</f>
        <v/>
      </c>
      <c r="O1796" s="35" t="str">
        <f aca="false">IF(OR(N1796="",K1796=""),"",IF(K1796=0,"",N1796/K1796))</f>
        <v/>
      </c>
      <c r="P1796" s="25"/>
      <c r="Q1796" s="25"/>
      <c r="R1796" s="25"/>
      <c r="S1796" s="36" t="str">
        <f aca="false">IF(A1796="","",YEAR(A1796)+IF(AND(FYStart&gt;1,MONTH(A1796)&gt;=FYStart),1,0))</f>
        <v/>
      </c>
      <c r="T1796" s="36" t="str">
        <f aca="false">IF(A1796="","",MOD(MONTH(A1796)-FYStart,12)+1)</f>
        <v/>
      </c>
      <c r="U1796" s="37" t="str">
        <f aca="false">IF(A1796="","",TEXT(A1796,"mmm"))</f>
        <v/>
      </c>
      <c r="V1796" s="37" t="str">
        <f aca="false">IF(Q1796="","",IFERROR(INDEX(Settings!$I$11:$I$15,MATCH(Q1796,Settings!$H$11:$H$15,0)),"No"))</f>
        <v/>
      </c>
      <c r="W1796" s="37" t="str">
        <f aca="false">IF(Q1796="","",IFERROR(INDEX(Settings!$J$11:$J$15,MATCH(Q1796,Settings!$H$11:$H$15,0)),"No"))</f>
        <v/>
      </c>
    </row>
    <row r="1797" customFormat="false" ht="15" hidden="false" customHeight="false" outlineLevel="0" collapsed="false">
      <c r="A1797" s="30"/>
      <c r="B1797" s="25"/>
      <c r="C1797" s="25"/>
      <c r="D1797" s="25"/>
      <c r="E1797" s="25"/>
      <c r="F1797" s="25"/>
      <c r="G1797" s="25"/>
      <c r="H1797" s="31"/>
      <c r="I1797" s="32"/>
      <c r="J1797" s="33"/>
      <c r="K1797" s="34" t="str">
        <f aca="false">IF(OR(H1797="",I1797=""),"",H1797*I1797*(1-N(J1797)))</f>
        <v/>
      </c>
      <c r="L1797" s="32"/>
      <c r="M1797" s="34" t="str">
        <f aca="false">IF(OR(H1797="",L1797=""),"",H1797*L1797)</f>
        <v/>
      </c>
      <c r="N1797" s="34" t="str">
        <f aca="false">IF(OR(K1797="",M1797=""),"",K1797-M1797)</f>
        <v/>
      </c>
      <c r="O1797" s="35" t="str">
        <f aca="false">IF(OR(N1797="",K1797=""),"",IF(K1797=0,"",N1797/K1797))</f>
        <v/>
      </c>
      <c r="P1797" s="25"/>
      <c r="Q1797" s="25"/>
      <c r="R1797" s="25"/>
      <c r="S1797" s="36" t="str">
        <f aca="false">IF(A1797="","",YEAR(A1797)+IF(AND(FYStart&gt;1,MONTH(A1797)&gt;=FYStart),1,0))</f>
        <v/>
      </c>
      <c r="T1797" s="36" t="str">
        <f aca="false">IF(A1797="","",MOD(MONTH(A1797)-FYStart,12)+1)</f>
        <v/>
      </c>
      <c r="U1797" s="37" t="str">
        <f aca="false">IF(A1797="","",TEXT(A1797,"mmm"))</f>
        <v/>
      </c>
      <c r="V1797" s="37" t="str">
        <f aca="false">IF(Q1797="","",IFERROR(INDEX(Settings!$I$11:$I$15,MATCH(Q1797,Settings!$H$11:$H$15,0)),"No"))</f>
        <v/>
      </c>
      <c r="W1797" s="37" t="str">
        <f aca="false">IF(Q1797="","",IFERROR(INDEX(Settings!$J$11:$J$15,MATCH(Q1797,Settings!$H$11:$H$15,0)),"No"))</f>
        <v/>
      </c>
    </row>
    <row r="1798" customFormat="false" ht="15" hidden="false" customHeight="false" outlineLevel="0" collapsed="false">
      <c r="A1798" s="30"/>
      <c r="B1798" s="25"/>
      <c r="C1798" s="25"/>
      <c r="D1798" s="25"/>
      <c r="E1798" s="25"/>
      <c r="F1798" s="25"/>
      <c r="G1798" s="25"/>
      <c r="H1798" s="31"/>
      <c r="I1798" s="32"/>
      <c r="J1798" s="33"/>
      <c r="K1798" s="34" t="str">
        <f aca="false">IF(OR(H1798="",I1798=""),"",H1798*I1798*(1-N(J1798)))</f>
        <v/>
      </c>
      <c r="L1798" s="32"/>
      <c r="M1798" s="34" t="str">
        <f aca="false">IF(OR(H1798="",L1798=""),"",H1798*L1798)</f>
        <v/>
      </c>
      <c r="N1798" s="34" t="str">
        <f aca="false">IF(OR(K1798="",M1798=""),"",K1798-M1798)</f>
        <v/>
      </c>
      <c r="O1798" s="35" t="str">
        <f aca="false">IF(OR(N1798="",K1798=""),"",IF(K1798=0,"",N1798/K1798))</f>
        <v/>
      </c>
      <c r="P1798" s="25"/>
      <c r="Q1798" s="25"/>
      <c r="R1798" s="25"/>
      <c r="S1798" s="36" t="str">
        <f aca="false">IF(A1798="","",YEAR(A1798)+IF(AND(FYStart&gt;1,MONTH(A1798)&gt;=FYStart),1,0))</f>
        <v/>
      </c>
      <c r="T1798" s="36" t="str">
        <f aca="false">IF(A1798="","",MOD(MONTH(A1798)-FYStart,12)+1)</f>
        <v/>
      </c>
      <c r="U1798" s="37" t="str">
        <f aca="false">IF(A1798="","",TEXT(A1798,"mmm"))</f>
        <v/>
      </c>
      <c r="V1798" s="37" t="str">
        <f aca="false">IF(Q1798="","",IFERROR(INDEX(Settings!$I$11:$I$15,MATCH(Q1798,Settings!$H$11:$H$15,0)),"No"))</f>
        <v/>
      </c>
      <c r="W1798" s="37" t="str">
        <f aca="false">IF(Q1798="","",IFERROR(INDEX(Settings!$J$11:$J$15,MATCH(Q1798,Settings!$H$11:$H$15,0)),"No"))</f>
        <v/>
      </c>
    </row>
    <row r="1799" customFormat="false" ht="15" hidden="false" customHeight="false" outlineLevel="0" collapsed="false">
      <c r="A1799" s="30"/>
      <c r="B1799" s="25"/>
      <c r="C1799" s="25"/>
      <c r="D1799" s="25"/>
      <c r="E1799" s="25"/>
      <c r="F1799" s="25"/>
      <c r="G1799" s="25"/>
      <c r="H1799" s="31"/>
      <c r="I1799" s="32"/>
      <c r="J1799" s="33"/>
      <c r="K1799" s="34" t="str">
        <f aca="false">IF(OR(H1799="",I1799=""),"",H1799*I1799*(1-N(J1799)))</f>
        <v/>
      </c>
      <c r="L1799" s="32"/>
      <c r="M1799" s="34" t="str">
        <f aca="false">IF(OR(H1799="",L1799=""),"",H1799*L1799)</f>
        <v/>
      </c>
      <c r="N1799" s="34" t="str">
        <f aca="false">IF(OR(K1799="",M1799=""),"",K1799-M1799)</f>
        <v/>
      </c>
      <c r="O1799" s="35" t="str">
        <f aca="false">IF(OR(N1799="",K1799=""),"",IF(K1799=0,"",N1799/K1799))</f>
        <v/>
      </c>
      <c r="P1799" s="25"/>
      <c r="Q1799" s="25"/>
      <c r="R1799" s="25"/>
      <c r="S1799" s="36" t="str">
        <f aca="false">IF(A1799="","",YEAR(A1799)+IF(AND(FYStart&gt;1,MONTH(A1799)&gt;=FYStart),1,0))</f>
        <v/>
      </c>
      <c r="T1799" s="36" t="str">
        <f aca="false">IF(A1799="","",MOD(MONTH(A1799)-FYStart,12)+1)</f>
        <v/>
      </c>
      <c r="U1799" s="37" t="str">
        <f aca="false">IF(A1799="","",TEXT(A1799,"mmm"))</f>
        <v/>
      </c>
      <c r="V1799" s="37" t="str">
        <f aca="false">IF(Q1799="","",IFERROR(INDEX(Settings!$I$11:$I$15,MATCH(Q1799,Settings!$H$11:$H$15,0)),"No"))</f>
        <v/>
      </c>
      <c r="W1799" s="37" t="str">
        <f aca="false">IF(Q1799="","",IFERROR(INDEX(Settings!$J$11:$J$15,MATCH(Q1799,Settings!$H$11:$H$15,0)),"No"))</f>
        <v/>
      </c>
    </row>
    <row r="1800" customFormat="false" ht="15" hidden="false" customHeight="false" outlineLevel="0" collapsed="false">
      <c r="A1800" s="30"/>
      <c r="B1800" s="25"/>
      <c r="C1800" s="25"/>
      <c r="D1800" s="25"/>
      <c r="E1800" s="25"/>
      <c r="F1800" s="25"/>
      <c r="G1800" s="25"/>
      <c r="H1800" s="31"/>
      <c r="I1800" s="32"/>
      <c r="J1800" s="33"/>
      <c r="K1800" s="34" t="str">
        <f aca="false">IF(OR(H1800="",I1800=""),"",H1800*I1800*(1-N(J1800)))</f>
        <v/>
      </c>
      <c r="L1800" s="32"/>
      <c r="M1800" s="34" t="str">
        <f aca="false">IF(OR(H1800="",L1800=""),"",H1800*L1800)</f>
        <v/>
      </c>
      <c r="N1800" s="34" t="str">
        <f aca="false">IF(OR(K1800="",M1800=""),"",K1800-M1800)</f>
        <v/>
      </c>
      <c r="O1800" s="35" t="str">
        <f aca="false">IF(OR(N1800="",K1800=""),"",IF(K1800=0,"",N1800/K1800))</f>
        <v/>
      </c>
      <c r="P1800" s="25"/>
      <c r="Q1800" s="25"/>
      <c r="R1800" s="25"/>
      <c r="S1800" s="36" t="str">
        <f aca="false">IF(A1800="","",YEAR(A1800)+IF(AND(FYStart&gt;1,MONTH(A1800)&gt;=FYStart),1,0))</f>
        <v/>
      </c>
      <c r="T1800" s="36" t="str">
        <f aca="false">IF(A1800="","",MOD(MONTH(A1800)-FYStart,12)+1)</f>
        <v/>
      </c>
      <c r="U1800" s="37" t="str">
        <f aca="false">IF(A1800="","",TEXT(A1800,"mmm"))</f>
        <v/>
      </c>
      <c r="V1800" s="37" t="str">
        <f aca="false">IF(Q1800="","",IFERROR(INDEX(Settings!$I$11:$I$15,MATCH(Q1800,Settings!$H$11:$H$15,0)),"No"))</f>
        <v/>
      </c>
      <c r="W1800" s="37" t="str">
        <f aca="false">IF(Q1800="","",IFERROR(INDEX(Settings!$J$11:$J$15,MATCH(Q1800,Settings!$H$11:$H$15,0)),"No"))</f>
        <v/>
      </c>
    </row>
    <row r="1801" customFormat="false" ht="15" hidden="false" customHeight="false" outlineLevel="0" collapsed="false">
      <c r="A1801" s="30"/>
      <c r="B1801" s="25"/>
      <c r="C1801" s="25"/>
      <c r="D1801" s="25"/>
      <c r="E1801" s="25"/>
      <c r="F1801" s="25"/>
      <c r="G1801" s="25"/>
      <c r="H1801" s="31"/>
      <c r="I1801" s="32"/>
      <c r="J1801" s="33"/>
      <c r="K1801" s="34" t="str">
        <f aca="false">IF(OR(H1801="",I1801=""),"",H1801*I1801*(1-N(J1801)))</f>
        <v/>
      </c>
      <c r="L1801" s="32"/>
      <c r="M1801" s="34" t="str">
        <f aca="false">IF(OR(H1801="",L1801=""),"",H1801*L1801)</f>
        <v/>
      </c>
      <c r="N1801" s="34" t="str">
        <f aca="false">IF(OR(K1801="",M1801=""),"",K1801-M1801)</f>
        <v/>
      </c>
      <c r="O1801" s="35" t="str">
        <f aca="false">IF(OR(N1801="",K1801=""),"",IF(K1801=0,"",N1801/K1801))</f>
        <v/>
      </c>
      <c r="P1801" s="25"/>
      <c r="Q1801" s="25"/>
      <c r="R1801" s="25"/>
      <c r="S1801" s="36" t="str">
        <f aca="false">IF(A1801="","",YEAR(A1801)+IF(AND(FYStart&gt;1,MONTH(A1801)&gt;=FYStart),1,0))</f>
        <v/>
      </c>
      <c r="T1801" s="36" t="str">
        <f aca="false">IF(A1801="","",MOD(MONTH(A1801)-FYStart,12)+1)</f>
        <v/>
      </c>
      <c r="U1801" s="37" t="str">
        <f aca="false">IF(A1801="","",TEXT(A1801,"mmm"))</f>
        <v/>
      </c>
      <c r="V1801" s="37" t="str">
        <f aca="false">IF(Q1801="","",IFERROR(INDEX(Settings!$I$11:$I$15,MATCH(Q1801,Settings!$H$11:$H$15,0)),"No"))</f>
        <v/>
      </c>
      <c r="W1801" s="37" t="str">
        <f aca="false">IF(Q1801="","",IFERROR(INDEX(Settings!$J$11:$J$15,MATCH(Q1801,Settings!$H$11:$H$15,0)),"No"))</f>
        <v/>
      </c>
    </row>
    <row r="1802" customFormat="false" ht="15" hidden="false" customHeight="false" outlineLevel="0" collapsed="false">
      <c r="A1802" s="30"/>
      <c r="B1802" s="25"/>
      <c r="C1802" s="25"/>
      <c r="D1802" s="25"/>
      <c r="E1802" s="25"/>
      <c r="F1802" s="25"/>
      <c r="G1802" s="25"/>
      <c r="H1802" s="31"/>
      <c r="I1802" s="32"/>
      <c r="J1802" s="33"/>
      <c r="K1802" s="34" t="str">
        <f aca="false">IF(OR(H1802="",I1802=""),"",H1802*I1802*(1-N(J1802)))</f>
        <v/>
      </c>
      <c r="L1802" s="32"/>
      <c r="M1802" s="34" t="str">
        <f aca="false">IF(OR(H1802="",L1802=""),"",H1802*L1802)</f>
        <v/>
      </c>
      <c r="N1802" s="34" t="str">
        <f aca="false">IF(OR(K1802="",M1802=""),"",K1802-M1802)</f>
        <v/>
      </c>
      <c r="O1802" s="35" t="str">
        <f aca="false">IF(OR(N1802="",K1802=""),"",IF(K1802=0,"",N1802/K1802))</f>
        <v/>
      </c>
      <c r="P1802" s="25"/>
      <c r="Q1802" s="25"/>
      <c r="R1802" s="25"/>
      <c r="S1802" s="36" t="str">
        <f aca="false">IF(A1802="","",YEAR(A1802)+IF(AND(FYStart&gt;1,MONTH(A1802)&gt;=FYStart),1,0))</f>
        <v/>
      </c>
      <c r="T1802" s="36" t="str">
        <f aca="false">IF(A1802="","",MOD(MONTH(A1802)-FYStart,12)+1)</f>
        <v/>
      </c>
      <c r="U1802" s="37" t="str">
        <f aca="false">IF(A1802="","",TEXT(A1802,"mmm"))</f>
        <v/>
      </c>
      <c r="V1802" s="37" t="str">
        <f aca="false">IF(Q1802="","",IFERROR(INDEX(Settings!$I$11:$I$15,MATCH(Q1802,Settings!$H$11:$H$15,0)),"No"))</f>
        <v/>
      </c>
      <c r="W1802" s="37" t="str">
        <f aca="false">IF(Q1802="","",IFERROR(INDEX(Settings!$J$11:$J$15,MATCH(Q1802,Settings!$H$11:$H$15,0)),"No"))</f>
        <v/>
      </c>
    </row>
    <row r="1803" customFormat="false" ht="15" hidden="false" customHeight="false" outlineLevel="0" collapsed="false">
      <c r="A1803" s="30"/>
      <c r="B1803" s="25"/>
      <c r="C1803" s="25"/>
      <c r="D1803" s="25"/>
      <c r="E1803" s="25"/>
      <c r="F1803" s="25"/>
      <c r="G1803" s="25"/>
      <c r="H1803" s="31"/>
      <c r="I1803" s="32"/>
      <c r="J1803" s="33"/>
      <c r="K1803" s="34" t="str">
        <f aca="false">IF(OR(H1803="",I1803=""),"",H1803*I1803*(1-N(J1803)))</f>
        <v/>
      </c>
      <c r="L1803" s="32"/>
      <c r="M1803" s="34" t="str">
        <f aca="false">IF(OR(H1803="",L1803=""),"",H1803*L1803)</f>
        <v/>
      </c>
      <c r="N1803" s="34" t="str">
        <f aca="false">IF(OR(K1803="",M1803=""),"",K1803-M1803)</f>
        <v/>
      </c>
      <c r="O1803" s="35" t="str">
        <f aca="false">IF(OR(N1803="",K1803=""),"",IF(K1803=0,"",N1803/K1803))</f>
        <v/>
      </c>
      <c r="P1803" s="25"/>
      <c r="Q1803" s="25"/>
      <c r="R1803" s="25"/>
      <c r="S1803" s="36" t="str">
        <f aca="false">IF(A1803="","",YEAR(A1803)+IF(AND(FYStart&gt;1,MONTH(A1803)&gt;=FYStart),1,0))</f>
        <v/>
      </c>
      <c r="T1803" s="36" t="str">
        <f aca="false">IF(A1803="","",MOD(MONTH(A1803)-FYStart,12)+1)</f>
        <v/>
      </c>
      <c r="U1803" s="37" t="str">
        <f aca="false">IF(A1803="","",TEXT(A1803,"mmm"))</f>
        <v/>
      </c>
      <c r="V1803" s="37" t="str">
        <f aca="false">IF(Q1803="","",IFERROR(INDEX(Settings!$I$11:$I$15,MATCH(Q1803,Settings!$H$11:$H$15,0)),"No"))</f>
        <v/>
      </c>
      <c r="W1803" s="37" t="str">
        <f aca="false">IF(Q1803="","",IFERROR(INDEX(Settings!$J$11:$J$15,MATCH(Q1803,Settings!$H$11:$H$15,0)),"No"))</f>
        <v/>
      </c>
    </row>
    <row r="1804" customFormat="false" ht="15" hidden="false" customHeight="false" outlineLevel="0" collapsed="false">
      <c r="A1804" s="30"/>
      <c r="B1804" s="25"/>
      <c r="C1804" s="25"/>
      <c r="D1804" s="25"/>
      <c r="E1804" s="25"/>
      <c r="F1804" s="25"/>
      <c r="G1804" s="25"/>
      <c r="H1804" s="31"/>
      <c r="I1804" s="32"/>
      <c r="J1804" s="33"/>
      <c r="K1804" s="34" t="str">
        <f aca="false">IF(OR(H1804="",I1804=""),"",H1804*I1804*(1-N(J1804)))</f>
        <v/>
      </c>
      <c r="L1804" s="32"/>
      <c r="M1804" s="34" t="str">
        <f aca="false">IF(OR(H1804="",L1804=""),"",H1804*L1804)</f>
        <v/>
      </c>
      <c r="N1804" s="34" t="str">
        <f aca="false">IF(OR(K1804="",M1804=""),"",K1804-M1804)</f>
        <v/>
      </c>
      <c r="O1804" s="35" t="str">
        <f aca="false">IF(OR(N1804="",K1804=""),"",IF(K1804=0,"",N1804/K1804))</f>
        <v/>
      </c>
      <c r="P1804" s="25"/>
      <c r="Q1804" s="25"/>
      <c r="R1804" s="25"/>
      <c r="S1804" s="36" t="str">
        <f aca="false">IF(A1804="","",YEAR(A1804)+IF(AND(FYStart&gt;1,MONTH(A1804)&gt;=FYStart),1,0))</f>
        <v/>
      </c>
      <c r="T1804" s="36" t="str">
        <f aca="false">IF(A1804="","",MOD(MONTH(A1804)-FYStart,12)+1)</f>
        <v/>
      </c>
      <c r="U1804" s="37" t="str">
        <f aca="false">IF(A1804="","",TEXT(A1804,"mmm"))</f>
        <v/>
      </c>
      <c r="V1804" s="37" t="str">
        <f aca="false">IF(Q1804="","",IFERROR(INDEX(Settings!$I$11:$I$15,MATCH(Q1804,Settings!$H$11:$H$15,0)),"No"))</f>
        <v/>
      </c>
      <c r="W1804" s="37" t="str">
        <f aca="false">IF(Q1804="","",IFERROR(INDEX(Settings!$J$11:$J$15,MATCH(Q1804,Settings!$H$11:$H$15,0)),"No"))</f>
        <v/>
      </c>
    </row>
    <row r="1805" customFormat="false" ht="15" hidden="false" customHeight="false" outlineLevel="0" collapsed="false">
      <c r="A1805" s="30"/>
      <c r="B1805" s="25"/>
      <c r="C1805" s="25"/>
      <c r="D1805" s="25"/>
      <c r="E1805" s="25"/>
      <c r="F1805" s="25"/>
      <c r="G1805" s="25"/>
      <c r="H1805" s="31"/>
      <c r="I1805" s="32"/>
      <c r="J1805" s="33"/>
      <c r="K1805" s="34" t="str">
        <f aca="false">IF(OR(H1805="",I1805=""),"",H1805*I1805*(1-N(J1805)))</f>
        <v/>
      </c>
      <c r="L1805" s="32"/>
      <c r="M1805" s="34" t="str">
        <f aca="false">IF(OR(H1805="",L1805=""),"",H1805*L1805)</f>
        <v/>
      </c>
      <c r="N1805" s="34" t="str">
        <f aca="false">IF(OR(K1805="",M1805=""),"",K1805-M1805)</f>
        <v/>
      </c>
      <c r="O1805" s="35" t="str">
        <f aca="false">IF(OR(N1805="",K1805=""),"",IF(K1805=0,"",N1805/K1805))</f>
        <v/>
      </c>
      <c r="P1805" s="25"/>
      <c r="Q1805" s="25"/>
      <c r="R1805" s="25"/>
      <c r="S1805" s="36" t="str">
        <f aca="false">IF(A1805="","",YEAR(A1805)+IF(AND(FYStart&gt;1,MONTH(A1805)&gt;=FYStart),1,0))</f>
        <v/>
      </c>
      <c r="T1805" s="36" t="str">
        <f aca="false">IF(A1805="","",MOD(MONTH(A1805)-FYStart,12)+1)</f>
        <v/>
      </c>
      <c r="U1805" s="37" t="str">
        <f aca="false">IF(A1805="","",TEXT(A1805,"mmm"))</f>
        <v/>
      </c>
      <c r="V1805" s="37" t="str">
        <f aca="false">IF(Q1805="","",IFERROR(INDEX(Settings!$I$11:$I$15,MATCH(Q1805,Settings!$H$11:$H$15,0)),"No"))</f>
        <v/>
      </c>
      <c r="W1805" s="37" t="str">
        <f aca="false">IF(Q1805="","",IFERROR(INDEX(Settings!$J$11:$J$15,MATCH(Q1805,Settings!$H$11:$H$15,0)),"No"))</f>
        <v/>
      </c>
    </row>
    <row r="1806" customFormat="false" ht="15" hidden="false" customHeight="false" outlineLevel="0" collapsed="false">
      <c r="A1806" s="30"/>
      <c r="B1806" s="25"/>
      <c r="C1806" s="25"/>
      <c r="D1806" s="25"/>
      <c r="E1806" s="25"/>
      <c r="F1806" s="25"/>
      <c r="G1806" s="25"/>
      <c r="H1806" s="31"/>
      <c r="I1806" s="32"/>
      <c r="J1806" s="33"/>
      <c r="K1806" s="34" t="str">
        <f aca="false">IF(OR(H1806="",I1806=""),"",H1806*I1806*(1-N(J1806)))</f>
        <v/>
      </c>
      <c r="L1806" s="32"/>
      <c r="M1806" s="34" t="str">
        <f aca="false">IF(OR(H1806="",L1806=""),"",H1806*L1806)</f>
        <v/>
      </c>
      <c r="N1806" s="34" t="str">
        <f aca="false">IF(OR(K1806="",M1806=""),"",K1806-M1806)</f>
        <v/>
      </c>
      <c r="O1806" s="35" t="str">
        <f aca="false">IF(OR(N1806="",K1806=""),"",IF(K1806=0,"",N1806/K1806))</f>
        <v/>
      </c>
      <c r="P1806" s="25"/>
      <c r="Q1806" s="25"/>
      <c r="R1806" s="25"/>
      <c r="S1806" s="36" t="str">
        <f aca="false">IF(A1806="","",YEAR(A1806)+IF(AND(FYStart&gt;1,MONTH(A1806)&gt;=FYStart),1,0))</f>
        <v/>
      </c>
      <c r="T1806" s="36" t="str">
        <f aca="false">IF(A1806="","",MOD(MONTH(A1806)-FYStart,12)+1)</f>
        <v/>
      </c>
      <c r="U1806" s="37" t="str">
        <f aca="false">IF(A1806="","",TEXT(A1806,"mmm"))</f>
        <v/>
      </c>
      <c r="V1806" s="37" t="str">
        <f aca="false">IF(Q1806="","",IFERROR(INDEX(Settings!$I$11:$I$15,MATCH(Q1806,Settings!$H$11:$H$15,0)),"No"))</f>
        <v/>
      </c>
      <c r="W1806" s="37" t="str">
        <f aca="false">IF(Q1806="","",IFERROR(INDEX(Settings!$J$11:$J$15,MATCH(Q1806,Settings!$H$11:$H$15,0)),"No"))</f>
        <v/>
      </c>
    </row>
    <row r="1807" customFormat="false" ht="15" hidden="false" customHeight="false" outlineLevel="0" collapsed="false">
      <c r="A1807" s="30"/>
      <c r="B1807" s="25"/>
      <c r="C1807" s="25"/>
      <c r="D1807" s="25"/>
      <c r="E1807" s="25"/>
      <c r="F1807" s="25"/>
      <c r="G1807" s="25"/>
      <c r="H1807" s="31"/>
      <c r="I1807" s="32"/>
      <c r="J1807" s="33"/>
      <c r="K1807" s="34" t="str">
        <f aca="false">IF(OR(H1807="",I1807=""),"",H1807*I1807*(1-N(J1807)))</f>
        <v/>
      </c>
      <c r="L1807" s="32"/>
      <c r="M1807" s="34" t="str">
        <f aca="false">IF(OR(H1807="",L1807=""),"",H1807*L1807)</f>
        <v/>
      </c>
      <c r="N1807" s="34" t="str">
        <f aca="false">IF(OR(K1807="",M1807=""),"",K1807-M1807)</f>
        <v/>
      </c>
      <c r="O1807" s="35" t="str">
        <f aca="false">IF(OR(N1807="",K1807=""),"",IF(K1807=0,"",N1807/K1807))</f>
        <v/>
      </c>
      <c r="P1807" s="25"/>
      <c r="Q1807" s="25"/>
      <c r="R1807" s="25"/>
      <c r="S1807" s="36" t="str">
        <f aca="false">IF(A1807="","",YEAR(A1807)+IF(AND(FYStart&gt;1,MONTH(A1807)&gt;=FYStart),1,0))</f>
        <v/>
      </c>
      <c r="T1807" s="36" t="str">
        <f aca="false">IF(A1807="","",MOD(MONTH(A1807)-FYStart,12)+1)</f>
        <v/>
      </c>
      <c r="U1807" s="37" t="str">
        <f aca="false">IF(A1807="","",TEXT(A1807,"mmm"))</f>
        <v/>
      </c>
      <c r="V1807" s="37" t="str">
        <f aca="false">IF(Q1807="","",IFERROR(INDEX(Settings!$I$11:$I$15,MATCH(Q1807,Settings!$H$11:$H$15,0)),"No"))</f>
        <v/>
      </c>
      <c r="W1807" s="37" t="str">
        <f aca="false">IF(Q1807="","",IFERROR(INDEX(Settings!$J$11:$J$15,MATCH(Q1807,Settings!$H$11:$H$15,0)),"No"))</f>
        <v/>
      </c>
    </row>
    <row r="1808" customFormat="false" ht="15" hidden="false" customHeight="false" outlineLevel="0" collapsed="false">
      <c r="A1808" s="30"/>
      <c r="B1808" s="25"/>
      <c r="C1808" s="25"/>
      <c r="D1808" s="25"/>
      <c r="E1808" s="25"/>
      <c r="F1808" s="25"/>
      <c r="G1808" s="25"/>
      <c r="H1808" s="31"/>
      <c r="I1808" s="32"/>
      <c r="J1808" s="33"/>
      <c r="K1808" s="34" t="str">
        <f aca="false">IF(OR(H1808="",I1808=""),"",H1808*I1808*(1-N(J1808)))</f>
        <v/>
      </c>
      <c r="L1808" s="32"/>
      <c r="M1808" s="34" t="str">
        <f aca="false">IF(OR(H1808="",L1808=""),"",H1808*L1808)</f>
        <v/>
      </c>
      <c r="N1808" s="34" t="str">
        <f aca="false">IF(OR(K1808="",M1808=""),"",K1808-M1808)</f>
        <v/>
      </c>
      <c r="O1808" s="35" t="str">
        <f aca="false">IF(OR(N1808="",K1808=""),"",IF(K1808=0,"",N1808/K1808))</f>
        <v/>
      </c>
      <c r="P1808" s="25"/>
      <c r="Q1808" s="25"/>
      <c r="R1808" s="25"/>
      <c r="S1808" s="36" t="str">
        <f aca="false">IF(A1808="","",YEAR(A1808)+IF(AND(FYStart&gt;1,MONTH(A1808)&gt;=FYStart),1,0))</f>
        <v/>
      </c>
      <c r="T1808" s="36" t="str">
        <f aca="false">IF(A1808="","",MOD(MONTH(A1808)-FYStart,12)+1)</f>
        <v/>
      </c>
      <c r="U1808" s="37" t="str">
        <f aca="false">IF(A1808="","",TEXT(A1808,"mmm"))</f>
        <v/>
      </c>
      <c r="V1808" s="37" t="str">
        <f aca="false">IF(Q1808="","",IFERROR(INDEX(Settings!$I$11:$I$15,MATCH(Q1808,Settings!$H$11:$H$15,0)),"No"))</f>
        <v/>
      </c>
      <c r="W1808" s="37" t="str">
        <f aca="false">IF(Q1808="","",IFERROR(INDEX(Settings!$J$11:$J$15,MATCH(Q1808,Settings!$H$11:$H$15,0)),"No"))</f>
        <v/>
      </c>
    </row>
    <row r="1809" customFormat="false" ht="15" hidden="false" customHeight="false" outlineLevel="0" collapsed="false">
      <c r="A1809" s="30"/>
      <c r="B1809" s="25"/>
      <c r="C1809" s="25"/>
      <c r="D1809" s="25"/>
      <c r="E1809" s="25"/>
      <c r="F1809" s="25"/>
      <c r="G1809" s="25"/>
      <c r="H1809" s="31"/>
      <c r="I1809" s="32"/>
      <c r="J1809" s="33"/>
      <c r="K1809" s="34" t="str">
        <f aca="false">IF(OR(H1809="",I1809=""),"",H1809*I1809*(1-N(J1809)))</f>
        <v/>
      </c>
      <c r="L1809" s="32"/>
      <c r="M1809" s="34" t="str">
        <f aca="false">IF(OR(H1809="",L1809=""),"",H1809*L1809)</f>
        <v/>
      </c>
      <c r="N1809" s="34" t="str">
        <f aca="false">IF(OR(K1809="",M1809=""),"",K1809-M1809)</f>
        <v/>
      </c>
      <c r="O1809" s="35" t="str">
        <f aca="false">IF(OR(N1809="",K1809=""),"",IF(K1809=0,"",N1809/K1809))</f>
        <v/>
      </c>
      <c r="P1809" s="25"/>
      <c r="Q1809" s="25"/>
      <c r="R1809" s="25"/>
      <c r="S1809" s="36" t="str">
        <f aca="false">IF(A1809="","",YEAR(A1809)+IF(AND(FYStart&gt;1,MONTH(A1809)&gt;=FYStart),1,0))</f>
        <v/>
      </c>
      <c r="T1809" s="36" t="str">
        <f aca="false">IF(A1809="","",MOD(MONTH(A1809)-FYStart,12)+1)</f>
        <v/>
      </c>
      <c r="U1809" s="37" t="str">
        <f aca="false">IF(A1809="","",TEXT(A1809,"mmm"))</f>
        <v/>
      </c>
      <c r="V1809" s="37" t="str">
        <f aca="false">IF(Q1809="","",IFERROR(INDEX(Settings!$I$11:$I$15,MATCH(Q1809,Settings!$H$11:$H$15,0)),"No"))</f>
        <v/>
      </c>
      <c r="W1809" s="37" t="str">
        <f aca="false">IF(Q1809="","",IFERROR(INDEX(Settings!$J$11:$J$15,MATCH(Q1809,Settings!$H$11:$H$15,0)),"No"))</f>
        <v/>
      </c>
    </row>
    <row r="1810" customFormat="false" ht="15" hidden="false" customHeight="false" outlineLevel="0" collapsed="false">
      <c r="A1810" s="30"/>
      <c r="B1810" s="25"/>
      <c r="C1810" s="25"/>
      <c r="D1810" s="25"/>
      <c r="E1810" s="25"/>
      <c r="F1810" s="25"/>
      <c r="G1810" s="25"/>
      <c r="H1810" s="31"/>
      <c r="I1810" s="32"/>
      <c r="J1810" s="33"/>
      <c r="K1810" s="34" t="str">
        <f aca="false">IF(OR(H1810="",I1810=""),"",H1810*I1810*(1-N(J1810)))</f>
        <v/>
      </c>
      <c r="L1810" s="32"/>
      <c r="M1810" s="34" t="str">
        <f aca="false">IF(OR(H1810="",L1810=""),"",H1810*L1810)</f>
        <v/>
      </c>
      <c r="N1810" s="34" t="str">
        <f aca="false">IF(OR(K1810="",M1810=""),"",K1810-M1810)</f>
        <v/>
      </c>
      <c r="O1810" s="35" t="str">
        <f aca="false">IF(OR(N1810="",K1810=""),"",IF(K1810=0,"",N1810/K1810))</f>
        <v/>
      </c>
      <c r="P1810" s="25"/>
      <c r="Q1810" s="25"/>
      <c r="R1810" s="25"/>
      <c r="S1810" s="36" t="str">
        <f aca="false">IF(A1810="","",YEAR(A1810)+IF(AND(FYStart&gt;1,MONTH(A1810)&gt;=FYStart),1,0))</f>
        <v/>
      </c>
      <c r="T1810" s="36" t="str">
        <f aca="false">IF(A1810="","",MOD(MONTH(A1810)-FYStart,12)+1)</f>
        <v/>
      </c>
      <c r="U1810" s="37" t="str">
        <f aca="false">IF(A1810="","",TEXT(A1810,"mmm"))</f>
        <v/>
      </c>
      <c r="V1810" s="37" t="str">
        <f aca="false">IF(Q1810="","",IFERROR(INDEX(Settings!$I$11:$I$15,MATCH(Q1810,Settings!$H$11:$H$15,0)),"No"))</f>
        <v/>
      </c>
      <c r="W1810" s="37" t="str">
        <f aca="false">IF(Q1810="","",IFERROR(INDEX(Settings!$J$11:$J$15,MATCH(Q1810,Settings!$H$11:$H$15,0)),"No"))</f>
        <v/>
      </c>
    </row>
    <row r="1811" customFormat="false" ht="15" hidden="false" customHeight="false" outlineLevel="0" collapsed="false">
      <c r="A1811" s="30"/>
      <c r="B1811" s="25"/>
      <c r="C1811" s="25"/>
      <c r="D1811" s="25"/>
      <c r="E1811" s="25"/>
      <c r="F1811" s="25"/>
      <c r="G1811" s="25"/>
      <c r="H1811" s="31"/>
      <c r="I1811" s="32"/>
      <c r="J1811" s="33"/>
      <c r="K1811" s="34" t="str">
        <f aca="false">IF(OR(H1811="",I1811=""),"",H1811*I1811*(1-N(J1811)))</f>
        <v/>
      </c>
      <c r="L1811" s="32"/>
      <c r="M1811" s="34" t="str">
        <f aca="false">IF(OR(H1811="",L1811=""),"",H1811*L1811)</f>
        <v/>
      </c>
      <c r="N1811" s="34" t="str">
        <f aca="false">IF(OR(K1811="",M1811=""),"",K1811-M1811)</f>
        <v/>
      </c>
      <c r="O1811" s="35" t="str">
        <f aca="false">IF(OR(N1811="",K1811=""),"",IF(K1811=0,"",N1811/K1811))</f>
        <v/>
      </c>
      <c r="P1811" s="25"/>
      <c r="Q1811" s="25"/>
      <c r="R1811" s="25"/>
      <c r="S1811" s="36" t="str">
        <f aca="false">IF(A1811="","",YEAR(A1811)+IF(AND(FYStart&gt;1,MONTH(A1811)&gt;=FYStart),1,0))</f>
        <v/>
      </c>
      <c r="T1811" s="36" t="str">
        <f aca="false">IF(A1811="","",MOD(MONTH(A1811)-FYStart,12)+1)</f>
        <v/>
      </c>
      <c r="U1811" s="37" t="str">
        <f aca="false">IF(A1811="","",TEXT(A1811,"mmm"))</f>
        <v/>
      </c>
      <c r="V1811" s="37" t="str">
        <f aca="false">IF(Q1811="","",IFERROR(INDEX(Settings!$I$11:$I$15,MATCH(Q1811,Settings!$H$11:$H$15,0)),"No"))</f>
        <v/>
      </c>
      <c r="W1811" s="37" t="str">
        <f aca="false">IF(Q1811="","",IFERROR(INDEX(Settings!$J$11:$J$15,MATCH(Q1811,Settings!$H$11:$H$15,0)),"No"))</f>
        <v/>
      </c>
    </row>
    <row r="1812" customFormat="false" ht="15" hidden="false" customHeight="false" outlineLevel="0" collapsed="false">
      <c r="A1812" s="30"/>
      <c r="B1812" s="25"/>
      <c r="C1812" s="25"/>
      <c r="D1812" s="25"/>
      <c r="E1812" s="25"/>
      <c r="F1812" s="25"/>
      <c r="G1812" s="25"/>
      <c r="H1812" s="31"/>
      <c r="I1812" s="32"/>
      <c r="J1812" s="33"/>
      <c r="K1812" s="34" t="str">
        <f aca="false">IF(OR(H1812="",I1812=""),"",H1812*I1812*(1-N(J1812)))</f>
        <v/>
      </c>
      <c r="L1812" s="32"/>
      <c r="M1812" s="34" t="str">
        <f aca="false">IF(OR(H1812="",L1812=""),"",H1812*L1812)</f>
        <v/>
      </c>
      <c r="N1812" s="34" t="str">
        <f aca="false">IF(OR(K1812="",M1812=""),"",K1812-M1812)</f>
        <v/>
      </c>
      <c r="O1812" s="35" t="str">
        <f aca="false">IF(OR(N1812="",K1812=""),"",IF(K1812=0,"",N1812/K1812))</f>
        <v/>
      </c>
      <c r="P1812" s="25"/>
      <c r="Q1812" s="25"/>
      <c r="R1812" s="25"/>
      <c r="S1812" s="36" t="str">
        <f aca="false">IF(A1812="","",YEAR(A1812)+IF(AND(FYStart&gt;1,MONTH(A1812)&gt;=FYStart),1,0))</f>
        <v/>
      </c>
      <c r="T1812" s="36" t="str">
        <f aca="false">IF(A1812="","",MOD(MONTH(A1812)-FYStart,12)+1)</f>
        <v/>
      </c>
      <c r="U1812" s="37" t="str">
        <f aca="false">IF(A1812="","",TEXT(A1812,"mmm"))</f>
        <v/>
      </c>
      <c r="V1812" s="37" t="str">
        <f aca="false">IF(Q1812="","",IFERROR(INDEX(Settings!$I$11:$I$15,MATCH(Q1812,Settings!$H$11:$H$15,0)),"No"))</f>
        <v/>
      </c>
      <c r="W1812" s="37" t="str">
        <f aca="false">IF(Q1812="","",IFERROR(INDEX(Settings!$J$11:$J$15,MATCH(Q1812,Settings!$H$11:$H$15,0)),"No"))</f>
        <v/>
      </c>
    </row>
    <row r="1813" customFormat="false" ht="15" hidden="false" customHeight="false" outlineLevel="0" collapsed="false">
      <c r="A1813" s="30"/>
      <c r="B1813" s="25"/>
      <c r="C1813" s="25"/>
      <c r="D1813" s="25"/>
      <c r="E1813" s="25"/>
      <c r="F1813" s="25"/>
      <c r="G1813" s="25"/>
      <c r="H1813" s="31"/>
      <c r="I1813" s="32"/>
      <c r="J1813" s="33"/>
      <c r="K1813" s="34" t="str">
        <f aca="false">IF(OR(H1813="",I1813=""),"",H1813*I1813*(1-N(J1813)))</f>
        <v/>
      </c>
      <c r="L1813" s="32"/>
      <c r="M1813" s="34" t="str">
        <f aca="false">IF(OR(H1813="",L1813=""),"",H1813*L1813)</f>
        <v/>
      </c>
      <c r="N1813" s="34" t="str">
        <f aca="false">IF(OR(K1813="",M1813=""),"",K1813-M1813)</f>
        <v/>
      </c>
      <c r="O1813" s="35" t="str">
        <f aca="false">IF(OR(N1813="",K1813=""),"",IF(K1813=0,"",N1813/K1813))</f>
        <v/>
      </c>
      <c r="P1813" s="25"/>
      <c r="Q1813" s="25"/>
      <c r="R1813" s="25"/>
      <c r="S1813" s="36" t="str">
        <f aca="false">IF(A1813="","",YEAR(A1813)+IF(AND(FYStart&gt;1,MONTH(A1813)&gt;=FYStart),1,0))</f>
        <v/>
      </c>
      <c r="T1813" s="36" t="str">
        <f aca="false">IF(A1813="","",MOD(MONTH(A1813)-FYStart,12)+1)</f>
        <v/>
      </c>
      <c r="U1813" s="37" t="str">
        <f aca="false">IF(A1813="","",TEXT(A1813,"mmm"))</f>
        <v/>
      </c>
      <c r="V1813" s="37" t="str">
        <f aca="false">IF(Q1813="","",IFERROR(INDEX(Settings!$I$11:$I$15,MATCH(Q1813,Settings!$H$11:$H$15,0)),"No"))</f>
        <v/>
      </c>
      <c r="W1813" s="37" t="str">
        <f aca="false">IF(Q1813="","",IFERROR(INDEX(Settings!$J$11:$J$15,MATCH(Q1813,Settings!$H$11:$H$15,0)),"No"))</f>
        <v/>
      </c>
    </row>
    <row r="1814" customFormat="false" ht="15" hidden="false" customHeight="false" outlineLevel="0" collapsed="false">
      <c r="A1814" s="30"/>
      <c r="B1814" s="25"/>
      <c r="C1814" s="25"/>
      <c r="D1814" s="25"/>
      <c r="E1814" s="25"/>
      <c r="F1814" s="25"/>
      <c r="G1814" s="25"/>
      <c r="H1814" s="31"/>
      <c r="I1814" s="32"/>
      <c r="J1814" s="33"/>
      <c r="K1814" s="34" t="str">
        <f aca="false">IF(OR(H1814="",I1814=""),"",H1814*I1814*(1-N(J1814)))</f>
        <v/>
      </c>
      <c r="L1814" s="32"/>
      <c r="M1814" s="34" t="str">
        <f aca="false">IF(OR(H1814="",L1814=""),"",H1814*L1814)</f>
        <v/>
      </c>
      <c r="N1814" s="34" t="str">
        <f aca="false">IF(OR(K1814="",M1814=""),"",K1814-M1814)</f>
        <v/>
      </c>
      <c r="O1814" s="35" t="str">
        <f aca="false">IF(OR(N1814="",K1814=""),"",IF(K1814=0,"",N1814/K1814))</f>
        <v/>
      </c>
      <c r="P1814" s="25"/>
      <c r="Q1814" s="25"/>
      <c r="R1814" s="25"/>
      <c r="S1814" s="36" t="str">
        <f aca="false">IF(A1814="","",YEAR(A1814)+IF(AND(FYStart&gt;1,MONTH(A1814)&gt;=FYStart),1,0))</f>
        <v/>
      </c>
      <c r="T1814" s="36" t="str">
        <f aca="false">IF(A1814="","",MOD(MONTH(A1814)-FYStart,12)+1)</f>
        <v/>
      </c>
      <c r="U1814" s="37" t="str">
        <f aca="false">IF(A1814="","",TEXT(A1814,"mmm"))</f>
        <v/>
      </c>
      <c r="V1814" s="37" t="str">
        <f aca="false">IF(Q1814="","",IFERROR(INDEX(Settings!$I$11:$I$15,MATCH(Q1814,Settings!$H$11:$H$15,0)),"No"))</f>
        <v/>
      </c>
      <c r="W1814" s="37" t="str">
        <f aca="false">IF(Q1814="","",IFERROR(INDEX(Settings!$J$11:$J$15,MATCH(Q1814,Settings!$H$11:$H$15,0)),"No"))</f>
        <v/>
      </c>
    </row>
    <row r="1815" customFormat="false" ht="15" hidden="false" customHeight="false" outlineLevel="0" collapsed="false">
      <c r="A1815" s="30"/>
      <c r="B1815" s="25"/>
      <c r="C1815" s="25"/>
      <c r="D1815" s="25"/>
      <c r="E1815" s="25"/>
      <c r="F1815" s="25"/>
      <c r="G1815" s="25"/>
      <c r="H1815" s="31"/>
      <c r="I1815" s="32"/>
      <c r="J1815" s="33"/>
      <c r="K1815" s="34" t="str">
        <f aca="false">IF(OR(H1815="",I1815=""),"",H1815*I1815*(1-N(J1815)))</f>
        <v/>
      </c>
      <c r="L1815" s="32"/>
      <c r="M1815" s="34" t="str">
        <f aca="false">IF(OR(H1815="",L1815=""),"",H1815*L1815)</f>
        <v/>
      </c>
      <c r="N1815" s="34" t="str">
        <f aca="false">IF(OR(K1815="",M1815=""),"",K1815-M1815)</f>
        <v/>
      </c>
      <c r="O1815" s="35" t="str">
        <f aca="false">IF(OR(N1815="",K1815=""),"",IF(K1815=0,"",N1815/K1815))</f>
        <v/>
      </c>
      <c r="P1815" s="25"/>
      <c r="Q1815" s="25"/>
      <c r="R1815" s="25"/>
      <c r="S1815" s="36" t="str">
        <f aca="false">IF(A1815="","",YEAR(A1815)+IF(AND(FYStart&gt;1,MONTH(A1815)&gt;=FYStart),1,0))</f>
        <v/>
      </c>
      <c r="T1815" s="36" t="str">
        <f aca="false">IF(A1815="","",MOD(MONTH(A1815)-FYStart,12)+1)</f>
        <v/>
      </c>
      <c r="U1815" s="37" t="str">
        <f aca="false">IF(A1815="","",TEXT(A1815,"mmm"))</f>
        <v/>
      </c>
      <c r="V1815" s="37" t="str">
        <f aca="false">IF(Q1815="","",IFERROR(INDEX(Settings!$I$11:$I$15,MATCH(Q1815,Settings!$H$11:$H$15,0)),"No"))</f>
        <v/>
      </c>
      <c r="W1815" s="37" t="str">
        <f aca="false">IF(Q1815="","",IFERROR(INDEX(Settings!$J$11:$J$15,MATCH(Q1815,Settings!$H$11:$H$15,0)),"No"))</f>
        <v/>
      </c>
    </row>
    <row r="1816" customFormat="false" ht="15" hidden="false" customHeight="false" outlineLevel="0" collapsed="false">
      <c r="A1816" s="30"/>
      <c r="B1816" s="25"/>
      <c r="C1816" s="25"/>
      <c r="D1816" s="25"/>
      <c r="E1816" s="25"/>
      <c r="F1816" s="25"/>
      <c r="G1816" s="25"/>
      <c r="H1816" s="31"/>
      <c r="I1816" s="32"/>
      <c r="J1816" s="33"/>
      <c r="K1816" s="34" t="str">
        <f aca="false">IF(OR(H1816="",I1816=""),"",H1816*I1816*(1-N(J1816)))</f>
        <v/>
      </c>
      <c r="L1816" s="32"/>
      <c r="M1816" s="34" t="str">
        <f aca="false">IF(OR(H1816="",L1816=""),"",H1816*L1816)</f>
        <v/>
      </c>
      <c r="N1816" s="34" t="str">
        <f aca="false">IF(OR(K1816="",M1816=""),"",K1816-M1816)</f>
        <v/>
      </c>
      <c r="O1816" s="35" t="str">
        <f aca="false">IF(OR(N1816="",K1816=""),"",IF(K1816=0,"",N1816/K1816))</f>
        <v/>
      </c>
      <c r="P1816" s="25"/>
      <c r="Q1816" s="25"/>
      <c r="R1816" s="25"/>
      <c r="S1816" s="36" t="str">
        <f aca="false">IF(A1816="","",YEAR(A1816)+IF(AND(FYStart&gt;1,MONTH(A1816)&gt;=FYStart),1,0))</f>
        <v/>
      </c>
      <c r="T1816" s="36" t="str">
        <f aca="false">IF(A1816="","",MOD(MONTH(A1816)-FYStart,12)+1)</f>
        <v/>
      </c>
      <c r="U1816" s="37" t="str">
        <f aca="false">IF(A1816="","",TEXT(A1816,"mmm"))</f>
        <v/>
      </c>
      <c r="V1816" s="37" t="str">
        <f aca="false">IF(Q1816="","",IFERROR(INDEX(Settings!$I$11:$I$15,MATCH(Q1816,Settings!$H$11:$H$15,0)),"No"))</f>
        <v/>
      </c>
      <c r="W1816" s="37" t="str">
        <f aca="false">IF(Q1816="","",IFERROR(INDEX(Settings!$J$11:$J$15,MATCH(Q1816,Settings!$H$11:$H$15,0)),"No"))</f>
        <v/>
      </c>
    </row>
    <row r="1817" customFormat="false" ht="15" hidden="false" customHeight="false" outlineLevel="0" collapsed="false">
      <c r="A1817" s="30"/>
      <c r="B1817" s="25"/>
      <c r="C1817" s="25"/>
      <c r="D1817" s="25"/>
      <c r="E1817" s="25"/>
      <c r="F1817" s="25"/>
      <c r="G1817" s="25"/>
      <c r="H1817" s="31"/>
      <c r="I1817" s="32"/>
      <c r="J1817" s="33"/>
      <c r="K1817" s="34" t="str">
        <f aca="false">IF(OR(H1817="",I1817=""),"",H1817*I1817*(1-N(J1817)))</f>
        <v/>
      </c>
      <c r="L1817" s="32"/>
      <c r="M1817" s="34" t="str">
        <f aca="false">IF(OR(H1817="",L1817=""),"",H1817*L1817)</f>
        <v/>
      </c>
      <c r="N1817" s="34" t="str">
        <f aca="false">IF(OR(K1817="",M1817=""),"",K1817-M1817)</f>
        <v/>
      </c>
      <c r="O1817" s="35" t="str">
        <f aca="false">IF(OR(N1817="",K1817=""),"",IF(K1817=0,"",N1817/K1817))</f>
        <v/>
      </c>
      <c r="P1817" s="25"/>
      <c r="Q1817" s="25"/>
      <c r="R1817" s="25"/>
      <c r="S1817" s="36" t="str">
        <f aca="false">IF(A1817="","",YEAR(A1817)+IF(AND(FYStart&gt;1,MONTH(A1817)&gt;=FYStart),1,0))</f>
        <v/>
      </c>
      <c r="T1817" s="36" t="str">
        <f aca="false">IF(A1817="","",MOD(MONTH(A1817)-FYStart,12)+1)</f>
        <v/>
      </c>
      <c r="U1817" s="37" t="str">
        <f aca="false">IF(A1817="","",TEXT(A1817,"mmm"))</f>
        <v/>
      </c>
      <c r="V1817" s="37" t="str">
        <f aca="false">IF(Q1817="","",IFERROR(INDEX(Settings!$I$11:$I$15,MATCH(Q1817,Settings!$H$11:$H$15,0)),"No"))</f>
        <v/>
      </c>
      <c r="W1817" s="37" t="str">
        <f aca="false">IF(Q1817="","",IFERROR(INDEX(Settings!$J$11:$J$15,MATCH(Q1817,Settings!$H$11:$H$15,0)),"No"))</f>
        <v/>
      </c>
    </row>
    <row r="1818" customFormat="false" ht="15" hidden="false" customHeight="false" outlineLevel="0" collapsed="false">
      <c r="A1818" s="30"/>
      <c r="B1818" s="25"/>
      <c r="C1818" s="25"/>
      <c r="D1818" s="25"/>
      <c r="E1818" s="25"/>
      <c r="F1818" s="25"/>
      <c r="G1818" s="25"/>
      <c r="H1818" s="31"/>
      <c r="I1818" s="32"/>
      <c r="J1818" s="33"/>
      <c r="K1818" s="34" t="str">
        <f aca="false">IF(OR(H1818="",I1818=""),"",H1818*I1818*(1-N(J1818)))</f>
        <v/>
      </c>
      <c r="L1818" s="32"/>
      <c r="M1818" s="34" t="str">
        <f aca="false">IF(OR(H1818="",L1818=""),"",H1818*L1818)</f>
        <v/>
      </c>
      <c r="N1818" s="34" t="str">
        <f aca="false">IF(OR(K1818="",M1818=""),"",K1818-M1818)</f>
        <v/>
      </c>
      <c r="O1818" s="35" t="str">
        <f aca="false">IF(OR(N1818="",K1818=""),"",IF(K1818=0,"",N1818/K1818))</f>
        <v/>
      </c>
      <c r="P1818" s="25"/>
      <c r="Q1818" s="25"/>
      <c r="R1818" s="25"/>
      <c r="S1818" s="36" t="str">
        <f aca="false">IF(A1818="","",YEAR(A1818)+IF(AND(FYStart&gt;1,MONTH(A1818)&gt;=FYStart),1,0))</f>
        <v/>
      </c>
      <c r="T1818" s="36" t="str">
        <f aca="false">IF(A1818="","",MOD(MONTH(A1818)-FYStart,12)+1)</f>
        <v/>
      </c>
      <c r="U1818" s="37" t="str">
        <f aca="false">IF(A1818="","",TEXT(A1818,"mmm"))</f>
        <v/>
      </c>
      <c r="V1818" s="37" t="str">
        <f aca="false">IF(Q1818="","",IFERROR(INDEX(Settings!$I$11:$I$15,MATCH(Q1818,Settings!$H$11:$H$15,0)),"No"))</f>
        <v/>
      </c>
      <c r="W1818" s="37" t="str">
        <f aca="false">IF(Q1818="","",IFERROR(INDEX(Settings!$J$11:$J$15,MATCH(Q1818,Settings!$H$11:$H$15,0)),"No"))</f>
        <v/>
      </c>
    </row>
    <row r="1819" customFormat="false" ht="15" hidden="false" customHeight="false" outlineLevel="0" collapsed="false">
      <c r="A1819" s="30"/>
      <c r="B1819" s="25"/>
      <c r="C1819" s="25"/>
      <c r="D1819" s="25"/>
      <c r="E1819" s="25"/>
      <c r="F1819" s="25"/>
      <c r="G1819" s="25"/>
      <c r="H1819" s="31"/>
      <c r="I1819" s="32"/>
      <c r="J1819" s="33"/>
      <c r="K1819" s="34" t="str">
        <f aca="false">IF(OR(H1819="",I1819=""),"",H1819*I1819*(1-N(J1819)))</f>
        <v/>
      </c>
      <c r="L1819" s="32"/>
      <c r="M1819" s="34" t="str">
        <f aca="false">IF(OR(H1819="",L1819=""),"",H1819*L1819)</f>
        <v/>
      </c>
      <c r="N1819" s="34" t="str">
        <f aca="false">IF(OR(K1819="",M1819=""),"",K1819-M1819)</f>
        <v/>
      </c>
      <c r="O1819" s="35" t="str">
        <f aca="false">IF(OR(N1819="",K1819=""),"",IF(K1819=0,"",N1819/K1819))</f>
        <v/>
      </c>
      <c r="P1819" s="25"/>
      <c r="Q1819" s="25"/>
      <c r="R1819" s="25"/>
      <c r="S1819" s="36" t="str">
        <f aca="false">IF(A1819="","",YEAR(A1819)+IF(AND(FYStart&gt;1,MONTH(A1819)&gt;=FYStart),1,0))</f>
        <v/>
      </c>
      <c r="T1819" s="36" t="str">
        <f aca="false">IF(A1819="","",MOD(MONTH(A1819)-FYStart,12)+1)</f>
        <v/>
      </c>
      <c r="U1819" s="37" t="str">
        <f aca="false">IF(A1819="","",TEXT(A1819,"mmm"))</f>
        <v/>
      </c>
      <c r="V1819" s="37" t="str">
        <f aca="false">IF(Q1819="","",IFERROR(INDEX(Settings!$I$11:$I$15,MATCH(Q1819,Settings!$H$11:$H$15,0)),"No"))</f>
        <v/>
      </c>
      <c r="W1819" s="37" t="str">
        <f aca="false">IF(Q1819="","",IFERROR(INDEX(Settings!$J$11:$J$15,MATCH(Q1819,Settings!$H$11:$H$15,0)),"No"))</f>
        <v/>
      </c>
    </row>
    <row r="1820" customFormat="false" ht="15" hidden="false" customHeight="false" outlineLevel="0" collapsed="false">
      <c r="A1820" s="30"/>
      <c r="B1820" s="25"/>
      <c r="C1820" s="25"/>
      <c r="D1820" s="25"/>
      <c r="E1820" s="25"/>
      <c r="F1820" s="25"/>
      <c r="G1820" s="25"/>
      <c r="H1820" s="31"/>
      <c r="I1820" s="32"/>
      <c r="J1820" s="33"/>
      <c r="K1820" s="34" t="str">
        <f aca="false">IF(OR(H1820="",I1820=""),"",H1820*I1820*(1-N(J1820)))</f>
        <v/>
      </c>
      <c r="L1820" s="32"/>
      <c r="M1820" s="34" t="str">
        <f aca="false">IF(OR(H1820="",L1820=""),"",H1820*L1820)</f>
        <v/>
      </c>
      <c r="N1820" s="34" t="str">
        <f aca="false">IF(OR(K1820="",M1820=""),"",K1820-M1820)</f>
        <v/>
      </c>
      <c r="O1820" s="35" t="str">
        <f aca="false">IF(OR(N1820="",K1820=""),"",IF(K1820=0,"",N1820/K1820))</f>
        <v/>
      </c>
      <c r="P1820" s="25"/>
      <c r="Q1820" s="25"/>
      <c r="R1820" s="25"/>
      <c r="S1820" s="36" t="str">
        <f aca="false">IF(A1820="","",YEAR(A1820)+IF(AND(FYStart&gt;1,MONTH(A1820)&gt;=FYStart),1,0))</f>
        <v/>
      </c>
      <c r="T1820" s="36" t="str">
        <f aca="false">IF(A1820="","",MOD(MONTH(A1820)-FYStart,12)+1)</f>
        <v/>
      </c>
      <c r="U1820" s="37" t="str">
        <f aca="false">IF(A1820="","",TEXT(A1820,"mmm"))</f>
        <v/>
      </c>
      <c r="V1820" s="37" t="str">
        <f aca="false">IF(Q1820="","",IFERROR(INDEX(Settings!$I$11:$I$15,MATCH(Q1820,Settings!$H$11:$H$15,0)),"No"))</f>
        <v/>
      </c>
      <c r="W1820" s="37" t="str">
        <f aca="false">IF(Q1820="","",IFERROR(INDEX(Settings!$J$11:$J$15,MATCH(Q1820,Settings!$H$11:$H$15,0)),"No"))</f>
        <v/>
      </c>
    </row>
    <row r="1821" customFormat="false" ht="15" hidden="false" customHeight="false" outlineLevel="0" collapsed="false">
      <c r="A1821" s="30"/>
      <c r="B1821" s="25"/>
      <c r="C1821" s="25"/>
      <c r="D1821" s="25"/>
      <c r="E1821" s="25"/>
      <c r="F1821" s="25"/>
      <c r="G1821" s="25"/>
      <c r="H1821" s="31"/>
      <c r="I1821" s="32"/>
      <c r="J1821" s="33"/>
      <c r="K1821" s="34" t="str">
        <f aca="false">IF(OR(H1821="",I1821=""),"",H1821*I1821*(1-N(J1821)))</f>
        <v/>
      </c>
      <c r="L1821" s="32"/>
      <c r="M1821" s="34" t="str">
        <f aca="false">IF(OR(H1821="",L1821=""),"",H1821*L1821)</f>
        <v/>
      </c>
      <c r="N1821" s="34" t="str">
        <f aca="false">IF(OR(K1821="",M1821=""),"",K1821-M1821)</f>
        <v/>
      </c>
      <c r="O1821" s="35" t="str">
        <f aca="false">IF(OR(N1821="",K1821=""),"",IF(K1821=0,"",N1821/K1821))</f>
        <v/>
      </c>
      <c r="P1821" s="25"/>
      <c r="Q1821" s="25"/>
      <c r="R1821" s="25"/>
      <c r="S1821" s="36" t="str">
        <f aca="false">IF(A1821="","",YEAR(A1821)+IF(AND(FYStart&gt;1,MONTH(A1821)&gt;=FYStart),1,0))</f>
        <v/>
      </c>
      <c r="T1821" s="36" t="str">
        <f aca="false">IF(A1821="","",MOD(MONTH(A1821)-FYStart,12)+1)</f>
        <v/>
      </c>
      <c r="U1821" s="37" t="str">
        <f aca="false">IF(A1821="","",TEXT(A1821,"mmm"))</f>
        <v/>
      </c>
      <c r="V1821" s="37" t="str">
        <f aca="false">IF(Q1821="","",IFERROR(INDEX(Settings!$I$11:$I$15,MATCH(Q1821,Settings!$H$11:$H$15,0)),"No"))</f>
        <v/>
      </c>
      <c r="W1821" s="37" t="str">
        <f aca="false">IF(Q1821="","",IFERROR(INDEX(Settings!$J$11:$J$15,MATCH(Q1821,Settings!$H$11:$H$15,0)),"No"))</f>
        <v/>
      </c>
    </row>
    <row r="1822" customFormat="false" ht="15" hidden="false" customHeight="false" outlineLevel="0" collapsed="false">
      <c r="A1822" s="30"/>
      <c r="B1822" s="25"/>
      <c r="C1822" s="25"/>
      <c r="D1822" s="25"/>
      <c r="E1822" s="25"/>
      <c r="F1822" s="25"/>
      <c r="G1822" s="25"/>
      <c r="H1822" s="31"/>
      <c r="I1822" s="32"/>
      <c r="J1822" s="33"/>
      <c r="K1822" s="34" t="str">
        <f aca="false">IF(OR(H1822="",I1822=""),"",H1822*I1822*(1-N(J1822)))</f>
        <v/>
      </c>
      <c r="L1822" s="32"/>
      <c r="M1822" s="34" t="str">
        <f aca="false">IF(OR(H1822="",L1822=""),"",H1822*L1822)</f>
        <v/>
      </c>
      <c r="N1822" s="34" t="str">
        <f aca="false">IF(OR(K1822="",M1822=""),"",K1822-M1822)</f>
        <v/>
      </c>
      <c r="O1822" s="35" t="str">
        <f aca="false">IF(OR(N1822="",K1822=""),"",IF(K1822=0,"",N1822/K1822))</f>
        <v/>
      </c>
      <c r="P1822" s="25"/>
      <c r="Q1822" s="25"/>
      <c r="R1822" s="25"/>
      <c r="S1822" s="36" t="str">
        <f aca="false">IF(A1822="","",YEAR(A1822)+IF(AND(FYStart&gt;1,MONTH(A1822)&gt;=FYStart),1,0))</f>
        <v/>
      </c>
      <c r="T1822" s="36" t="str">
        <f aca="false">IF(A1822="","",MOD(MONTH(A1822)-FYStart,12)+1)</f>
        <v/>
      </c>
      <c r="U1822" s="37" t="str">
        <f aca="false">IF(A1822="","",TEXT(A1822,"mmm"))</f>
        <v/>
      </c>
      <c r="V1822" s="37" t="str">
        <f aca="false">IF(Q1822="","",IFERROR(INDEX(Settings!$I$11:$I$15,MATCH(Q1822,Settings!$H$11:$H$15,0)),"No"))</f>
        <v/>
      </c>
      <c r="W1822" s="37" t="str">
        <f aca="false">IF(Q1822="","",IFERROR(INDEX(Settings!$J$11:$J$15,MATCH(Q1822,Settings!$H$11:$H$15,0)),"No"))</f>
        <v/>
      </c>
    </row>
    <row r="1823" customFormat="false" ht="15" hidden="false" customHeight="false" outlineLevel="0" collapsed="false">
      <c r="A1823" s="30"/>
      <c r="B1823" s="25"/>
      <c r="C1823" s="25"/>
      <c r="D1823" s="25"/>
      <c r="E1823" s="25"/>
      <c r="F1823" s="25"/>
      <c r="G1823" s="25"/>
      <c r="H1823" s="31"/>
      <c r="I1823" s="32"/>
      <c r="J1823" s="33"/>
      <c r="K1823" s="34" t="str">
        <f aca="false">IF(OR(H1823="",I1823=""),"",H1823*I1823*(1-N(J1823)))</f>
        <v/>
      </c>
      <c r="L1823" s="32"/>
      <c r="M1823" s="34" t="str">
        <f aca="false">IF(OR(H1823="",L1823=""),"",H1823*L1823)</f>
        <v/>
      </c>
      <c r="N1823" s="34" t="str">
        <f aca="false">IF(OR(K1823="",M1823=""),"",K1823-M1823)</f>
        <v/>
      </c>
      <c r="O1823" s="35" t="str">
        <f aca="false">IF(OR(N1823="",K1823=""),"",IF(K1823=0,"",N1823/K1823))</f>
        <v/>
      </c>
      <c r="P1823" s="25"/>
      <c r="Q1823" s="25"/>
      <c r="R1823" s="25"/>
      <c r="S1823" s="36" t="str">
        <f aca="false">IF(A1823="","",YEAR(A1823)+IF(AND(FYStart&gt;1,MONTH(A1823)&gt;=FYStart),1,0))</f>
        <v/>
      </c>
      <c r="T1823" s="36" t="str">
        <f aca="false">IF(A1823="","",MOD(MONTH(A1823)-FYStart,12)+1)</f>
        <v/>
      </c>
      <c r="U1823" s="37" t="str">
        <f aca="false">IF(A1823="","",TEXT(A1823,"mmm"))</f>
        <v/>
      </c>
      <c r="V1823" s="37" t="str">
        <f aca="false">IF(Q1823="","",IFERROR(INDEX(Settings!$I$11:$I$15,MATCH(Q1823,Settings!$H$11:$H$15,0)),"No"))</f>
        <v/>
      </c>
      <c r="W1823" s="37" t="str">
        <f aca="false">IF(Q1823="","",IFERROR(INDEX(Settings!$J$11:$J$15,MATCH(Q1823,Settings!$H$11:$H$15,0)),"No"))</f>
        <v/>
      </c>
    </row>
    <row r="1824" customFormat="false" ht="15" hidden="false" customHeight="false" outlineLevel="0" collapsed="false">
      <c r="A1824" s="30"/>
      <c r="B1824" s="25"/>
      <c r="C1824" s="25"/>
      <c r="D1824" s="25"/>
      <c r="E1824" s="25"/>
      <c r="F1824" s="25"/>
      <c r="G1824" s="25"/>
      <c r="H1824" s="31"/>
      <c r="I1824" s="32"/>
      <c r="J1824" s="33"/>
      <c r="K1824" s="34" t="str">
        <f aca="false">IF(OR(H1824="",I1824=""),"",H1824*I1824*(1-N(J1824)))</f>
        <v/>
      </c>
      <c r="L1824" s="32"/>
      <c r="M1824" s="34" t="str">
        <f aca="false">IF(OR(H1824="",L1824=""),"",H1824*L1824)</f>
        <v/>
      </c>
      <c r="N1824" s="34" t="str">
        <f aca="false">IF(OR(K1824="",M1824=""),"",K1824-M1824)</f>
        <v/>
      </c>
      <c r="O1824" s="35" t="str">
        <f aca="false">IF(OR(N1824="",K1824=""),"",IF(K1824=0,"",N1824/K1824))</f>
        <v/>
      </c>
      <c r="P1824" s="25"/>
      <c r="Q1824" s="25"/>
      <c r="R1824" s="25"/>
      <c r="S1824" s="36" t="str">
        <f aca="false">IF(A1824="","",YEAR(A1824)+IF(AND(FYStart&gt;1,MONTH(A1824)&gt;=FYStart),1,0))</f>
        <v/>
      </c>
      <c r="T1824" s="36" t="str">
        <f aca="false">IF(A1824="","",MOD(MONTH(A1824)-FYStart,12)+1)</f>
        <v/>
      </c>
      <c r="U1824" s="37" t="str">
        <f aca="false">IF(A1824="","",TEXT(A1824,"mmm"))</f>
        <v/>
      </c>
      <c r="V1824" s="37" t="str">
        <f aca="false">IF(Q1824="","",IFERROR(INDEX(Settings!$I$11:$I$15,MATCH(Q1824,Settings!$H$11:$H$15,0)),"No"))</f>
        <v/>
      </c>
      <c r="W1824" s="37" t="str">
        <f aca="false">IF(Q1824="","",IFERROR(INDEX(Settings!$J$11:$J$15,MATCH(Q1824,Settings!$H$11:$H$15,0)),"No"))</f>
        <v/>
      </c>
    </row>
    <row r="1825" customFormat="false" ht="15" hidden="false" customHeight="false" outlineLevel="0" collapsed="false">
      <c r="A1825" s="30"/>
      <c r="B1825" s="25"/>
      <c r="C1825" s="25"/>
      <c r="D1825" s="25"/>
      <c r="E1825" s="25"/>
      <c r="F1825" s="25"/>
      <c r="G1825" s="25"/>
      <c r="H1825" s="31"/>
      <c r="I1825" s="32"/>
      <c r="J1825" s="33"/>
      <c r="K1825" s="34" t="str">
        <f aca="false">IF(OR(H1825="",I1825=""),"",H1825*I1825*(1-N(J1825)))</f>
        <v/>
      </c>
      <c r="L1825" s="32"/>
      <c r="M1825" s="34" t="str">
        <f aca="false">IF(OR(H1825="",L1825=""),"",H1825*L1825)</f>
        <v/>
      </c>
      <c r="N1825" s="34" t="str">
        <f aca="false">IF(OR(K1825="",M1825=""),"",K1825-M1825)</f>
        <v/>
      </c>
      <c r="O1825" s="35" t="str">
        <f aca="false">IF(OR(N1825="",K1825=""),"",IF(K1825=0,"",N1825/K1825))</f>
        <v/>
      </c>
      <c r="P1825" s="25"/>
      <c r="Q1825" s="25"/>
      <c r="R1825" s="25"/>
      <c r="S1825" s="36" t="str">
        <f aca="false">IF(A1825="","",YEAR(A1825)+IF(AND(FYStart&gt;1,MONTH(A1825)&gt;=FYStart),1,0))</f>
        <v/>
      </c>
      <c r="T1825" s="36" t="str">
        <f aca="false">IF(A1825="","",MOD(MONTH(A1825)-FYStart,12)+1)</f>
        <v/>
      </c>
      <c r="U1825" s="37" t="str">
        <f aca="false">IF(A1825="","",TEXT(A1825,"mmm"))</f>
        <v/>
      </c>
      <c r="V1825" s="37" t="str">
        <f aca="false">IF(Q1825="","",IFERROR(INDEX(Settings!$I$11:$I$15,MATCH(Q1825,Settings!$H$11:$H$15,0)),"No"))</f>
        <v/>
      </c>
      <c r="W1825" s="37" t="str">
        <f aca="false">IF(Q1825="","",IFERROR(INDEX(Settings!$J$11:$J$15,MATCH(Q1825,Settings!$H$11:$H$15,0)),"No"))</f>
        <v/>
      </c>
    </row>
    <row r="1826" customFormat="false" ht="15" hidden="false" customHeight="false" outlineLevel="0" collapsed="false">
      <c r="A1826" s="30"/>
      <c r="B1826" s="25"/>
      <c r="C1826" s="25"/>
      <c r="D1826" s="25"/>
      <c r="E1826" s="25"/>
      <c r="F1826" s="25"/>
      <c r="G1826" s="25"/>
      <c r="H1826" s="31"/>
      <c r="I1826" s="32"/>
      <c r="J1826" s="33"/>
      <c r="K1826" s="34" t="str">
        <f aca="false">IF(OR(H1826="",I1826=""),"",H1826*I1826*(1-N(J1826)))</f>
        <v/>
      </c>
      <c r="L1826" s="32"/>
      <c r="M1826" s="34" t="str">
        <f aca="false">IF(OR(H1826="",L1826=""),"",H1826*L1826)</f>
        <v/>
      </c>
      <c r="N1826" s="34" t="str">
        <f aca="false">IF(OR(K1826="",M1826=""),"",K1826-M1826)</f>
        <v/>
      </c>
      <c r="O1826" s="35" t="str">
        <f aca="false">IF(OR(N1826="",K1826=""),"",IF(K1826=0,"",N1826/K1826))</f>
        <v/>
      </c>
      <c r="P1826" s="25"/>
      <c r="Q1826" s="25"/>
      <c r="R1826" s="25"/>
      <c r="S1826" s="36" t="str">
        <f aca="false">IF(A1826="","",YEAR(A1826)+IF(AND(FYStart&gt;1,MONTH(A1826)&gt;=FYStart),1,0))</f>
        <v/>
      </c>
      <c r="T1826" s="36" t="str">
        <f aca="false">IF(A1826="","",MOD(MONTH(A1826)-FYStart,12)+1)</f>
        <v/>
      </c>
      <c r="U1826" s="37" t="str">
        <f aca="false">IF(A1826="","",TEXT(A1826,"mmm"))</f>
        <v/>
      </c>
      <c r="V1826" s="37" t="str">
        <f aca="false">IF(Q1826="","",IFERROR(INDEX(Settings!$I$11:$I$15,MATCH(Q1826,Settings!$H$11:$H$15,0)),"No"))</f>
        <v/>
      </c>
      <c r="W1826" s="37" t="str">
        <f aca="false">IF(Q1826="","",IFERROR(INDEX(Settings!$J$11:$J$15,MATCH(Q1826,Settings!$H$11:$H$15,0)),"No"))</f>
        <v/>
      </c>
    </row>
    <row r="1827" customFormat="false" ht="15" hidden="false" customHeight="false" outlineLevel="0" collapsed="false">
      <c r="A1827" s="30"/>
      <c r="B1827" s="25"/>
      <c r="C1827" s="25"/>
      <c r="D1827" s="25"/>
      <c r="E1827" s="25"/>
      <c r="F1827" s="25"/>
      <c r="G1827" s="25"/>
      <c r="H1827" s="31"/>
      <c r="I1827" s="32"/>
      <c r="J1827" s="33"/>
      <c r="K1827" s="34" t="str">
        <f aca="false">IF(OR(H1827="",I1827=""),"",H1827*I1827*(1-N(J1827)))</f>
        <v/>
      </c>
      <c r="L1827" s="32"/>
      <c r="M1827" s="34" t="str">
        <f aca="false">IF(OR(H1827="",L1827=""),"",H1827*L1827)</f>
        <v/>
      </c>
      <c r="N1827" s="34" t="str">
        <f aca="false">IF(OR(K1827="",M1827=""),"",K1827-M1827)</f>
        <v/>
      </c>
      <c r="O1827" s="35" t="str">
        <f aca="false">IF(OR(N1827="",K1827=""),"",IF(K1827=0,"",N1827/K1827))</f>
        <v/>
      </c>
      <c r="P1827" s="25"/>
      <c r="Q1827" s="25"/>
      <c r="R1827" s="25"/>
      <c r="S1827" s="36" t="str">
        <f aca="false">IF(A1827="","",YEAR(A1827)+IF(AND(FYStart&gt;1,MONTH(A1827)&gt;=FYStart),1,0))</f>
        <v/>
      </c>
      <c r="T1827" s="36" t="str">
        <f aca="false">IF(A1827="","",MOD(MONTH(A1827)-FYStart,12)+1)</f>
        <v/>
      </c>
      <c r="U1827" s="37" t="str">
        <f aca="false">IF(A1827="","",TEXT(A1827,"mmm"))</f>
        <v/>
      </c>
      <c r="V1827" s="37" t="str">
        <f aca="false">IF(Q1827="","",IFERROR(INDEX(Settings!$I$11:$I$15,MATCH(Q1827,Settings!$H$11:$H$15,0)),"No"))</f>
        <v/>
      </c>
      <c r="W1827" s="37" t="str">
        <f aca="false">IF(Q1827="","",IFERROR(INDEX(Settings!$J$11:$J$15,MATCH(Q1827,Settings!$H$11:$H$15,0)),"No"))</f>
        <v/>
      </c>
    </row>
    <row r="1828" customFormat="false" ht="15" hidden="false" customHeight="false" outlineLevel="0" collapsed="false">
      <c r="A1828" s="30"/>
      <c r="B1828" s="25"/>
      <c r="C1828" s="25"/>
      <c r="D1828" s="25"/>
      <c r="E1828" s="25"/>
      <c r="F1828" s="25"/>
      <c r="G1828" s="25"/>
      <c r="H1828" s="31"/>
      <c r="I1828" s="32"/>
      <c r="J1828" s="33"/>
      <c r="K1828" s="34" t="str">
        <f aca="false">IF(OR(H1828="",I1828=""),"",H1828*I1828*(1-N(J1828)))</f>
        <v/>
      </c>
      <c r="L1828" s="32"/>
      <c r="M1828" s="34" t="str">
        <f aca="false">IF(OR(H1828="",L1828=""),"",H1828*L1828)</f>
        <v/>
      </c>
      <c r="N1828" s="34" t="str">
        <f aca="false">IF(OR(K1828="",M1828=""),"",K1828-M1828)</f>
        <v/>
      </c>
      <c r="O1828" s="35" t="str">
        <f aca="false">IF(OR(N1828="",K1828=""),"",IF(K1828=0,"",N1828/K1828))</f>
        <v/>
      </c>
      <c r="P1828" s="25"/>
      <c r="Q1828" s="25"/>
      <c r="R1828" s="25"/>
      <c r="S1828" s="36" t="str">
        <f aca="false">IF(A1828="","",YEAR(A1828)+IF(AND(FYStart&gt;1,MONTH(A1828)&gt;=FYStart),1,0))</f>
        <v/>
      </c>
      <c r="T1828" s="36" t="str">
        <f aca="false">IF(A1828="","",MOD(MONTH(A1828)-FYStart,12)+1)</f>
        <v/>
      </c>
      <c r="U1828" s="37" t="str">
        <f aca="false">IF(A1828="","",TEXT(A1828,"mmm"))</f>
        <v/>
      </c>
      <c r="V1828" s="37" t="str">
        <f aca="false">IF(Q1828="","",IFERROR(INDEX(Settings!$I$11:$I$15,MATCH(Q1828,Settings!$H$11:$H$15,0)),"No"))</f>
        <v/>
      </c>
      <c r="W1828" s="37" t="str">
        <f aca="false">IF(Q1828="","",IFERROR(INDEX(Settings!$J$11:$J$15,MATCH(Q1828,Settings!$H$11:$H$15,0)),"No"))</f>
        <v/>
      </c>
    </row>
    <row r="1829" customFormat="false" ht="15" hidden="false" customHeight="false" outlineLevel="0" collapsed="false">
      <c r="A1829" s="30"/>
      <c r="B1829" s="25"/>
      <c r="C1829" s="25"/>
      <c r="D1829" s="25"/>
      <c r="E1829" s="25"/>
      <c r="F1829" s="25"/>
      <c r="G1829" s="25"/>
      <c r="H1829" s="31"/>
      <c r="I1829" s="32"/>
      <c r="J1829" s="33"/>
      <c r="K1829" s="34" t="str">
        <f aca="false">IF(OR(H1829="",I1829=""),"",H1829*I1829*(1-N(J1829)))</f>
        <v/>
      </c>
      <c r="L1829" s="32"/>
      <c r="M1829" s="34" t="str">
        <f aca="false">IF(OR(H1829="",L1829=""),"",H1829*L1829)</f>
        <v/>
      </c>
      <c r="N1829" s="34" t="str">
        <f aca="false">IF(OR(K1829="",M1829=""),"",K1829-M1829)</f>
        <v/>
      </c>
      <c r="O1829" s="35" t="str">
        <f aca="false">IF(OR(N1829="",K1829=""),"",IF(K1829=0,"",N1829/K1829))</f>
        <v/>
      </c>
      <c r="P1829" s="25"/>
      <c r="Q1829" s="25"/>
      <c r="R1829" s="25"/>
      <c r="S1829" s="36" t="str">
        <f aca="false">IF(A1829="","",YEAR(A1829)+IF(AND(FYStart&gt;1,MONTH(A1829)&gt;=FYStart),1,0))</f>
        <v/>
      </c>
      <c r="T1829" s="36" t="str">
        <f aca="false">IF(A1829="","",MOD(MONTH(A1829)-FYStart,12)+1)</f>
        <v/>
      </c>
      <c r="U1829" s="37" t="str">
        <f aca="false">IF(A1829="","",TEXT(A1829,"mmm"))</f>
        <v/>
      </c>
      <c r="V1829" s="37" t="str">
        <f aca="false">IF(Q1829="","",IFERROR(INDEX(Settings!$I$11:$I$15,MATCH(Q1829,Settings!$H$11:$H$15,0)),"No"))</f>
        <v/>
      </c>
      <c r="W1829" s="37" t="str">
        <f aca="false">IF(Q1829="","",IFERROR(INDEX(Settings!$J$11:$J$15,MATCH(Q1829,Settings!$H$11:$H$15,0)),"No"))</f>
        <v/>
      </c>
    </row>
    <row r="1830" customFormat="false" ht="15" hidden="false" customHeight="false" outlineLevel="0" collapsed="false">
      <c r="A1830" s="30"/>
      <c r="B1830" s="25"/>
      <c r="C1830" s="25"/>
      <c r="D1830" s="25"/>
      <c r="E1830" s="25"/>
      <c r="F1830" s="25"/>
      <c r="G1830" s="25"/>
      <c r="H1830" s="31"/>
      <c r="I1830" s="32"/>
      <c r="J1830" s="33"/>
      <c r="K1830" s="34" t="str">
        <f aca="false">IF(OR(H1830="",I1830=""),"",H1830*I1830*(1-N(J1830)))</f>
        <v/>
      </c>
      <c r="L1830" s="32"/>
      <c r="M1830" s="34" t="str">
        <f aca="false">IF(OR(H1830="",L1830=""),"",H1830*L1830)</f>
        <v/>
      </c>
      <c r="N1830" s="34" t="str">
        <f aca="false">IF(OR(K1830="",M1830=""),"",K1830-M1830)</f>
        <v/>
      </c>
      <c r="O1830" s="35" t="str">
        <f aca="false">IF(OR(N1830="",K1830=""),"",IF(K1830=0,"",N1830/K1830))</f>
        <v/>
      </c>
      <c r="P1830" s="25"/>
      <c r="Q1830" s="25"/>
      <c r="R1830" s="25"/>
      <c r="S1830" s="36" t="str">
        <f aca="false">IF(A1830="","",YEAR(A1830)+IF(AND(FYStart&gt;1,MONTH(A1830)&gt;=FYStart),1,0))</f>
        <v/>
      </c>
      <c r="T1830" s="36" t="str">
        <f aca="false">IF(A1830="","",MOD(MONTH(A1830)-FYStart,12)+1)</f>
        <v/>
      </c>
      <c r="U1830" s="37" t="str">
        <f aca="false">IF(A1830="","",TEXT(A1830,"mmm"))</f>
        <v/>
      </c>
      <c r="V1830" s="37" t="str">
        <f aca="false">IF(Q1830="","",IFERROR(INDEX(Settings!$I$11:$I$15,MATCH(Q1830,Settings!$H$11:$H$15,0)),"No"))</f>
        <v/>
      </c>
      <c r="W1830" s="37" t="str">
        <f aca="false">IF(Q1830="","",IFERROR(INDEX(Settings!$J$11:$J$15,MATCH(Q1830,Settings!$H$11:$H$15,0)),"No"))</f>
        <v/>
      </c>
    </row>
    <row r="1831" customFormat="false" ht="15" hidden="false" customHeight="false" outlineLevel="0" collapsed="false">
      <c r="A1831" s="30"/>
      <c r="B1831" s="25"/>
      <c r="C1831" s="25"/>
      <c r="D1831" s="25"/>
      <c r="E1831" s="25"/>
      <c r="F1831" s="25"/>
      <c r="G1831" s="25"/>
      <c r="H1831" s="31"/>
      <c r="I1831" s="32"/>
      <c r="J1831" s="33"/>
      <c r="K1831" s="34" t="str">
        <f aca="false">IF(OR(H1831="",I1831=""),"",H1831*I1831*(1-N(J1831)))</f>
        <v/>
      </c>
      <c r="L1831" s="32"/>
      <c r="M1831" s="34" t="str">
        <f aca="false">IF(OR(H1831="",L1831=""),"",H1831*L1831)</f>
        <v/>
      </c>
      <c r="N1831" s="34" t="str">
        <f aca="false">IF(OR(K1831="",M1831=""),"",K1831-M1831)</f>
        <v/>
      </c>
      <c r="O1831" s="35" t="str">
        <f aca="false">IF(OR(N1831="",K1831=""),"",IF(K1831=0,"",N1831/K1831))</f>
        <v/>
      </c>
      <c r="P1831" s="25"/>
      <c r="Q1831" s="25"/>
      <c r="R1831" s="25"/>
      <c r="S1831" s="36" t="str">
        <f aca="false">IF(A1831="","",YEAR(A1831)+IF(AND(FYStart&gt;1,MONTH(A1831)&gt;=FYStart),1,0))</f>
        <v/>
      </c>
      <c r="T1831" s="36" t="str">
        <f aca="false">IF(A1831="","",MOD(MONTH(A1831)-FYStart,12)+1)</f>
        <v/>
      </c>
      <c r="U1831" s="37" t="str">
        <f aca="false">IF(A1831="","",TEXT(A1831,"mmm"))</f>
        <v/>
      </c>
      <c r="V1831" s="37" t="str">
        <f aca="false">IF(Q1831="","",IFERROR(INDEX(Settings!$I$11:$I$15,MATCH(Q1831,Settings!$H$11:$H$15,0)),"No"))</f>
        <v/>
      </c>
      <c r="W1831" s="37" t="str">
        <f aca="false">IF(Q1831="","",IFERROR(INDEX(Settings!$J$11:$J$15,MATCH(Q1831,Settings!$H$11:$H$15,0)),"No"))</f>
        <v/>
      </c>
    </row>
    <row r="1832" customFormat="false" ht="15" hidden="false" customHeight="false" outlineLevel="0" collapsed="false">
      <c r="A1832" s="30"/>
      <c r="B1832" s="25"/>
      <c r="C1832" s="25"/>
      <c r="D1832" s="25"/>
      <c r="E1832" s="25"/>
      <c r="F1832" s="25"/>
      <c r="G1832" s="25"/>
      <c r="H1832" s="31"/>
      <c r="I1832" s="32"/>
      <c r="J1832" s="33"/>
      <c r="K1832" s="34" t="str">
        <f aca="false">IF(OR(H1832="",I1832=""),"",H1832*I1832*(1-N(J1832)))</f>
        <v/>
      </c>
      <c r="L1832" s="32"/>
      <c r="M1832" s="34" t="str">
        <f aca="false">IF(OR(H1832="",L1832=""),"",H1832*L1832)</f>
        <v/>
      </c>
      <c r="N1832" s="34" t="str">
        <f aca="false">IF(OR(K1832="",M1832=""),"",K1832-M1832)</f>
        <v/>
      </c>
      <c r="O1832" s="35" t="str">
        <f aca="false">IF(OR(N1832="",K1832=""),"",IF(K1832=0,"",N1832/K1832))</f>
        <v/>
      </c>
      <c r="P1832" s="25"/>
      <c r="Q1832" s="25"/>
      <c r="R1832" s="25"/>
      <c r="S1832" s="36" t="str">
        <f aca="false">IF(A1832="","",YEAR(A1832)+IF(AND(FYStart&gt;1,MONTH(A1832)&gt;=FYStart),1,0))</f>
        <v/>
      </c>
      <c r="T1832" s="36" t="str">
        <f aca="false">IF(A1832="","",MOD(MONTH(A1832)-FYStart,12)+1)</f>
        <v/>
      </c>
      <c r="U1832" s="37" t="str">
        <f aca="false">IF(A1832="","",TEXT(A1832,"mmm"))</f>
        <v/>
      </c>
      <c r="V1832" s="37" t="str">
        <f aca="false">IF(Q1832="","",IFERROR(INDEX(Settings!$I$11:$I$15,MATCH(Q1832,Settings!$H$11:$H$15,0)),"No"))</f>
        <v/>
      </c>
      <c r="W1832" s="37" t="str">
        <f aca="false">IF(Q1832="","",IFERROR(INDEX(Settings!$J$11:$J$15,MATCH(Q1832,Settings!$H$11:$H$15,0)),"No"))</f>
        <v/>
      </c>
    </row>
    <row r="1833" customFormat="false" ht="15" hidden="false" customHeight="false" outlineLevel="0" collapsed="false">
      <c r="A1833" s="30"/>
      <c r="B1833" s="25"/>
      <c r="C1833" s="25"/>
      <c r="D1833" s="25"/>
      <c r="E1833" s="25"/>
      <c r="F1833" s="25"/>
      <c r="G1833" s="25"/>
      <c r="H1833" s="31"/>
      <c r="I1833" s="32"/>
      <c r="J1833" s="33"/>
      <c r="K1833" s="34" t="str">
        <f aca="false">IF(OR(H1833="",I1833=""),"",H1833*I1833*(1-N(J1833)))</f>
        <v/>
      </c>
      <c r="L1833" s="32"/>
      <c r="M1833" s="34" t="str">
        <f aca="false">IF(OR(H1833="",L1833=""),"",H1833*L1833)</f>
        <v/>
      </c>
      <c r="N1833" s="34" t="str">
        <f aca="false">IF(OR(K1833="",M1833=""),"",K1833-M1833)</f>
        <v/>
      </c>
      <c r="O1833" s="35" t="str">
        <f aca="false">IF(OR(N1833="",K1833=""),"",IF(K1833=0,"",N1833/K1833))</f>
        <v/>
      </c>
      <c r="P1833" s="25"/>
      <c r="Q1833" s="25"/>
      <c r="R1833" s="25"/>
      <c r="S1833" s="36" t="str">
        <f aca="false">IF(A1833="","",YEAR(A1833)+IF(AND(FYStart&gt;1,MONTH(A1833)&gt;=FYStart),1,0))</f>
        <v/>
      </c>
      <c r="T1833" s="36" t="str">
        <f aca="false">IF(A1833="","",MOD(MONTH(A1833)-FYStart,12)+1)</f>
        <v/>
      </c>
      <c r="U1833" s="37" t="str">
        <f aca="false">IF(A1833="","",TEXT(A1833,"mmm"))</f>
        <v/>
      </c>
      <c r="V1833" s="37" t="str">
        <f aca="false">IF(Q1833="","",IFERROR(INDEX(Settings!$I$11:$I$15,MATCH(Q1833,Settings!$H$11:$H$15,0)),"No"))</f>
        <v/>
      </c>
      <c r="W1833" s="37" t="str">
        <f aca="false">IF(Q1833="","",IFERROR(INDEX(Settings!$J$11:$J$15,MATCH(Q1833,Settings!$H$11:$H$15,0)),"No"))</f>
        <v/>
      </c>
    </row>
    <row r="1834" customFormat="false" ht="15" hidden="false" customHeight="false" outlineLevel="0" collapsed="false">
      <c r="A1834" s="30"/>
      <c r="B1834" s="25"/>
      <c r="C1834" s="25"/>
      <c r="D1834" s="25"/>
      <c r="E1834" s="25"/>
      <c r="F1834" s="25"/>
      <c r="G1834" s="25"/>
      <c r="H1834" s="31"/>
      <c r="I1834" s="32"/>
      <c r="J1834" s="33"/>
      <c r="K1834" s="34" t="str">
        <f aca="false">IF(OR(H1834="",I1834=""),"",H1834*I1834*(1-N(J1834)))</f>
        <v/>
      </c>
      <c r="L1834" s="32"/>
      <c r="M1834" s="34" t="str">
        <f aca="false">IF(OR(H1834="",L1834=""),"",H1834*L1834)</f>
        <v/>
      </c>
      <c r="N1834" s="34" t="str">
        <f aca="false">IF(OR(K1834="",M1834=""),"",K1834-M1834)</f>
        <v/>
      </c>
      <c r="O1834" s="35" t="str">
        <f aca="false">IF(OR(N1834="",K1834=""),"",IF(K1834=0,"",N1834/K1834))</f>
        <v/>
      </c>
      <c r="P1834" s="25"/>
      <c r="Q1834" s="25"/>
      <c r="R1834" s="25"/>
      <c r="S1834" s="36" t="str">
        <f aca="false">IF(A1834="","",YEAR(A1834)+IF(AND(FYStart&gt;1,MONTH(A1834)&gt;=FYStart),1,0))</f>
        <v/>
      </c>
      <c r="T1834" s="36" t="str">
        <f aca="false">IF(A1834="","",MOD(MONTH(A1834)-FYStart,12)+1)</f>
        <v/>
      </c>
      <c r="U1834" s="37" t="str">
        <f aca="false">IF(A1834="","",TEXT(A1834,"mmm"))</f>
        <v/>
      </c>
      <c r="V1834" s="37" t="str">
        <f aca="false">IF(Q1834="","",IFERROR(INDEX(Settings!$I$11:$I$15,MATCH(Q1834,Settings!$H$11:$H$15,0)),"No"))</f>
        <v/>
      </c>
      <c r="W1834" s="37" t="str">
        <f aca="false">IF(Q1834="","",IFERROR(INDEX(Settings!$J$11:$J$15,MATCH(Q1834,Settings!$H$11:$H$15,0)),"No"))</f>
        <v/>
      </c>
    </row>
    <row r="1835" customFormat="false" ht="15" hidden="false" customHeight="false" outlineLevel="0" collapsed="false">
      <c r="A1835" s="30"/>
      <c r="B1835" s="25"/>
      <c r="C1835" s="25"/>
      <c r="D1835" s="25"/>
      <c r="E1835" s="25"/>
      <c r="F1835" s="25"/>
      <c r="G1835" s="25"/>
      <c r="H1835" s="31"/>
      <c r="I1835" s="32"/>
      <c r="J1835" s="33"/>
      <c r="K1835" s="34" t="str">
        <f aca="false">IF(OR(H1835="",I1835=""),"",H1835*I1835*(1-N(J1835)))</f>
        <v/>
      </c>
      <c r="L1835" s="32"/>
      <c r="M1835" s="34" t="str">
        <f aca="false">IF(OR(H1835="",L1835=""),"",H1835*L1835)</f>
        <v/>
      </c>
      <c r="N1835" s="34" t="str">
        <f aca="false">IF(OR(K1835="",M1835=""),"",K1835-M1835)</f>
        <v/>
      </c>
      <c r="O1835" s="35" t="str">
        <f aca="false">IF(OR(N1835="",K1835=""),"",IF(K1835=0,"",N1835/K1835))</f>
        <v/>
      </c>
      <c r="P1835" s="25"/>
      <c r="Q1835" s="25"/>
      <c r="R1835" s="25"/>
      <c r="S1835" s="36" t="str">
        <f aca="false">IF(A1835="","",YEAR(A1835)+IF(AND(FYStart&gt;1,MONTH(A1835)&gt;=FYStart),1,0))</f>
        <v/>
      </c>
      <c r="T1835" s="36" t="str">
        <f aca="false">IF(A1835="","",MOD(MONTH(A1835)-FYStart,12)+1)</f>
        <v/>
      </c>
      <c r="U1835" s="37" t="str">
        <f aca="false">IF(A1835="","",TEXT(A1835,"mmm"))</f>
        <v/>
      </c>
      <c r="V1835" s="37" t="str">
        <f aca="false">IF(Q1835="","",IFERROR(INDEX(Settings!$I$11:$I$15,MATCH(Q1835,Settings!$H$11:$H$15,0)),"No"))</f>
        <v/>
      </c>
      <c r="W1835" s="37" t="str">
        <f aca="false">IF(Q1835="","",IFERROR(INDEX(Settings!$J$11:$J$15,MATCH(Q1835,Settings!$H$11:$H$15,0)),"No"))</f>
        <v/>
      </c>
    </row>
    <row r="1836" customFormat="false" ht="15" hidden="false" customHeight="false" outlineLevel="0" collapsed="false">
      <c r="A1836" s="30"/>
      <c r="B1836" s="25"/>
      <c r="C1836" s="25"/>
      <c r="D1836" s="25"/>
      <c r="E1836" s="25"/>
      <c r="F1836" s="25"/>
      <c r="G1836" s="25"/>
      <c r="H1836" s="31"/>
      <c r="I1836" s="32"/>
      <c r="J1836" s="33"/>
      <c r="K1836" s="34" t="str">
        <f aca="false">IF(OR(H1836="",I1836=""),"",H1836*I1836*(1-N(J1836)))</f>
        <v/>
      </c>
      <c r="L1836" s="32"/>
      <c r="M1836" s="34" t="str">
        <f aca="false">IF(OR(H1836="",L1836=""),"",H1836*L1836)</f>
        <v/>
      </c>
      <c r="N1836" s="34" t="str">
        <f aca="false">IF(OR(K1836="",M1836=""),"",K1836-M1836)</f>
        <v/>
      </c>
      <c r="O1836" s="35" t="str">
        <f aca="false">IF(OR(N1836="",K1836=""),"",IF(K1836=0,"",N1836/K1836))</f>
        <v/>
      </c>
      <c r="P1836" s="25"/>
      <c r="Q1836" s="25"/>
      <c r="R1836" s="25"/>
      <c r="S1836" s="36" t="str">
        <f aca="false">IF(A1836="","",YEAR(A1836)+IF(AND(FYStart&gt;1,MONTH(A1836)&gt;=FYStart),1,0))</f>
        <v/>
      </c>
      <c r="T1836" s="36" t="str">
        <f aca="false">IF(A1836="","",MOD(MONTH(A1836)-FYStart,12)+1)</f>
        <v/>
      </c>
      <c r="U1836" s="37" t="str">
        <f aca="false">IF(A1836="","",TEXT(A1836,"mmm"))</f>
        <v/>
      </c>
      <c r="V1836" s="37" t="str">
        <f aca="false">IF(Q1836="","",IFERROR(INDEX(Settings!$I$11:$I$15,MATCH(Q1836,Settings!$H$11:$H$15,0)),"No"))</f>
        <v/>
      </c>
      <c r="W1836" s="37" t="str">
        <f aca="false">IF(Q1836="","",IFERROR(INDEX(Settings!$J$11:$J$15,MATCH(Q1836,Settings!$H$11:$H$15,0)),"No"))</f>
        <v/>
      </c>
    </row>
    <row r="1837" customFormat="false" ht="15" hidden="false" customHeight="false" outlineLevel="0" collapsed="false">
      <c r="A1837" s="30"/>
      <c r="B1837" s="25"/>
      <c r="C1837" s="25"/>
      <c r="D1837" s="25"/>
      <c r="E1837" s="25"/>
      <c r="F1837" s="25"/>
      <c r="G1837" s="25"/>
      <c r="H1837" s="31"/>
      <c r="I1837" s="32"/>
      <c r="J1837" s="33"/>
      <c r="K1837" s="34" t="str">
        <f aca="false">IF(OR(H1837="",I1837=""),"",H1837*I1837*(1-N(J1837)))</f>
        <v/>
      </c>
      <c r="L1837" s="32"/>
      <c r="M1837" s="34" t="str">
        <f aca="false">IF(OR(H1837="",L1837=""),"",H1837*L1837)</f>
        <v/>
      </c>
      <c r="N1837" s="34" t="str">
        <f aca="false">IF(OR(K1837="",M1837=""),"",K1837-M1837)</f>
        <v/>
      </c>
      <c r="O1837" s="35" t="str">
        <f aca="false">IF(OR(N1837="",K1837=""),"",IF(K1837=0,"",N1837/K1837))</f>
        <v/>
      </c>
      <c r="P1837" s="25"/>
      <c r="Q1837" s="25"/>
      <c r="R1837" s="25"/>
      <c r="S1837" s="36" t="str">
        <f aca="false">IF(A1837="","",YEAR(A1837)+IF(AND(FYStart&gt;1,MONTH(A1837)&gt;=FYStart),1,0))</f>
        <v/>
      </c>
      <c r="T1837" s="36" t="str">
        <f aca="false">IF(A1837="","",MOD(MONTH(A1837)-FYStart,12)+1)</f>
        <v/>
      </c>
      <c r="U1837" s="37" t="str">
        <f aca="false">IF(A1837="","",TEXT(A1837,"mmm"))</f>
        <v/>
      </c>
      <c r="V1837" s="37" t="str">
        <f aca="false">IF(Q1837="","",IFERROR(INDEX(Settings!$I$11:$I$15,MATCH(Q1837,Settings!$H$11:$H$15,0)),"No"))</f>
        <v/>
      </c>
      <c r="W1837" s="37" t="str">
        <f aca="false">IF(Q1837="","",IFERROR(INDEX(Settings!$J$11:$J$15,MATCH(Q1837,Settings!$H$11:$H$15,0)),"No"))</f>
        <v/>
      </c>
    </row>
    <row r="1838" customFormat="false" ht="15" hidden="false" customHeight="false" outlineLevel="0" collapsed="false">
      <c r="A1838" s="30"/>
      <c r="B1838" s="25"/>
      <c r="C1838" s="25"/>
      <c r="D1838" s="25"/>
      <c r="E1838" s="25"/>
      <c r="F1838" s="25"/>
      <c r="G1838" s="25"/>
      <c r="H1838" s="31"/>
      <c r="I1838" s="32"/>
      <c r="J1838" s="33"/>
      <c r="K1838" s="34" t="str">
        <f aca="false">IF(OR(H1838="",I1838=""),"",H1838*I1838*(1-N(J1838)))</f>
        <v/>
      </c>
      <c r="L1838" s="32"/>
      <c r="M1838" s="34" t="str">
        <f aca="false">IF(OR(H1838="",L1838=""),"",H1838*L1838)</f>
        <v/>
      </c>
      <c r="N1838" s="34" t="str">
        <f aca="false">IF(OR(K1838="",M1838=""),"",K1838-M1838)</f>
        <v/>
      </c>
      <c r="O1838" s="35" t="str">
        <f aca="false">IF(OR(N1838="",K1838=""),"",IF(K1838=0,"",N1838/K1838))</f>
        <v/>
      </c>
      <c r="P1838" s="25"/>
      <c r="Q1838" s="25"/>
      <c r="R1838" s="25"/>
      <c r="S1838" s="36" t="str">
        <f aca="false">IF(A1838="","",YEAR(A1838)+IF(AND(FYStart&gt;1,MONTH(A1838)&gt;=FYStart),1,0))</f>
        <v/>
      </c>
      <c r="T1838" s="36" t="str">
        <f aca="false">IF(A1838="","",MOD(MONTH(A1838)-FYStart,12)+1)</f>
        <v/>
      </c>
      <c r="U1838" s="37" t="str">
        <f aca="false">IF(A1838="","",TEXT(A1838,"mmm"))</f>
        <v/>
      </c>
      <c r="V1838" s="37" t="str">
        <f aca="false">IF(Q1838="","",IFERROR(INDEX(Settings!$I$11:$I$15,MATCH(Q1838,Settings!$H$11:$H$15,0)),"No"))</f>
        <v/>
      </c>
      <c r="W1838" s="37" t="str">
        <f aca="false">IF(Q1838="","",IFERROR(INDEX(Settings!$J$11:$J$15,MATCH(Q1838,Settings!$H$11:$H$15,0)),"No"))</f>
        <v/>
      </c>
    </row>
    <row r="1839" customFormat="false" ht="15" hidden="false" customHeight="false" outlineLevel="0" collapsed="false">
      <c r="A1839" s="30"/>
      <c r="B1839" s="25"/>
      <c r="C1839" s="25"/>
      <c r="D1839" s="25"/>
      <c r="E1839" s="25"/>
      <c r="F1839" s="25"/>
      <c r="G1839" s="25"/>
      <c r="H1839" s="31"/>
      <c r="I1839" s="32"/>
      <c r="J1839" s="33"/>
      <c r="K1839" s="34" t="str">
        <f aca="false">IF(OR(H1839="",I1839=""),"",H1839*I1839*(1-N(J1839)))</f>
        <v/>
      </c>
      <c r="L1839" s="32"/>
      <c r="M1839" s="34" t="str">
        <f aca="false">IF(OR(H1839="",L1839=""),"",H1839*L1839)</f>
        <v/>
      </c>
      <c r="N1839" s="34" t="str">
        <f aca="false">IF(OR(K1839="",M1839=""),"",K1839-M1839)</f>
        <v/>
      </c>
      <c r="O1839" s="35" t="str">
        <f aca="false">IF(OR(N1839="",K1839=""),"",IF(K1839=0,"",N1839/K1839))</f>
        <v/>
      </c>
      <c r="P1839" s="25"/>
      <c r="Q1839" s="25"/>
      <c r="R1839" s="25"/>
      <c r="S1839" s="36" t="str">
        <f aca="false">IF(A1839="","",YEAR(A1839)+IF(AND(FYStart&gt;1,MONTH(A1839)&gt;=FYStart),1,0))</f>
        <v/>
      </c>
      <c r="T1839" s="36" t="str">
        <f aca="false">IF(A1839="","",MOD(MONTH(A1839)-FYStart,12)+1)</f>
        <v/>
      </c>
      <c r="U1839" s="37" t="str">
        <f aca="false">IF(A1839="","",TEXT(A1839,"mmm"))</f>
        <v/>
      </c>
      <c r="V1839" s="37" t="str">
        <f aca="false">IF(Q1839="","",IFERROR(INDEX(Settings!$I$11:$I$15,MATCH(Q1839,Settings!$H$11:$H$15,0)),"No"))</f>
        <v/>
      </c>
      <c r="W1839" s="37" t="str">
        <f aca="false">IF(Q1839="","",IFERROR(INDEX(Settings!$J$11:$J$15,MATCH(Q1839,Settings!$H$11:$H$15,0)),"No"))</f>
        <v/>
      </c>
    </row>
    <row r="1840" customFormat="false" ht="15" hidden="false" customHeight="false" outlineLevel="0" collapsed="false">
      <c r="A1840" s="30"/>
      <c r="B1840" s="25"/>
      <c r="C1840" s="25"/>
      <c r="D1840" s="25"/>
      <c r="E1840" s="25"/>
      <c r="F1840" s="25"/>
      <c r="G1840" s="25"/>
      <c r="H1840" s="31"/>
      <c r="I1840" s="32"/>
      <c r="J1840" s="33"/>
      <c r="K1840" s="34" t="str">
        <f aca="false">IF(OR(H1840="",I1840=""),"",H1840*I1840*(1-N(J1840)))</f>
        <v/>
      </c>
      <c r="L1840" s="32"/>
      <c r="M1840" s="34" t="str">
        <f aca="false">IF(OR(H1840="",L1840=""),"",H1840*L1840)</f>
        <v/>
      </c>
      <c r="N1840" s="34" t="str">
        <f aca="false">IF(OR(K1840="",M1840=""),"",K1840-M1840)</f>
        <v/>
      </c>
      <c r="O1840" s="35" t="str">
        <f aca="false">IF(OR(N1840="",K1840=""),"",IF(K1840=0,"",N1840/K1840))</f>
        <v/>
      </c>
      <c r="P1840" s="25"/>
      <c r="Q1840" s="25"/>
      <c r="R1840" s="25"/>
      <c r="S1840" s="36" t="str">
        <f aca="false">IF(A1840="","",YEAR(A1840)+IF(AND(FYStart&gt;1,MONTH(A1840)&gt;=FYStart),1,0))</f>
        <v/>
      </c>
      <c r="T1840" s="36" t="str">
        <f aca="false">IF(A1840="","",MOD(MONTH(A1840)-FYStart,12)+1)</f>
        <v/>
      </c>
      <c r="U1840" s="37" t="str">
        <f aca="false">IF(A1840="","",TEXT(A1840,"mmm"))</f>
        <v/>
      </c>
      <c r="V1840" s="37" t="str">
        <f aca="false">IF(Q1840="","",IFERROR(INDEX(Settings!$I$11:$I$15,MATCH(Q1840,Settings!$H$11:$H$15,0)),"No"))</f>
        <v/>
      </c>
      <c r="W1840" s="37" t="str">
        <f aca="false">IF(Q1840="","",IFERROR(INDEX(Settings!$J$11:$J$15,MATCH(Q1840,Settings!$H$11:$H$15,0)),"No"))</f>
        <v/>
      </c>
    </row>
    <row r="1841" customFormat="false" ht="15" hidden="false" customHeight="false" outlineLevel="0" collapsed="false">
      <c r="A1841" s="30"/>
      <c r="B1841" s="25"/>
      <c r="C1841" s="25"/>
      <c r="D1841" s="25"/>
      <c r="E1841" s="25"/>
      <c r="F1841" s="25"/>
      <c r="G1841" s="25"/>
      <c r="H1841" s="31"/>
      <c r="I1841" s="32"/>
      <c r="J1841" s="33"/>
      <c r="K1841" s="34" t="str">
        <f aca="false">IF(OR(H1841="",I1841=""),"",H1841*I1841*(1-N(J1841)))</f>
        <v/>
      </c>
      <c r="L1841" s="32"/>
      <c r="M1841" s="34" t="str">
        <f aca="false">IF(OR(H1841="",L1841=""),"",H1841*L1841)</f>
        <v/>
      </c>
      <c r="N1841" s="34" t="str">
        <f aca="false">IF(OR(K1841="",M1841=""),"",K1841-M1841)</f>
        <v/>
      </c>
      <c r="O1841" s="35" t="str">
        <f aca="false">IF(OR(N1841="",K1841=""),"",IF(K1841=0,"",N1841/K1841))</f>
        <v/>
      </c>
      <c r="P1841" s="25"/>
      <c r="Q1841" s="25"/>
      <c r="R1841" s="25"/>
      <c r="S1841" s="36" t="str">
        <f aca="false">IF(A1841="","",YEAR(A1841)+IF(AND(FYStart&gt;1,MONTH(A1841)&gt;=FYStart),1,0))</f>
        <v/>
      </c>
      <c r="T1841" s="36" t="str">
        <f aca="false">IF(A1841="","",MOD(MONTH(A1841)-FYStart,12)+1)</f>
        <v/>
      </c>
      <c r="U1841" s="37" t="str">
        <f aca="false">IF(A1841="","",TEXT(A1841,"mmm"))</f>
        <v/>
      </c>
      <c r="V1841" s="37" t="str">
        <f aca="false">IF(Q1841="","",IFERROR(INDEX(Settings!$I$11:$I$15,MATCH(Q1841,Settings!$H$11:$H$15,0)),"No"))</f>
        <v/>
      </c>
      <c r="W1841" s="37" t="str">
        <f aca="false">IF(Q1841="","",IFERROR(INDEX(Settings!$J$11:$J$15,MATCH(Q1841,Settings!$H$11:$H$15,0)),"No"))</f>
        <v/>
      </c>
    </row>
    <row r="1842" customFormat="false" ht="15" hidden="false" customHeight="false" outlineLevel="0" collapsed="false">
      <c r="A1842" s="30"/>
      <c r="B1842" s="25"/>
      <c r="C1842" s="25"/>
      <c r="D1842" s="25"/>
      <c r="E1842" s="25"/>
      <c r="F1842" s="25"/>
      <c r="G1842" s="25"/>
      <c r="H1842" s="31"/>
      <c r="I1842" s="32"/>
      <c r="J1842" s="33"/>
      <c r="K1842" s="34" t="str">
        <f aca="false">IF(OR(H1842="",I1842=""),"",H1842*I1842*(1-N(J1842)))</f>
        <v/>
      </c>
      <c r="L1842" s="32"/>
      <c r="M1842" s="34" t="str">
        <f aca="false">IF(OR(H1842="",L1842=""),"",H1842*L1842)</f>
        <v/>
      </c>
      <c r="N1842" s="34" t="str">
        <f aca="false">IF(OR(K1842="",M1842=""),"",K1842-M1842)</f>
        <v/>
      </c>
      <c r="O1842" s="35" t="str">
        <f aca="false">IF(OR(N1842="",K1842=""),"",IF(K1842=0,"",N1842/K1842))</f>
        <v/>
      </c>
      <c r="P1842" s="25"/>
      <c r="Q1842" s="25"/>
      <c r="R1842" s="25"/>
      <c r="S1842" s="36" t="str">
        <f aca="false">IF(A1842="","",YEAR(A1842)+IF(AND(FYStart&gt;1,MONTH(A1842)&gt;=FYStart),1,0))</f>
        <v/>
      </c>
      <c r="T1842" s="36" t="str">
        <f aca="false">IF(A1842="","",MOD(MONTH(A1842)-FYStart,12)+1)</f>
        <v/>
      </c>
      <c r="U1842" s="37" t="str">
        <f aca="false">IF(A1842="","",TEXT(A1842,"mmm"))</f>
        <v/>
      </c>
      <c r="V1842" s="37" t="str">
        <f aca="false">IF(Q1842="","",IFERROR(INDEX(Settings!$I$11:$I$15,MATCH(Q1842,Settings!$H$11:$H$15,0)),"No"))</f>
        <v/>
      </c>
      <c r="W1842" s="37" t="str">
        <f aca="false">IF(Q1842="","",IFERROR(INDEX(Settings!$J$11:$J$15,MATCH(Q1842,Settings!$H$11:$H$15,0)),"No"))</f>
        <v/>
      </c>
    </row>
    <row r="1843" customFormat="false" ht="15" hidden="false" customHeight="false" outlineLevel="0" collapsed="false">
      <c r="A1843" s="30"/>
      <c r="B1843" s="25"/>
      <c r="C1843" s="25"/>
      <c r="D1843" s="25"/>
      <c r="E1843" s="25"/>
      <c r="F1843" s="25"/>
      <c r="G1843" s="25"/>
      <c r="H1843" s="31"/>
      <c r="I1843" s="32"/>
      <c r="J1843" s="33"/>
      <c r="K1843" s="34" t="str">
        <f aca="false">IF(OR(H1843="",I1843=""),"",H1843*I1843*(1-N(J1843)))</f>
        <v/>
      </c>
      <c r="L1843" s="32"/>
      <c r="M1843" s="34" t="str">
        <f aca="false">IF(OR(H1843="",L1843=""),"",H1843*L1843)</f>
        <v/>
      </c>
      <c r="N1843" s="34" t="str">
        <f aca="false">IF(OR(K1843="",M1843=""),"",K1843-M1843)</f>
        <v/>
      </c>
      <c r="O1843" s="35" t="str">
        <f aca="false">IF(OR(N1843="",K1843=""),"",IF(K1843=0,"",N1843/K1843))</f>
        <v/>
      </c>
      <c r="P1843" s="25"/>
      <c r="Q1843" s="25"/>
      <c r="R1843" s="25"/>
      <c r="S1843" s="36" t="str">
        <f aca="false">IF(A1843="","",YEAR(A1843)+IF(AND(FYStart&gt;1,MONTH(A1843)&gt;=FYStart),1,0))</f>
        <v/>
      </c>
      <c r="T1843" s="36" t="str">
        <f aca="false">IF(A1843="","",MOD(MONTH(A1843)-FYStart,12)+1)</f>
        <v/>
      </c>
      <c r="U1843" s="37" t="str">
        <f aca="false">IF(A1843="","",TEXT(A1843,"mmm"))</f>
        <v/>
      </c>
      <c r="V1843" s="37" t="str">
        <f aca="false">IF(Q1843="","",IFERROR(INDEX(Settings!$I$11:$I$15,MATCH(Q1843,Settings!$H$11:$H$15,0)),"No"))</f>
        <v/>
      </c>
      <c r="W1843" s="37" t="str">
        <f aca="false">IF(Q1843="","",IFERROR(INDEX(Settings!$J$11:$J$15,MATCH(Q1843,Settings!$H$11:$H$15,0)),"No"))</f>
        <v/>
      </c>
    </row>
    <row r="1844" customFormat="false" ht="15" hidden="false" customHeight="false" outlineLevel="0" collapsed="false">
      <c r="A1844" s="30"/>
      <c r="B1844" s="25"/>
      <c r="C1844" s="25"/>
      <c r="D1844" s="25"/>
      <c r="E1844" s="25"/>
      <c r="F1844" s="25"/>
      <c r="G1844" s="25"/>
      <c r="H1844" s="31"/>
      <c r="I1844" s="32"/>
      <c r="J1844" s="33"/>
      <c r="K1844" s="34" t="str">
        <f aca="false">IF(OR(H1844="",I1844=""),"",H1844*I1844*(1-N(J1844)))</f>
        <v/>
      </c>
      <c r="L1844" s="32"/>
      <c r="M1844" s="34" t="str">
        <f aca="false">IF(OR(H1844="",L1844=""),"",H1844*L1844)</f>
        <v/>
      </c>
      <c r="N1844" s="34" t="str">
        <f aca="false">IF(OR(K1844="",M1844=""),"",K1844-M1844)</f>
        <v/>
      </c>
      <c r="O1844" s="35" t="str">
        <f aca="false">IF(OR(N1844="",K1844=""),"",IF(K1844=0,"",N1844/K1844))</f>
        <v/>
      </c>
      <c r="P1844" s="25"/>
      <c r="Q1844" s="25"/>
      <c r="R1844" s="25"/>
      <c r="S1844" s="36" t="str">
        <f aca="false">IF(A1844="","",YEAR(A1844)+IF(AND(FYStart&gt;1,MONTH(A1844)&gt;=FYStart),1,0))</f>
        <v/>
      </c>
      <c r="T1844" s="36" t="str">
        <f aca="false">IF(A1844="","",MOD(MONTH(A1844)-FYStart,12)+1)</f>
        <v/>
      </c>
      <c r="U1844" s="37" t="str">
        <f aca="false">IF(A1844="","",TEXT(A1844,"mmm"))</f>
        <v/>
      </c>
      <c r="V1844" s="37" t="str">
        <f aca="false">IF(Q1844="","",IFERROR(INDEX(Settings!$I$11:$I$15,MATCH(Q1844,Settings!$H$11:$H$15,0)),"No"))</f>
        <v/>
      </c>
      <c r="W1844" s="37" t="str">
        <f aca="false">IF(Q1844="","",IFERROR(INDEX(Settings!$J$11:$J$15,MATCH(Q1844,Settings!$H$11:$H$15,0)),"No"))</f>
        <v/>
      </c>
    </row>
    <row r="1845" customFormat="false" ht="15" hidden="false" customHeight="false" outlineLevel="0" collapsed="false">
      <c r="A1845" s="30"/>
      <c r="B1845" s="25"/>
      <c r="C1845" s="25"/>
      <c r="D1845" s="25"/>
      <c r="E1845" s="25"/>
      <c r="F1845" s="25"/>
      <c r="G1845" s="25"/>
      <c r="H1845" s="31"/>
      <c r="I1845" s="32"/>
      <c r="J1845" s="33"/>
      <c r="K1845" s="34" t="str">
        <f aca="false">IF(OR(H1845="",I1845=""),"",H1845*I1845*(1-N(J1845)))</f>
        <v/>
      </c>
      <c r="L1845" s="32"/>
      <c r="M1845" s="34" t="str">
        <f aca="false">IF(OR(H1845="",L1845=""),"",H1845*L1845)</f>
        <v/>
      </c>
      <c r="N1845" s="34" t="str">
        <f aca="false">IF(OR(K1845="",M1845=""),"",K1845-M1845)</f>
        <v/>
      </c>
      <c r="O1845" s="35" t="str">
        <f aca="false">IF(OR(N1845="",K1845=""),"",IF(K1845=0,"",N1845/K1845))</f>
        <v/>
      </c>
      <c r="P1845" s="25"/>
      <c r="Q1845" s="25"/>
      <c r="R1845" s="25"/>
      <c r="S1845" s="36" t="str">
        <f aca="false">IF(A1845="","",YEAR(A1845)+IF(AND(FYStart&gt;1,MONTH(A1845)&gt;=FYStart),1,0))</f>
        <v/>
      </c>
      <c r="T1845" s="36" t="str">
        <f aca="false">IF(A1845="","",MOD(MONTH(A1845)-FYStart,12)+1)</f>
        <v/>
      </c>
      <c r="U1845" s="37" t="str">
        <f aca="false">IF(A1845="","",TEXT(A1845,"mmm"))</f>
        <v/>
      </c>
      <c r="V1845" s="37" t="str">
        <f aca="false">IF(Q1845="","",IFERROR(INDEX(Settings!$I$11:$I$15,MATCH(Q1845,Settings!$H$11:$H$15,0)),"No"))</f>
        <v/>
      </c>
      <c r="W1845" s="37" t="str">
        <f aca="false">IF(Q1845="","",IFERROR(INDEX(Settings!$J$11:$J$15,MATCH(Q1845,Settings!$H$11:$H$15,0)),"No"))</f>
        <v/>
      </c>
    </row>
    <row r="1846" customFormat="false" ht="15" hidden="false" customHeight="false" outlineLevel="0" collapsed="false">
      <c r="A1846" s="30"/>
      <c r="B1846" s="25"/>
      <c r="C1846" s="25"/>
      <c r="D1846" s="25"/>
      <c r="E1846" s="25"/>
      <c r="F1846" s="25"/>
      <c r="G1846" s="25"/>
      <c r="H1846" s="31"/>
      <c r="I1846" s="32"/>
      <c r="J1846" s="33"/>
      <c r="K1846" s="34" t="str">
        <f aca="false">IF(OR(H1846="",I1846=""),"",H1846*I1846*(1-N(J1846)))</f>
        <v/>
      </c>
      <c r="L1846" s="32"/>
      <c r="M1846" s="34" t="str">
        <f aca="false">IF(OR(H1846="",L1846=""),"",H1846*L1846)</f>
        <v/>
      </c>
      <c r="N1846" s="34" t="str">
        <f aca="false">IF(OR(K1846="",M1846=""),"",K1846-M1846)</f>
        <v/>
      </c>
      <c r="O1846" s="35" t="str">
        <f aca="false">IF(OR(N1846="",K1846=""),"",IF(K1846=0,"",N1846/K1846))</f>
        <v/>
      </c>
      <c r="P1846" s="25"/>
      <c r="Q1846" s="25"/>
      <c r="R1846" s="25"/>
      <c r="S1846" s="36" t="str">
        <f aca="false">IF(A1846="","",YEAR(A1846)+IF(AND(FYStart&gt;1,MONTH(A1846)&gt;=FYStart),1,0))</f>
        <v/>
      </c>
      <c r="T1846" s="36" t="str">
        <f aca="false">IF(A1846="","",MOD(MONTH(A1846)-FYStart,12)+1)</f>
        <v/>
      </c>
      <c r="U1846" s="37" t="str">
        <f aca="false">IF(A1846="","",TEXT(A1846,"mmm"))</f>
        <v/>
      </c>
      <c r="V1846" s="37" t="str">
        <f aca="false">IF(Q1846="","",IFERROR(INDEX(Settings!$I$11:$I$15,MATCH(Q1846,Settings!$H$11:$H$15,0)),"No"))</f>
        <v/>
      </c>
      <c r="W1846" s="37" t="str">
        <f aca="false">IF(Q1846="","",IFERROR(INDEX(Settings!$J$11:$J$15,MATCH(Q1846,Settings!$H$11:$H$15,0)),"No"))</f>
        <v/>
      </c>
    </row>
    <row r="1847" customFormat="false" ht="15" hidden="false" customHeight="false" outlineLevel="0" collapsed="false">
      <c r="A1847" s="30"/>
      <c r="B1847" s="25"/>
      <c r="C1847" s="25"/>
      <c r="D1847" s="25"/>
      <c r="E1847" s="25"/>
      <c r="F1847" s="25"/>
      <c r="G1847" s="25"/>
      <c r="H1847" s="31"/>
      <c r="I1847" s="32"/>
      <c r="J1847" s="33"/>
      <c r="K1847" s="34" t="str">
        <f aca="false">IF(OR(H1847="",I1847=""),"",H1847*I1847*(1-N(J1847)))</f>
        <v/>
      </c>
      <c r="L1847" s="32"/>
      <c r="M1847" s="34" t="str">
        <f aca="false">IF(OR(H1847="",L1847=""),"",H1847*L1847)</f>
        <v/>
      </c>
      <c r="N1847" s="34" t="str">
        <f aca="false">IF(OR(K1847="",M1847=""),"",K1847-M1847)</f>
        <v/>
      </c>
      <c r="O1847" s="35" t="str">
        <f aca="false">IF(OR(N1847="",K1847=""),"",IF(K1847=0,"",N1847/K1847))</f>
        <v/>
      </c>
      <c r="P1847" s="25"/>
      <c r="Q1847" s="25"/>
      <c r="R1847" s="25"/>
      <c r="S1847" s="36" t="str">
        <f aca="false">IF(A1847="","",YEAR(A1847)+IF(AND(FYStart&gt;1,MONTH(A1847)&gt;=FYStart),1,0))</f>
        <v/>
      </c>
      <c r="T1847" s="36" t="str">
        <f aca="false">IF(A1847="","",MOD(MONTH(A1847)-FYStart,12)+1)</f>
        <v/>
      </c>
      <c r="U1847" s="37" t="str">
        <f aca="false">IF(A1847="","",TEXT(A1847,"mmm"))</f>
        <v/>
      </c>
      <c r="V1847" s="37" t="str">
        <f aca="false">IF(Q1847="","",IFERROR(INDEX(Settings!$I$11:$I$15,MATCH(Q1847,Settings!$H$11:$H$15,0)),"No"))</f>
        <v/>
      </c>
      <c r="W1847" s="37" t="str">
        <f aca="false">IF(Q1847="","",IFERROR(INDEX(Settings!$J$11:$J$15,MATCH(Q1847,Settings!$H$11:$H$15,0)),"No"))</f>
        <v/>
      </c>
    </row>
    <row r="1848" customFormat="false" ht="15" hidden="false" customHeight="false" outlineLevel="0" collapsed="false">
      <c r="A1848" s="30"/>
      <c r="B1848" s="25"/>
      <c r="C1848" s="25"/>
      <c r="D1848" s="25"/>
      <c r="E1848" s="25"/>
      <c r="F1848" s="25"/>
      <c r="G1848" s="25"/>
      <c r="H1848" s="31"/>
      <c r="I1848" s="32"/>
      <c r="J1848" s="33"/>
      <c r="K1848" s="34" t="str">
        <f aca="false">IF(OR(H1848="",I1848=""),"",H1848*I1848*(1-N(J1848)))</f>
        <v/>
      </c>
      <c r="L1848" s="32"/>
      <c r="M1848" s="34" t="str">
        <f aca="false">IF(OR(H1848="",L1848=""),"",H1848*L1848)</f>
        <v/>
      </c>
      <c r="N1848" s="34" t="str">
        <f aca="false">IF(OR(K1848="",M1848=""),"",K1848-M1848)</f>
        <v/>
      </c>
      <c r="O1848" s="35" t="str">
        <f aca="false">IF(OR(N1848="",K1848=""),"",IF(K1848=0,"",N1848/K1848))</f>
        <v/>
      </c>
      <c r="P1848" s="25"/>
      <c r="Q1848" s="25"/>
      <c r="R1848" s="25"/>
      <c r="S1848" s="36" t="str">
        <f aca="false">IF(A1848="","",YEAR(A1848)+IF(AND(FYStart&gt;1,MONTH(A1848)&gt;=FYStart),1,0))</f>
        <v/>
      </c>
      <c r="T1848" s="36" t="str">
        <f aca="false">IF(A1848="","",MOD(MONTH(A1848)-FYStart,12)+1)</f>
        <v/>
      </c>
      <c r="U1848" s="37" t="str">
        <f aca="false">IF(A1848="","",TEXT(A1848,"mmm"))</f>
        <v/>
      </c>
      <c r="V1848" s="37" t="str">
        <f aca="false">IF(Q1848="","",IFERROR(INDEX(Settings!$I$11:$I$15,MATCH(Q1848,Settings!$H$11:$H$15,0)),"No"))</f>
        <v/>
      </c>
      <c r="W1848" s="37" t="str">
        <f aca="false">IF(Q1848="","",IFERROR(INDEX(Settings!$J$11:$J$15,MATCH(Q1848,Settings!$H$11:$H$15,0)),"No"))</f>
        <v/>
      </c>
    </row>
    <row r="1849" customFormat="false" ht="15" hidden="false" customHeight="false" outlineLevel="0" collapsed="false">
      <c r="A1849" s="30"/>
      <c r="B1849" s="25"/>
      <c r="C1849" s="25"/>
      <c r="D1849" s="25"/>
      <c r="E1849" s="25"/>
      <c r="F1849" s="25"/>
      <c r="G1849" s="25"/>
      <c r="H1849" s="31"/>
      <c r="I1849" s="32"/>
      <c r="J1849" s="33"/>
      <c r="K1849" s="34" t="str">
        <f aca="false">IF(OR(H1849="",I1849=""),"",H1849*I1849*(1-N(J1849)))</f>
        <v/>
      </c>
      <c r="L1849" s="32"/>
      <c r="M1849" s="34" t="str">
        <f aca="false">IF(OR(H1849="",L1849=""),"",H1849*L1849)</f>
        <v/>
      </c>
      <c r="N1849" s="34" t="str">
        <f aca="false">IF(OR(K1849="",M1849=""),"",K1849-M1849)</f>
        <v/>
      </c>
      <c r="O1849" s="35" t="str">
        <f aca="false">IF(OR(N1849="",K1849=""),"",IF(K1849=0,"",N1849/K1849))</f>
        <v/>
      </c>
      <c r="P1849" s="25"/>
      <c r="Q1849" s="25"/>
      <c r="R1849" s="25"/>
      <c r="S1849" s="36" t="str">
        <f aca="false">IF(A1849="","",YEAR(A1849)+IF(AND(FYStart&gt;1,MONTH(A1849)&gt;=FYStart),1,0))</f>
        <v/>
      </c>
      <c r="T1849" s="36" t="str">
        <f aca="false">IF(A1849="","",MOD(MONTH(A1849)-FYStart,12)+1)</f>
        <v/>
      </c>
      <c r="U1849" s="37" t="str">
        <f aca="false">IF(A1849="","",TEXT(A1849,"mmm"))</f>
        <v/>
      </c>
      <c r="V1849" s="37" t="str">
        <f aca="false">IF(Q1849="","",IFERROR(INDEX(Settings!$I$11:$I$15,MATCH(Q1849,Settings!$H$11:$H$15,0)),"No"))</f>
        <v/>
      </c>
      <c r="W1849" s="37" t="str">
        <f aca="false">IF(Q1849="","",IFERROR(INDEX(Settings!$J$11:$J$15,MATCH(Q1849,Settings!$H$11:$H$15,0)),"No"))</f>
        <v/>
      </c>
    </row>
    <row r="1850" customFormat="false" ht="15" hidden="false" customHeight="false" outlineLevel="0" collapsed="false">
      <c r="A1850" s="30"/>
      <c r="B1850" s="25"/>
      <c r="C1850" s="25"/>
      <c r="D1850" s="25"/>
      <c r="E1850" s="25"/>
      <c r="F1850" s="25"/>
      <c r="G1850" s="25"/>
      <c r="H1850" s="31"/>
      <c r="I1850" s="32"/>
      <c r="J1850" s="33"/>
      <c r="K1850" s="34" t="str">
        <f aca="false">IF(OR(H1850="",I1850=""),"",H1850*I1850*(1-N(J1850)))</f>
        <v/>
      </c>
      <c r="L1850" s="32"/>
      <c r="M1850" s="34" t="str">
        <f aca="false">IF(OR(H1850="",L1850=""),"",H1850*L1850)</f>
        <v/>
      </c>
      <c r="N1850" s="34" t="str">
        <f aca="false">IF(OR(K1850="",M1850=""),"",K1850-M1850)</f>
        <v/>
      </c>
      <c r="O1850" s="35" t="str">
        <f aca="false">IF(OR(N1850="",K1850=""),"",IF(K1850=0,"",N1850/K1850))</f>
        <v/>
      </c>
      <c r="P1850" s="25"/>
      <c r="Q1850" s="25"/>
      <c r="R1850" s="25"/>
      <c r="S1850" s="36" t="str">
        <f aca="false">IF(A1850="","",YEAR(A1850)+IF(AND(FYStart&gt;1,MONTH(A1850)&gt;=FYStart),1,0))</f>
        <v/>
      </c>
      <c r="T1850" s="36" t="str">
        <f aca="false">IF(A1850="","",MOD(MONTH(A1850)-FYStart,12)+1)</f>
        <v/>
      </c>
      <c r="U1850" s="37" t="str">
        <f aca="false">IF(A1850="","",TEXT(A1850,"mmm"))</f>
        <v/>
      </c>
      <c r="V1850" s="37" t="str">
        <f aca="false">IF(Q1850="","",IFERROR(INDEX(Settings!$I$11:$I$15,MATCH(Q1850,Settings!$H$11:$H$15,0)),"No"))</f>
        <v/>
      </c>
      <c r="W1850" s="37" t="str">
        <f aca="false">IF(Q1850="","",IFERROR(INDEX(Settings!$J$11:$J$15,MATCH(Q1850,Settings!$H$11:$H$15,0)),"No"))</f>
        <v/>
      </c>
    </row>
    <row r="1851" customFormat="false" ht="15" hidden="false" customHeight="false" outlineLevel="0" collapsed="false">
      <c r="A1851" s="30"/>
      <c r="B1851" s="25"/>
      <c r="C1851" s="25"/>
      <c r="D1851" s="25"/>
      <c r="E1851" s="25"/>
      <c r="F1851" s="25"/>
      <c r="G1851" s="25"/>
      <c r="H1851" s="31"/>
      <c r="I1851" s="32"/>
      <c r="J1851" s="33"/>
      <c r="K1851" s="34" t="str">
        <f aca="false">IF(OR(H1851="",I1851=""),"",H1851*I1851*(1-N(J1851)))</f>
        <v/>
      </c>
      <c r="L1851" s="32"/>
      <c r="M1851" s="34" t="str">
        <f aca="false">IF(OR(H1851="",L1851=""),"",H1851*L1851)</f>
        <v/>
      </c>
      <c r="N1851" s="34" t="str">
        <f aca="false">IF(OR(K1851="",M1851=""),"",K1851-M1851)</f>
        <v/>
      </c>
      <c r="O1851" s="35" t="str">
        <f aca="false">IF(OR(N1851="",K1851=""),"",IF(K1851=0,"",N1851/K1851))</f>
        <v/>
      </c>
      <c r="P1851" s="25"/>
      <c r="Q1851" s="25"/>
      <c r="R1851" s="25"/>
      <c r="S1851" s="36" t="str">
        <f aca="false">IF(A1851="","",YEAR(A1851)+IF(AND(FYStart&gt;1,MONTH(A1851)&gt;=FYStart),1,0))</f>
        <v/>
      </c>
      <c r="T1851" s="36" t="str">
        <f aca="false">IF(A1851="","",MOD(MONTH(A1851)-FYStart,12)+1)</f>
        <v/>
      </c>
      <c r="U1851" s="37" t="str">
        <f aca="false">IF(A1851="","",TEXT(A1851,"mmm"))</f>
        <v/>
      </c>
      <c r="V1851" s="37" t="str">
        <f aca="false">IF(Q1851="","",IFERROR(INDEX(Settings!$I$11:$I$15,MATCH(Q1851,Settings!$H$11:$H$15,0)),"No"))</f>
        <v/>
      </c>
      <c r="W1851" s="37" t="str">
        <f aca="false">IF(Q1851="","",IFERROR(INDEX(Settings!$J$11:$J$15,MATCH(Q1851,Settings!$H$11:$H$15,0)),"No"))</f>
        <v/>
      </c>
    </row>
    <row r="1852" customFormat="false" ht="15" hidden="false" customHeight="false" outlineLevel="0" collapsed="false">
      <c r="A1852" s="30"/>
      <c r="B1852" s="25"/>
      <c r="C1852" s="25"/>
      <c r="D1852" s="25"/>
      <c r="E1852" s="25"/>
      <c r="F1852" s="25"/>
      <c r="G1852" s="25"/>
      <c r="H1852" s="31"/>
      <c r="I1852" s="32"/>
      <c r="J1852" s="33"/>
      <c r="K1852" s="34" t="str">
        <f aca="false">IF(OR(H1852="",I1852=""),"",H1852*I1852*(1-N(J1852)))</f>
        <v/>
      </c>
      <c r="L1852" s="32"/>
      <c r="M1852" s="34" t="str">
        <f aca="false">IF(OR(H1852="",L1852=""),"",H1852*L1852)</f>
        <v/>
      </c>
      <c r="N1852" s="34" t="str">
        <f aca="false">IF(OR(K1852="",M1852=""),"",K1852-M1852)</f>
        <v/>
      </c>
      <c r="O1852" s="35" t="str">
        <f aca="false">IF(OR(N1852="",K1852=""),"",IF(K1852=0,"",N1852/K1852))</f>
        <v/>
      </c>
      <c r="P1852" s="25"/>
      <c r="Q1852" s="25"/>
      <c r="R1852" s="25"/>
      <c r="S1852" s="36" t="str">
        <f aca="false">IF(A1852="","",YEAR(A1852)+IF(AND(FYStart&gt;1,MONTH(A1852)&gt;=FYStart),1,0))</f>
        <v/>
      </c>
      <c r="T1852" s="36" t="str">
        <f aca="false">IF(A1852="","",MOD(MONTH(A1852)-FYStart,12)+1)</f>
        <v/>
      </c>
      <c r="U1852" s="37" t="str">
        <f aca="false">IF(A1852="","",TEXT(A1852,"mmm"))</f>
        <v/>
      </c>
      <c r="V1852" s="37" t="str">
        <f aca="false">IF(Q1852="","",IFERROR(INDEX(Settings!$I$11:$I$15,MATCH(Q1852,Settings!$H$11:$H$15,0)),"No"))</f>
        <v/>
      </c>
      <c r="W1852" s="37" t="str">
        <f aca="false">IF(Q1852="","",IFERROR(INDEX(Settings!$J$11:$J$15,MATCH(Q1852,Settings!$H$11:$H$15,0)),"No"))</f>
        <v/>
      </c>
    </row>
    <row r="1853" customFormat="false" ht="15" hidden="false" customHeight="false" outlineLevel="0" collapsed="false">
      <c r="A1853" s="30"/>
      <c r="B1853" s="25"/>
      <c r="C1853" s="25"/>
      <c r="D1853" s="25"/>
      <c r="E1853" s="25"/>
      <c r="F1853" s="25"/>
      <c r="G1853" s="25"/>
      <c r="H1853" s="31"/>
      <c r="I1853" s="32"/>
      <c r="J1853" s="33"/>
      <c r="K1853" s="34" t="str">
        <f aca="false">IF(OR(H1853="",I1853=""),"",H1853*I1853*(1-N(J1853)))</f>
        <v/>
      </c>
      <c r="L1853" s="32"/>
      <c r="M1853" s="34" t="str">
        <f aca="false">IF(OR(H1853="",L1853=""),"",H1853*L1853)</f>
        <v/>
      </c>
      <c r="N1853" s="34" t="str">
        <f aca="false">IF(OR(K1853="",M1853=""),"",K1853-M1853)</f>
        <v/>
      </c>
      <c r="O1853" s="35" t="str">
        <f aca="false">IF(OR(N1853="",K1853=""),"",IF(K1853=0,"",N1853/K1853))</f>
        <v/>
      </c>
      <c r="P1853" s="25"/>
      <c r="Q1853" s="25"/>
      <c r="R1853" s="25"/>
      <c r="S1853" s="36" t="str">
        <f aca="false">IF(A1853="","",YEAR(A1853)+IF(AND(FYStart&gt;1,MONTH(A1853)&gt;=FYStart),1,0))</f>
        <v/>
      </c>
      <c r="T1853" s="36" t="str">
        <f aca="false">IF(A1853="","",MOD(MONTH(A1853)-FYStart,12)+1)</f>
        <v/>
      </c>
      <c r="U1853" s="37" t="str">
        <f aca="false">IF(A1853="","",TEXT(A1853,"mmm"))</f>
        <v/>
      </c>
      <c r="V1853" s="37" t="str">
        <f aca="false">IF(Q1853="","",IFERROR(INDEX(Settings!$I$11:$I$15,MATCH(Q1853,Settings!$H$11:$H$15,0)),"No"))</f>
        <v/>
      </c>
      <c r="W1853" s="37" t="str">
        <f aca="false">IF(Q1853="","",IFERROR(INDEX(Settings!$J$11:$J$15,MATCH(Q1853,Settings!$H$11:$H$15,0)),"No"))</f>
        <v/>
      </c>
    </row>
    <row r="1854" customFormat="false" ht="15" hidden="false" customHeight="false" outlineLevel="0" collapsed="false">
      <c r="A1854" s="30"/>
      <c r="B1854" s="25"/>
      <c r="C1854" s="25"/>
      <c r="D1854" s="25"/>
      <c r="E1854" s="25"/>
      <c r="F1854" s="25"/>
      <c r="G1854" s="25"/>
      <c r="H1854" s="31"/>
      <c r="I1854" s="32"/>
      <c r="J1854" s="33"/>
      <c r="K1854" s="34" t="str">
        <f aca="false">IF(OR(H1854="",I1854=""),"",H1854*I1854*(1-N(J1854)))</f>
        <v/>
      </c>
      <c r="L1854" s="32"/>
      <c r="M1854" s="34" t="str">
        <f aca="false">IF(OR(H1854="",L1854=""),"",H1854*L1854)</f>
        <v/>
      </c>
      <c r="N1854" s="34" t="str">
        <f aca="false">IF(OR(K1854="",M1854=""),"",K1854-M1854)</f>
        <v/>
      </c>
      <c r="O1854" s="35" t="str">
        <f aca="false">IF(OR(N1854="",K1854=""),"",IF(K1854=0,"",N1854/K1854))</f>
        <v/>
      </c>
      <c r="P1854" s="25"/>
      <c r="Q1854" s="25"/>
      <c r="R1854" s="25"/>
      <c r="S1854" s="36" t="str">
        <f aca="false">IF(A1854="","",YEAR(A1854)+IF(AND(FYStart&gt;1,MONTH(A1854)&gt;=FYStart),1,0))</f>
        <v/>
      </c>
      <c r="T1854" s="36" t="str">
        <f aca="false">IF(A1854="","",MOD(MONTH(A1854)-FYStart,12)+1)</f>
        <v/>
      </c>
      <c r="U1854" s="37" t="str">
        <f aca="false">IF(A1854="","",TEXT(A1854,"mmm"))</f>
        <v/>
      </c>
      <c r="V1854" s="37" t="str">
        <f aca="false">IF(Q1854="","",IFERROR(INDEX(Settings!$I$11:$I$15,MATCH(Q1854,Settings!$H$11:$H$15,0)),"No"))</f>
        <v/>
      </c>
      <c r="W1854" s="37" t="str">
        <f aca="false">IF(Q1854="","",IFERROR(INDEX(Settings!$J$11:$J$15,MATCH(Q1854,Settings!$H$11:$H$15,0)),"No"))</f>
        <v/>
      </c>
    </row>
    <row r="1855" customFormat="false" ht="15" hidden="false" customHeight="false" outlineLevel="0" collapsed="false">
      <c r="A1855" s="30"/>
      <c r="B1855" s="25"/>
      <c r="C1855" s="25"/>
      <c r="D1855" s="25"/>
      <c r="E1855" s="25"/>
      <c r="F1855" s="25"/>
      <c r="G1855" s="25"/>
      <c r="H1855" s="31"/>
      <c r="I1855" s="32"/>
      <c r="J1855" s="33"/>
      <c r="K1855" s="34" t="str">
        <f aca="false">IF(OR(H1855="",I1855=""),"",H1855*I1855*(1-N(J1855)))</f>
        <v/>
      </c>
      <c r="L1855" s="32"/>
      <c r="M1855" s="34" t="str">
        <f aca="false">IF(OR(H1855="",L1855=""),"",H1855*L1855)</f>
        <v/>
      </c>
      <c r="N1855" s="34" t="str">
        <f aca="false">IF(OR(K1855="",M1855=""),"",K1855-M1855)</f>
        <v/>
      </c>
      <c r="O1855" s="35" t="str">
        <f aca="false">IF(OR(N1855="",K1855=""),"",IF(K1855=0,"",N1855/K1855))</f>
        <v/>
      </c>
      <c r="P1855" s="25"/>
      <c r="Q1855" s="25"/>
      <c r="R1855" s="25"/>
      <c r="S1855" s="36" t="str">
        <f aca="false">IF(A1855="","",YEAR(A1855)+IF(AND(FYStart&gt;1,MONTH(A1855)&gt;=FYStart),1,0))</f>
        <v/>
      </c>
      <c r="T1855" s="36" t="str">
        <f aca="false">IF(A1855="","",MOD(MONTH(A1855)-FYStart,12)+1)</f>
        <v/>
      </c>
      <c r="U1855" s="37" t="str">
        <f aca="false">IF(A1855="","",TEXT(A1855,"mmm"))</f>
        <v/>
      </c>
      <c r="V1855" s="37" t="str">
        <f aca="false">IF(Q1855="","",IFERROR(INDEX(Settings!$I$11:$I$15,MATCH(Q1855,Settings!$H$11:$H$15,0)),"No"))</f>
        <v/>
      </c>
      <c r="W1855" s="37" t="str">
        <f aca="false">IF(Q1855="","",IFERROR(INDEX(Settings!$J$11:$J$15,MATCH(Q1855,Settings!$H$11:$H$15,0)),"No"))</f>
        <v/>
      </c>
    </row>
    <row r="1856" customFormat="false" ht="15" hidden="false" customHeight="false" outlineLevel="0" collapsed="false">
      <c r="A1856" s="30"/>
      <c r="B1856" s="25"/>
      <c r="C1856" s="25"/>
      <c r="D1856" s="25"/>
      <c r="E1856" s="25"/>
      <c r="F1856" s="25"/>
      <c r="G1856" s="25"/>
      <c r="H1856" s="31"/>
      <c r="I1856" s="32"/>
      <c r="J1856" s="33"/>
      <c r="K1856" s="34" t="str">
        <f aca="false">IF(OR(H1856="",I1856=""),"",H1856*I1856*(1-N(J1856)))</f>
        <v/>
      </c>
      <c r="L1856" s="32"/>
      <c r="M1856" s="34" t="str">
        <f aca="false">IF(OR(H1856="",L1856=""),"",H1856*L1856)</f>
        <v/>
      </c>
      <c r="N1856" s="34" t="str">
        <f aca="false">IF(OR(K1856="",M1856=""),"",K1856-M1856)</f>
        <v/>
      </c>
      <c r="O1856" s="35" t="str">
        <f aca="false">IF(OR(N1856="",K1856=""),"",IF(K1856=0,"",N1856/K1856))</f>
        <v/>
      </c>
      <c r="P1856" s="25"/>
      <c r="Q1856" s="25"/>
      <c r="R1856" s="25"/>
      <c r="S1856" s="36" t="str">
        <f aca="false">IF(A1856="","",YEAR(A1856)+IF(AND(FYStart&gt;1,MONTH(A1856)&gt;=FYStart),1,0))</f>
        <v/>
      </c>
      <c r="T1856" s="36" t="str">
        <f aca="false">IF(A1856="","",MOD(MONTH(A1856)-FYStart,12)+1)</f>
        <v/>
      </c>
      <c r="U1856" s="37" t="str">
        <f aca="false">IF(A1856="","",TEXT(A1856,"mmm"))</f>
        <v/>
      </c>
      <c r="V1856" s="37" t="str">
        <f aca="false">IF(Q1856="","",IFERROR(INDEX(Settings!$I$11:$I$15,MATCH(Q1856,Settings!$H$11:$H$15,0)),"No"))</f>
        <v/>
      </c>
      <c r="W1856" s="37" t="str">
        <f aca="false">IF(Q1856="","",IFERROR(INDEX(Settings!$J$11:$J$15,MATCH(Q1856,Settings!$H$11:$H$15,0)),"No"))</f>
        <v/>
      </c>
    </row>
    <row r="1857" customFormat="false" ht="15" hidden="false" customHeight="false" outlineLevel="0" collapsed="false">
      <c r="A1857" s="30"/>
      <c r="B1857" s="25"/>
      <c r="C1857" s="25"/>
      <c r="D1857" s="25"/>
      <c r="E1857" s="25"/>
      <c r="F1857" s="25"/>
      <c r="G1857" s="25"/>
      <c r="H1857" s="31"/>
      <c r="I1857" s="32"/>
      <c r="J1857" s="33"/>
      <c r="K1857" s="34" t="str">
        <f aca="false">IF(OR(H1857="",I1857=""),"",H1857*I1857*(1-N(J1857)))</f>
        <v/>
      </c>
      <c r="L1857" s="32"/>
      <c r="M1857" s="34" t="str">
        <f aca="false">IF(OR(H1857="",L1857=""),"",H1857*L1857)</f>
        <v/>
      </c>
      <c r="N1857" s="34" t="str">
        <f aca="false">IF(OR(K1857="",M1857=""),"",K1857-M1857)</f>
        <v/>
      </c>
      <c r="O1857" s="35" t="str">
        <f aca="false">IF(OR(N1857="",K1857=""),"",IF(K1857=0,"",N1857/K1857))</f>
        <v/>
      </c>
      <c r="P1857" s="25"/>
      <c r="Q1857" s="25"/>
      <c r="R1857" s="25"/>
      <c r="S1857" s="36" t="str">
        <f aca="false">IF(A1857="","",YEAR(A1857)+IF(AND(FYStart&gt;1,MONTH(A1857)&gt;=FYStart),1,0))</f>
        <v/>
      </c>
      <c r="T1857" s="36" t="str">
        <f aca="false">IF(A1857="","",MOD(MONTH(A1857)-FYStart,12)+1)</f>
        <v/>
      </c>
      <c r="U1857" s="37" t="str">
        <f aca="false">IF(A1857="","",TEXT(A1857,"mmm"))</f>
        <v/>
      </c>
      <c r="V1857" s="37" t="str">
        <f aca="false">IF(Q1857="","",IFERROR(INDEX(Settings!$I$11:$I$15,MATCH(Q1857,Settings!$H$11:$H$15,0)),"No"))</f>
        <v/>
      </c>
      <c r="W1857" s="37" t="str">
        <f aca="false">IF(Q1857="","",IFERROR(INDEX(Settings!$J$11:$J$15,MATCH(Q1857,Settings!$H$11:$H$15,0)),"No"))</f>
        <v/>
      </c>
    </row>
    <row r="1858" customFormat="false" ht="15" hidden="false" customHeight="false" outlineLevel="0" collapsed="false">
      <c r="A1858" s="30"/>
      <c r="B1858" s="25"/>
      <c r="C1858" s="25"/>
      <c r="D1858" s="25"/>
      <c r="E1858" s="25"/>
      <c r="F1858" s="25"/>
      <c r="G1858" s="25"/>
      <c r="H1858" s="31"/>
      <c r="I1858" s="32"/>
      <c r="J1858" s="33"/>
      <c r="K1858" s="34" t="str">
        <f aca="false">IF(OR(H1858="",I1858=""),"",H1858*I1858*(1-N(J1858)))</f>
        <v/>
      </c>
      <c r="L1858" s="32"/>
      <c r="M1858" s="34" t="str">
        <f aca="false">IF(OR(H1858="",L1858=""),"",H1858*L1858)</f>
        <v/>
      </c>
      <c r="N1858" s="34" t="str">
        <f aca="false">IF(OR(K1858="",M1858=""),"",K1858-M1858)</f>
        <v/>
      </c>
      <c r="O1858" s="35" t="str">
        <f aca="false">IF(OR(N1858="",K1858=""),"",IF(K1858=0,"",N1858/K1858))</f>
        <v/>
      </c>
      <c r="P1858" s="25"/>
      <c r="Q1858" s="25"/>
      <c r="R1858" s="25"/>
      <c r="S1858" s="36" t="str">
        <f aca="false">IF(A1858="","",YEAR(A1858)+IF(AND(FYStart&gt;1,MONTH(A1858)&gt;=FYStart),1,0))</f>
        <v/>
      </c>
      <c r="T1858" s="36" t="str">
        <f aca="false">IF(A1858="","",MOD(MONTH(A1858)-FYStart,12)+1)</f>
        <v/>
      </c>
      <c r="U1858" s="37" t="str">
        <f aca="false">IF(A1858="","",TEXT(A1858,"mmm"))</f>
        <v/>
      </c>
      <c r="V1858" s="37" t="str">
        <f aca="false">IF(Q1858="","",IFERROR(INDEX(Settings!$I$11:$I$15,MATCH(Q1858,Settings!$H$11:$H$15,0)),"No"))</f>
        <v/>
      </c>
      <c r="W1858" s="37" t="str">
        <f aca="false">IF(Q1858="","",IFERROR(INDEX(Settings!$J$11:$J$15,MATCH(Q1858,Settings!$H$11:$H$15,0)),"No"))</f>
        <v/>
      </c>
    </row>
    <row r="1859" customFormat="false" ht="15" hidden="false" customHeight="false" outlineLevel="0" collapsed="false">
      <c r="A1859" s="30"/>
      <c r="B1859" s="25"/>
      <c r="C1859" s="25"/>
      <c r="D1859" s="25"/>
      <c r="E1859" s="25"/>
      <c r="F1859" s="25"/>
      <c r="G1859" s="25"/>
      <c r="H1859" s="31"/>
      <c r="I1859" s="32"/>
      <c r="J1859" s="33"/>
      <c r="K1859" s="34" t="str">
        <f aca="false">IF(OR(H1859="",I1859=""),"",H1859*I1859*(1-N(J1859)))</f>
        <v/>
      </c>
      <c r="L1859" s="32"/>
      <c r="M1859" s="34" t="str">
        <f aca="false">IF(OR(H1859="",L1859=""),"",H1859*L1859)</f>
        <v/>
      </c>
      <c r="N1859" s="34" t="str">
        <f aca="false">IF(OR(K1859="",M1859=""),"",K1859-M1859)</f>
        <v/>
      </c>
      <c r="O1859" s="35" t="str">
        <f aca="false">IF(OR(N1859="",K1859=""),"",IF(K1859=0,"",N1859/K1859))</f>
        <v/>
      </c>
      <c r="P1859" s="25"/>
      <c r="Q1859" s="25"/>
      <c r="R1859" s="25"/>
      <c r="S1859" s="36" t="str">
        <f aca="false">IF(A1859="","",YEAR(A1859)+IF(AND(FYStart&gt;1,MONTH(A1859)&gt;=FYStart),1,0))</f>
        <v/>
      </c>
      <c r="T1859" s="36" t="str">
        <f aca="false">IF(A1859="","",MOD(MONTH(A1859)-FYStart,12)+1)</f>
        <v/>
      </c>
      <c r="U1859" s="37" t="str">
        <f aca="false">IF(A1859="","",TEXT(A1859,"mmm"))</f>
        <v/>
      </c>
      <c r="V1859" s="37" t="str">
        <f aca="false">IF(Q1859="","",IFERROR(INDEX(Settings!$I$11:$I$15,MATCH(Q1859,Settings!$H$11:$H$15,0)),"No"))</f>
        <v/>
      </c>
      <c r="W1859" s="37" t="str">
        <f aca="false">IF(Q1859="","",IFERROR(INDEX(Settings!$J$11:$J$15,MATCH(Q1859,Settings!$H$11:$H$15,0)),"No"))</f>
        <v/>
      </c>
    </row>
    <row r="1860" customFormat="false" ht="15" hidden="false" customHeight="false" outlineLevel="0" collapsed="false">
      <c r="A1860" s="30"/>
      <c r="B1860" s="25"/>
      <c r="C1860" s="25"/>
      <c r="D1860" s="25"/>
      <c r="E1860" s="25"/>
      <c r="F1860" s="25"/>
      <c r="G1860" s="25"/>
      <c r="H1860" s="31"/>
      <c r="I1860" s="32"/>
      <c r="J1860" s="33"/>
      <c r="K1860" s="34" t="str">
        <f aca="false">IF(OR(H1860="",I1860=""),"",H1860*I1860*(1-N(J1860)))</f>
        <v/>
      </c>
      <c r="L1860" s="32"/>
      <c r="M1860" s="34" t="str">
        <f aca="false">IF(OR(H1860="",L1860=""),"",H1860*L1860)</f>
        <v/>
      </c>
      <c r="N1860" s="34" t="str">
        <f aca="false">IF(OR(K1860="",M1860=""),"",K1860-M1860)</f>
        <v/>
      </c>
      <c r="O1860" s="35" t="str">
        <f aca="false">IF(OR(N1860="",K1860=""),"",IF(K1860=0,"",N1860/K1860))</f>
        <v/>
      </c>
      <c r="P1860" s="25"/>
      <c r="Q1860" s="25"/>
      <c r="R1860" s="25"/>
      <c r="S1860" s="36" t="str">
        <f aca="false">IF(A1860="","",YEAR(A1860)+IF(AND(FYStart&gt;1,MONTH(A1860)&gt;=FYStart),1,0))</f>
        <v/>
      </c>
      <c r="T1860" s="36" t="str">
        <f aca="false">IF(A1860="","",MOD(MONTH(A1860)-FYStart,12)+1)</f>
        <v/>
      </c>
      <c r="U1860" s="37" t="str">
        <f aca="false">IF(A1860="","",TEXT(A1860,"mmm"))</f>
        <v/>
      </c>
      <c r="V1860" s="37" t="str">
        <f aca="false">IF(Q1860="","",IFERROR(INDEX(Settings!$I$11:$I$15,MATCH(Q1860,Settings!$H$11:$H$15,0)),"No"))</f>
        <v/>
      </c>
      <c r="W1860" s="37" t="str">
        <f aca="false">IF(Q1860="","",IFERROR(INDEX(Settings!$J$11:$J$15,MATCH(Q1860,Settings!$H$11:$H$15,0)),"No"))</f>
        <v/>
      </c>
    </row>
    <row r="1861" customFormat="false" ht="15" hidden="false" customHeight="false" outlineLevel="0" collapsed="false">
      <c r="A1861" s="30"/>
      <c r="B1861" s="25"/>
      <c r="C1861" s="25"/>
      <c r="D1861" s="25"/>
      <c r="E1861" s="25"/>
      <c r="F1861" s="25"/>
      <c r="G1861" s="25"/>
      <c r="H1861" s="31"/>
      <c r="I1861" s="32"/>
      <c r="J1861" s="33"/>
      <c r="K1861" s="34" t="str">
        <f aca="false">IF(OR(H1861="",I1861=""),"",H1861*I1861*(1-N(J1861)))</f>
        <v/>
      </c>
      <c r="L1861" s="32"/>
      <c r="M1861" s="34" t="str">
        <f aca="false">IF(OR(H1861="",L1861=""),"",H1861*L1861)</f>
        <v/>
      </c>
      <c r="N1861" s="34" t="str">
        <f aca="false">IF(OR(K1861="",M1861=""),"",K1861-M1861)</f>
        <v/>
      </c>
      <c r="O1861" s="35" t="str">
        <f aca="false">IF(OR(N1861="",K1861=""),"",IF(K1861=0,"",N1861/K1861))</f>
        <v/>
      </c>
      <c r="P1861" s="25"/>
      <c r="Q1861" s="25"/>
      <c r="R1861" s="25"/>
      <c r="S1861" s="36" t="str">
        <f aca="false">IF(A1861="","",YEAR(A1861)+IF(AND(FYStart&gt;1,MONTH(A1861)&gt;=FYStart),1,0))</f>
        <v/>
      </c>
      <c r="T1861" s="36" t="str">
        <f aca="false">IF(A1861="","",MOD(MONTH(A1861)-FYStart,12)+1)</f>
        <v/>
      </c>
      <c r="U1861" s="37" t="str">
        <f aca="false">IF(A1861="","",TEXT(A1861,"mmm"))</f>
        <v/>
      </c>
      <c r="V1861" s="37" t="str">
        <f aca="false">IF(Q1861="","",IFERROR(INDEX(Settings!$I$11:$I$15,MATCH(Q1861,Settings!$H$11:$H$15,0)),"No"))</f>
        <v/>
      </c>
      <c r="W1861" s="37" t="str">
        <f aca="false">IF(Q1861="","",IFERROR(INDEX(Settings!$J$11:$J$15,MATCH(Q1861,Settings!$H$11:$H$15,0)),"No"))</f>
        <v/>
      </c>
    </row>
    <row r="1862" customFormat="false" ht="15" hidden="false" customHeight="false" outlineLevel="0" collapsed="false">
      <c r="A1862" s="30"/>
      <c r="B1862" s="25"/>
      <c r="C1862" s="25"/>
      <c r="D1862" s="25"/>
      <c r="E1862" s="25"/>
      <c r="F1862" s="25"/>
      <c r="G1862" s="25"/>
      <c r="H1862" s="31"/>
      <c r="I1862" s="32"/>
      <c r="J1862" s="33"/>
      <c r="K1862" s="34" t="str">
        <f aca="false">IF(OR(H1862="",I1862=""),"",H1862*I1862*(1-N(J1862)))</f>
        <v/>
      </c>
      <c r="L1862" s="32"/>
      <c r="M1862" s="34" t="str">
        <f aca="false">IF(OR(H1862="",L1862=""),"",H1862*L1862)</f>
        <v/>
      </c>
      <c r="N1862" s="34" t="str">
        <f aca="false">IF(OR(K1862="",M1862=""),"",K1862-M1862)</f>
        <v/>
      </c>
      <c r="O1862" s="35" t="str">
        <f aca="false">IF(OR(N1862="",K1862=""),"",IF(K1862=0,"",N1862/K1862))</f>
        <v/>
      </c>
      <c r="P1862" s="25"/>
      <c r="Q1862" s="25"/>
      <c r="R1862" s="25"/>
      <c r="S1862" s="36" t="str">
        <f aca="false">IF(A1862="","",YEAR(A1862)+IF(AND(FYStart&gt;1,MONTH(A1862)&gt;=FYStart),1,0))</f>
        <v/>
      </c>
      <c r="T1862" s="36" t="str">
        <f aca="false">IF(A1862="","",MOD(MONTH(A1862)-FYStart,12)+1)</f>
        <v/>
      </c>
      <c r="U1862" s="37" t="str">
        <f aca="false">IF(A1862="","",TEXT(A1862,"mmm"))</f>
        <v/>
      </c>
      <c r="V1862" s="37" t="str">
        <f aca="false">IF(Q1862="","",IFERROR(INDEX(Settings!$I$11:$I$15,MATCH(Q1862,Settings!$H$11:$H$15,0)),"No"))</f>
        <v/>
      </c>
      <c r="W1862" s="37" t="str">
        <f aca="false">IF(Q1862="","",IFERROR(INDEX(Settings!$J$11:$J$15,MATCH(Q1862,Settings!$H$11:$H$15,0)),"No"))</f>
        <v/>
      </c>
    </row>
    <row r="1863" customFormat="false" ht="15" hidden="false" customHeight="false" outlineLevel="0" collapsed="false">
      <c r="A1863" s="30"/>
      <c r="B1863" s="25"/>
      <c r="C1863" s="25"/>
      <c r="D1863" s="25"/>
      <c r="E1863" s="25"/>
      <c r="F1863" s="25"/>
      <c r="G1863" s="25"/>
      <c r="H1863" s="31"/>
      <c r="I1863" s="32"/>
      <c r="J1863" s="33"/>
      <c r="K1863" s="34" t="str">
        <f aca="false">IF(OR(H1863="",I1863=""),"",H1863*I1863*(1-N(J1863)))</f>
        <v/>
      </c>
      <c r="L1863" s="32"/>
      <c r="M1863" s="34" t="str">
        <f aca="false">IF(OR(H1863="",L1863=""),"",H1863*L1863)</f>
        <v/>
      </c>
      <c r="N1863" s="34" t="str">
        <f aca="false">IF(OR(K1863="",M1863=""),"",K1863-M1863)</f>
        <v/>
      </c>
      <c r="O1863" s="35" t="str">
        <f aca="false">IF(OR(N1863="",K1863=""),"",IF(K1863=0,"",N1863/K1863))</f>
        <v/>
      </c>
      <c r="P1863" s="25"/>
      <c r="Q1863" s="25"/>
      <c r="R1863" s="25"/>
      <c r="S1863" s="36" t="str">
        <f aca="false">IF(A1863="","",YEAR(A1863)+IF(AND(FYStart&gt;1,MONTH(A1863)&gt;=FYStart),1,0))</f>
        <v/>
      </c>
      <c r="T1863" s="36" t="str">
        <f aca="false">IF(A1863="","",MOD(MONTH(A1863)-FYStart,12)+1)</f>
        <v/>
      </c>
      <c r="U1863" s="37" t="str">
        <f aca="false">IF(A1863="","",TEXT(A1863,"mmm"))</f>
        <v/>
      </c>
      <c r="V1863" s="37" t="str">
        <f aca="false">IF(Q1863="","",IFERROR(INDEX(Settings!$I$11:$I$15,MATCH(Q1863,Settings!$H$11:$H$15,0)),"No"))</f>
        <v/>
      </c>
      <c r="W1863" s="37" t="str">
        <f aca="false">IF(Q1863="","",IFERROR(INDEX(Settings!$J$11:$J$15,MATCH(Q1863,Settings!$H$11:$H$15,0)),"No"))</f>
        <v/>
      </c>
    </row>
    <row r="1864" customFormat="false" ht="15" hidden="false" customHeight="false" outlineLevel="0" collapsed="false">
      <c r="A1864" s="30"/>
      <c r="B1864" s="25"/>
      <c r="C1864" s="25"/>
      <c r="D1864" s="25"/>
      <c r="E1864" s="25"/>
      <c r="F1864" s="25"/>
      <c r="G1864" s="25"/>
      <c r="H1864" s="31"/>
      <c r="I1864" s="32"/>
      <c r="J1864" s="33"/>
      <c r="K1864" s="34" t="str">
        <f aca="false">IF(OR(H1864="",I1864=""),"",H1864*I1864*(1-N(J1864)))</f>
        <v/>
      </c>
      <c r="L1864" s="32"/>
      <c r="M1864" s="34" t="str">
        <f aca="false">IF(OR(H1864="",L1864=""),"",H1864*L1864)</f>
        <v/>
      </c>
      <c r="N1864" s="34" t="str">
        <f aca="false">IF(OR(K1864="",M1864=""),"",K1864-M1864)</f>
        <v/>
      </c>
      <c r="O1864" s="35" t="str">
        <f aca="false">IF(OR(N1864="",K1864=""),"",IF(K1864=0,"",N1864/K1864))</f>
        <v/>
      </c>
      <c r="P1864" s="25"/>
      <c r="Q1864" s="25"/>
      <c r="R1864" s="25"/>
      <c r="S1864" s="36" t="str">
        <f aca="false">IF(A1864="","",YEAR(A1864)+IF(AND(FYStart&gt;1,MONTH(A1864)&gt;=FYStart),1,0))</f>
        <v/>
      </c>
      <c r="T1864" s="36" t="str">
        <f aca="false">IF(A1864="","",MOD(MONTH(A1864)-FYStart,12)+1)</f>
        <v/>
      </c>
      <c r="U1864" s="37" t="str">
        <f aca="false">IF(A1864="","",TEXT(A1864,"mmm"))</f>
        <v/>
      </c>
      <c r="V1864" s="37" t="str">
        <f aca="false">IF(Q1864="","",IFERROR(INDEX(Settings!$I$11:$I$15,MATCH(Q1864,Settings!$H$11:$H$15,0)),"No"))</f>
        <v/>
      </c>
      <c r="W1864" s="37" t="str">
        <f aca="false">IF(Q1864="","",IFERROR(INDEX(Settings!$J$11:$J$15,MATCH(Q1864,Settings!$H$11:$H$15,0)),"No"))</f>
        <v/>
      </c>
    </row>
    <row r="1865" customFormat="false" ht="15" hidden="false" customHeight="false" outlineLevel="0" collapsed="false">
      <c r="A1865" s="30"/>
      <c r="B1865" s="25"/>
      <c r="C1865" s="25"/>
      <c r="D1865" s="25"/>
      <c r="E1865" s="25"/>
      <c r="F1865" s="25"/>
      <c r="G1865" s="25"/>
      <c r="H1865" s="31"/>
      <c r="I1865" s="32"/>
      <c r="J1865" s="33"/>
      <c r="K1865" s="34" t="str">
        <f aca="false">IF(OR(H1865="",I1865=""),"",H1865*I1865*(1-N(J1865)))</f>
        <v/>
      </c>
      <c r="L1865" s="32"/>
      <c r="M1865" s="34" t="str">
        <f aca="false">IF(OR(H1865="",L1865=""),"",H1865*L1865)</f>
        <v/>
      </c>
      <c r="N1865" s="34" t="str">
        <f aca="false">IF(OR(K1865="",M1865=""),"",K1865-M1865)</f>
        <v/>
      </c>
      <c r="O1865" s="35" t="str">
        <f aca="false">IF(OR(N1865="",K1865=""),"",IF(K1865=0,"",N1865/K1865))</f>
        <v/>
      </c>
      <c r="P1865" s="25"/>
      <c r="Q1865" s="25"/>
      <c r="R1865" s="25"/>
      <c r="S1865" s="36" t="str">
        <f aca="false">IF(A1865="","",YEAR(A1865)+IF(AND(FYStart&gt;1,MONTH(A1865)&gt;=FYStart),1,0))</f>
        <v/>
      </c>
      <c r="T1865" s="36" t="str">
        <f aca="false">IF(A1865="","",MOD(MONTH(A1865)-FYStart,12)+1)</f>
        <v/>
      </c>
      <c r="U1865" s="37" t="str">
        <f aca="false">IF(A1865="","",TEXT(A1865,"mmm"))</f>
        <v/>
      </c>
      <c r="V1865" s="37" t="str">
        <f aca="false">IF(Q1865="","",IFERROR(INDEX(Settings!$I$11:$I$15,MATCH(Q1865,Settings!$H$11:$H$15,0)),"No"))</f>
        <v/>
      </c>
      <c r="W1865" s="37" t="str">
        <f aca="false">IF(Q1865="","",IFERROR(INDEX(Settings!$J$11:$J$15,MATCH(Q1865,Settings!$H$11:$H$15,0)),"No"))</f>
        <v/>
      </c>
    </row>
    <row r="1866" customFormat="false" ht="15" hidden="false" customHeight="false" outlineLevel="0" collapsed="false">
      <c r="A1866" s="30"/>
      <c r="B1866" s="25"/>
      <c r="C1866" s="25"/>
      <c r="D1866" s="25"/>
      <c r="E1866" s="25"/>
      <c r="F1866" s="25"/>
      <c r="G1866" s="25"/>
      <c r="H1866" s="31"/>
      <c r="I1866" s="32"/>
      <c r="J1866" s="33"/>
      <c r="K1866" s="34" t="str">
        <f aca="false">IF(OR(H1866="",I1866=""),"",H1866*I1866*(1-N(J1866)))</f>
        <v/>
      </c>
      <c r="L1866" s="32"/>
      <c r="M1866" s="34" t="str">
        <f aca="false">IF(OR(H1866="",L1866=""),"",H1866*L1866)</f>
        <v/>
      </c>
      <c r="N1866" s="34" t="str">
        <f aca="false">IF(OR(K1866="",M1866=""),"",K1866-M1866)</f>
        <v/>
      </c>
      <c r="O1866" s="35" t="str">
        <f aca="false">IF(OR(N1866="",K1866=""),"",IF(K1866=0,"",N1866/K1866))</f>
        <v/>
      </c>
      <c r="P1866" s="25"/>
      <c r="Q1866" s="25"/>
      <c r="R1866" s="25"/>
      <c r="S1866" s="36" t="str">
        <f aca="false">IF(A1866="","",YEAR(A1866)+IF(AND(FYStart&gt;1,MONTH(A1866)&gt;=FYStart),1,0))</f>
        <v/>
      </c>
      <c r="T1866" s="36" t="str">
        <f aca="false">IF(A1866="","",MOD(MONTH(A1866)-FYStart,12)+1)</f>
        <v/>
      </c>
      <c r="U1866" s="37" t="str">
        <f aca="false">IF(A1866="","",TEXT(A1866,"mmm"))</f>
        <v/>
      </c>
      <c r="V1866" s="37" t="str">
        <f aca="false">IF(Q1866="","",IFERROR(INDEX(Settings!$I$11:$I$15,MATCH(Q1866,Settings!$H$11:$H$15,0)),"No"))</f>
        <v/>
      </c>
      <c r="W1866" s="37" t="str">
        <f aca="false">IF(Q1866="","",IFERROR(INDEX(Settings!$J$11:$J$15,MATCH(Q1866,Settings!$H$11:$H$15,0)),"No"))</f>
        <v/>
      </c>
    </row>
    <row r="1867" customFormat="false" ht="15" hidden="false" customHeight="false" outlineLevel="0" collapsed="false">
      <c r="A1867" s="30"/>
      <c r="B1867" s="25"/>
      <c r="C1867" s="25"/>
      <c r="D1867" s="25"/>
      <c r="E1867" s="25"/>
      <c r="F1867" s="25"/>
      <c r="G1867" s="25"/>
      <c r="H1867" s="31"/>
      <c r="I1867" s="32"/>
      <c r="J1867" s="33"/>
      <c r="K1867" s="34" t="str">
        <f aca="false">IF(OR(H1867="",I1867=""),"",H1867*I1867*(1-N(J1867)))</f>
        <v/>
      </c>
      <c r="L1867" s="32"/>
      <c r="M1867" s="34" t="str">
        <f aca="false">IF(OR(H1867="",L1867=""),"",H1867*L1867)</f>
        <v/>
      </c>
      <c r="N1867" s="34" t="str">
        <f aca="false">IF(OR(K1867="",M1867=""),"",K1867-M1867)</f>
        <v/>
      </c>
      <c r="O1867" s="35" t="str">
        <f aca="false">IF(OR(N1867="",K1867=""),"",IF(K1867=0,"",N1867/K1867))</f>
        <v/>
      </c>
      <c r="P1867" s="25"/>
      <c r="Q1867" s="25"/>
      <c r="R1867" s="25"/>
      <c r="S1867" s="36" t="str">
        <f aca="false">IF(A1867="","",YEAR(A1867)+IF(AND(FYStart&gt;1,MONTH(A1867)&gt;=FYStart),1,0))</f>
        <v/>
      </c>
      <c r="T1867" s="36" t="str">
        <f aca="false">IF(A1867="","",MOD(MONTH(A1867)-FYStart,12)+1)</f>
        <v/>
      </c>
      <c r="U1867" s="37" t="str">
        <f aca="false">IF(A1867="","",TEXT(A1867,"mmm"))</f>
        <v/>
      </c>
      <c r="V1867" s="37" t="str">
        <f aca="false">IF(Q1867="","",IFERROR(INDEX(Settings!$I$11:$I$15,MATCH(Q1867,Settings!$H$11:$H$15,0)),"No"))</f>
        <v/>
      </c>
      <c r="W1867" s="37" t="str">
        <f aca="false">IF(Q1867="","",IFERROR(INDEX(Settings!$J$11:$J$15,MATCH(Q1867,Settings!$H$11:$H$15,0)),"No"))</f>
        <v/>
      </c>
    </row>
    <row r="1868" customFormat="false" ht="15" hidden="false" customHeight="false" outlineLevel="0" collapsed="false">
      <c r="A1868" s="30"/>
      <c r="B1868" s="25"/>
      <c r="C1868" s="25"/>
      <c r="D1868" s="25"/>
      <c r="E1868" s="25"/>
      <c r="F1868" s="25"/>
      <c r="G1868" s="25"/>
      <c r="H1868" s="31"/>
      <c r="I1868" s="32"/>
      <c r="J1868" s="33"/>
      <c r="K1868" s="34" t="str">
        <f aca="false">IF(OR(H1868="",I1868=""),"",H1868*I1868*(1-N(J1868)))</f>
        <v/>
      </c>
      <c r="L1868" s="32"/>
      <c r="M1868" s="34" t="str">
        <f aca="false">IF(OR(H1868="",L1868=""),"",H1868*L1868)</f>
        <v/>
      </c>
      <c r="N1868" s="34" t="str">
        <f aca="false">IF(OR(K1868="",M1868=""),"",K1868-M1868)</f>
        <v/>
      </c>
      <c r="O1868" s="35" t="str">
        <f aca="false">IF(OR(N1868="",K1868=""),"",IF(K1868=0,"",N1868/K1868))</f>
        <v/>
      </c>
      <c r="P1868" s="25"/>
      <c r="Q1868" s="25"/>
      <c r="R1868" s="25"/>
      <c r="S1868" s="36" t="str">
        <f aca="false">IF(A1868="","",YEAR(A1868)+IF(AND(FYStart&gt;1,MONTH(A1868)&gt;=FYStart),1,0))</f>
        <v/>
      </c>
      <c r="T1868" s="36" t="str">
        <f aca="false">IF(A1868="","",MOD(MONTH(A1868)-FYStart,12)+1)</f>
        <v/>
      </c>
      <c r="U1868" s="37" t="str">
        <f aca="false">IF(A1868="","",TEXT(A1868,"mmm"))</f>
        <v/>
      </c>
      <c r="V1868" s="37" t="str">
        <f aca="false">IF(Q1868="","",IFERROR(INDEX(Settings!$I$11:$I$15,MATCH(Q1868,Settings!$H$11:$H$15,0)),"No"))</f>
        <v/>
      </c>
      <c r="W1868" s="37" t="str">
        <f aca="false">IF(Q1868="","",IFERROR(INDEX(Settings!$J$11:$J$15,MATCH(Q1868,Settings!$H$11:$H$15,0)),"No"))</f>
        <v/>
      </c>
    </row>
    <row r="1869" customFormat="false" ht="15" hidden="false" customHeight="false" outlineLevel="0" collapsed="false">
      <c r="A1869" s="30"/>
      <c r="B1869" s="25"/>
      <c r="C1869" s="25"/>
      <c r="D1869" s="25"/>
      <c r="E1869" s="25"/>
      <c r="F1869" s="25"/>
      <c r="G1869" s="25"/>
      <c r="H1869" s="31"/>
      <c r="I1869" s="32"/>
      <c r="J1869" s="33"/>
      <c r="K1869" s="34" t="str">
        <f aca="false">IF(OR(H1869="",I1869=""),"",H1869*I1869*(1-N(J1869)))</f>
        <v/>
      </c>
      <c r="L1869" s="32"/>
      <c r="M1869" s="34" t="str">
        <f aca="false">IF(OR(H1869="",L1869=""),"",H1869*L1869)</f>
        <v/>
      </c>
      <c r="N1869" s="34" t="str">
        <f aca="false">IF(OR(K1869="",M1869=""),"",K1869-M1869)</f>
        <v/>
      </c>
      <c r="O1869" s="35" t="str">
        <f aca="false">IF(OR(N1869="",K1869=""),"",IF(K1869=0,"",N1869/K1869))</f>
        <v/>
      </c>
      <c r="P1869" s="25"/>
      <c r="Q1869" s="25"/>
      <c r="R1869" s="25"/>
      <c r="S1869" s="36" t="str">
        <f aca="false">IF(A1869="","",YEAR(A1869)+IF(AND(FYStart&gt;1,MONTH(A1869)&gt;=FYStart),1,0))</f>
        <v/>
      </c>
      <c r="T1869" s="36" t="str">
        <f aca="false">IF(A1869="","",MOD(MONTH(A1869)-FYStart,12)+1)</f>
        <v/>
      </c>
      <c r="U1869" s="37" t="str">
        <f aca="false">IF(A1869="","",TEXT(A1869,"mmm"))</f>
        <v/>
      </c>
      <c r="V1869" s="37" t="str">
        <f aca="false">IF(Q1869="","",IFERROR(INDEX(Settings!$I$11:$I$15,MATCH(Q1869,Settings!$H$11:$H$15,0)),"No"))</f>
        <v/>
      </c>
      <c r="W1869" s="37" t="str">
        <f aca="false">IF(Q1869="","",IFERROR(INDEX(Settings!$J$11:$J$15,MATCH(Q1869,Settings!$H$11:$H$15,0)),"No"))</f>
        <v/>
      </c>
    </row>
    <row r="1870" customFormat="false" ht="15" hidden="false" customHeight="false" outlineLevel="0" collapsed="false">
      <c r="A1870" s="30"/>
      <c r="B1870" s="25"/>
      <c r="C1870" s="25"/>
      <c r="D1870" s="25"/>
      <c r="E1870" s="25"/>
      <c r="F1870" s="25"/>
      <c r="G1870" s="25"/>
      <c r="H1870" s="31"/>
      <c r="I1870" s="32"/>
      <c r="J1870" s="33"/>
      <c r="K1870" s="34" t="str">
        <f aca="false">IF(OR(H1870="",I1870=""),"",H1870*I1870*(1-N(J1870)))</f>
        <v/>
      </c>
      <c r="L1870" s="32"/>
      <c r="M1870" s="34" t="str">
        <f aca="false">IF(OR(H1870="",L1870=""),"",H1870*L1870)</f>
        <v/>
      </c>
      <c r="N1870" s="34" t="str">
        <f aca="false">IF(OR(K1870="",M1870=""),"",K1870-M1870)</f>
        <v/>
      </c>
      <c r="O1870" s="35" t="str">
        <f aca="false">IF(OR(N1870="",K1870=""),"",IF(K1870=0,"",N1870/K1870))</f>
        <v/>
      </c>
      <c r="P1870" s="25"/>
      <c r="Q1870" s="25"/>
      <c r="R1870" s="25"/>
      <c r="S1870" s="36" t="str">
        <f aca="false">IF(A1870="","",YEAR(A1870)+IF(AND(FYStart&gt;1,MONTH(A1870)&gt;=FYStart),1,0))</f>
        <v/>
      </c>
      <c r="T1870" s="36" t="str">
        <f aca="false">IF(A1870="","",MOD(MONTH(A1870)-FYStart,12)+1)</f>
        <v/>
      </c>
      <c r="U1870" s="37" t="str">
        <f aca="false">IF(A1870="","",TEXT(A1870,"mmm"))</f>
        <v/>
      </c>
      <c r="V1870" s="37" t="str">
        <f aca="false">IF(Q1870="","",IFERROR(INDEX(Settings!$I$11:$I$15,MATCH(Q1870,Settings!$H$11:$H$15,0)),"No"))</f>
        <v/>
      </c>
      <c r="W1870" s="37" t="str">
        <f aca="false">IF(Q1870="","",IFERROR(INDEX(Settings!$J$11:$J$15,MATCH(Q1870,Settings!$H$11:$H$15,0)),"No"))</f>
        <v/>
      </c>
    </row>
    <row r="1871" customFormat="false" ht="15" hidden="false" customHeight="false" outlineLevel="0" collapsed="false">
      <c r="A1871" s="30"/>
      <c r="B1871" s="25"/>
      <c r="C1871" s="25"/>
      <c r="D1871" s="25"/>
      <c r="E1871" s="25"/>
      <c r="F1871" s="25"/>
      <c r="G1871" s="25"/>
      <c r="H1871" s="31"/>
      <c r="I1871" s="32"/>
      <c r="J1871" s="33"/>
      <c r="K1871" s="34" t="str">
        <f aca="false">IF(OR(H1871="",I1871=""),"",H1871*I1871*(1-N(J1871)))</f>
        <v/>
      </c>
      <c r="L1871" s="32"/>
      <c r="M1871" s="34" t="str">
        <f aca="false">IF(OR(H1871="",L1871=""),"",H1871*L1871)</f>
        <v/>
      </c>
      <c r="N1871" s="34" t="str">
        <f aca="false">IF(OR(K1871="",M1871=""),"",K1871-M1871)</f>
        <v/>
      </c>
      <c r="O1871" s="35" t="str">
        <f aca="false">IF(OR(N1871="",K1871=""),"",IF(K1871=0,"",N1871/K1871))</f>
        <v/>
      </c>
      <c r="P1871" s="25"/>
      <c r="Q1871" s="25"/>
      <c r="R1871" s="25"/>
      <c r="S1871" s="36" t="str">
        <f aca="false">IF(A1871="","",YEAR(A1871)+IF(AND(FYStart&gt;1,MONTH(A1871)&gt;=FYStart),1,0))</f>
        <v/>
      </c>
      <c r="T1871" s="36" t="str">
        <f aca="false">IF(A1871="","",MOD(MONTH(A1871)-FYStart,12)+1)</f>
        <v/>
      </c>
      <c r="U1871" s="37" t="str">
        <f aca="false">IF(A1871="","",TEXT(A1871,"mmm"))</f>
        <v/>
      </c>
      <c r="V1871" s="37" t="str">
        <f aca="false">IF(Q1871="","",IFERROR(INDEX(Settings!$I$11:$I$15,MATCH(Q1871,Settings!$H$11:$H$15,0)),"No"))</f>
        <v/>
      </c>
      <c r="W1871" s="37" t="str">
        <f aca="false">IF(Q1871="","",IFERROR(INDEX(Settings!$J$11:$J$15,MATCH(Q1871,Settings!$H$11:$H$15,0)),"No"))</f>
        <v/>
      </c>
    </row>
    <row r="1872" customFormat="false" ht="15" hidden="false" customHeight="false" outlineLevel="0" collapsed="false">
      <c r="A1872" s="30"/>
      <c r="B1872" s="25"/>
      <c r="C1872" s="25"/>
      <c r="D1872" s="25"/>
      <c r="E1872" s="25"/>
      <c r="F1872" s="25"/>
      <c r="G1872" s="25"/>
      <c r="H1872" s="31"/>
      <c r="I1872" s="32"/>
      <c r="J1872" s="33"/>
      <c r="K1872" s="34" t="str">
        <f aca="false">IF(OR(H1872="",I1872=""),"",H1872*I1872*(1-N(J1872)))</f>
        <v/>
      </c>
      <c r="L1872" s="32"/>
      <c r="M1872" s="34" t="str">
        <f aca="false">IF(OR(H1872="",L1872=""),"",H1872*L1872)</f>
        <v/>
      </c>
      <c r="N1872" s="34" t="str">
        <f aca="false">IF(OR(K1872="",M1872=""),"",K1872-M1872)</f>
        <v/>
      </c>
      <c r="O1872" s="35" t="str">
        <f aca="false">IF(OR(N1872="",K1872=""),"",IF(K1872=0,"",N1872/K1872))</f>
        <v/>
      </c>
      <c r="P1872" s="25"/>
      <c r="Q1872" s="25"/>
      <c r="R1872" s="25"/>
      <c r="S1872" s="36" t="str">
        <f aca="false">IF(A1872="","",YEAR(A1872)+IF(AND(FYStart&gt;1,MONTH(A1872)&gt;=FYStart),1,0))</f>
        <v/>
      </c>
      <c r="T1872" s="36" t="str">
        <f aca="false">IF(A1872="","",MOD(MONTH(A1872)-FYStart,12)+1)</f>
        <v/>
      </c>
      <c r="U1872" s="37" t="str">
        <f aca="false">IF(A1872="","",TEXT(A1872,"mmm"))</f>
        <v/>
      </c>
      <c r="V1872" s="37" t="str">
        <f aca="false">IF(Q1872="","",IFERROR(INDEX(Settings!$I$11:$I$15,MATCH(Q1872,Settings!$H$11:$H$15,0)),"No"))</f>
        <v/>
      </c>
      <c r="W1872" s="37" t="str">
        <f aca="false">IF(Q1872="","",IFERROR(INDEX(Settings!$J$11:$J$15,MATCH(Q1872,Settings!$H$11:$H$15,0)),"No"))</f>
        <v/>
      </c>
    </row>
    <row r="1873" customFormat="false" ht="15" hidden="false" customHeight="false" outlineLevel="0" collapsed="false">
      <c r="A1873" s="30"/>
      <c r="B1873" s="25"/>
      <c r="C1873" s="25"/>
      <c r="D1873" s="25"/>
      <c r="E1873" s="25"/>
      <c r="F1873" s="25"/>
      <c r="G1873" s="25"/>
      <c r="H1873" s="31"/>
      <c r="I1873" s="32"/>
      <c r="J1873" s="33"/>
      <c r="K1873" s="34" t="str">
        <f aca="false">IF(OR(H1873="",I1873=""),"",H1873*I1873*(1-N(J1873)))</f>
        <v/>
      </c>
      <c r="L1873" s="32"/>
      <c r="M1873" s="34" t="str">
        <f aca="false">IF(OR(H1873="",L1873=""),"",H1873*L1873)</f>
        <v/>
      </c>
      <c r="N1873" s="34" t="str">
        <f aca="false">IF(OR(K1873="",M1873=""),"",K1873-M1873)</f>
        <v/>
      </c>
      <c r="O1873" s="35" t="str">
        <f aca="false">IF(OR(N1873="",K1873=""),"",IF(K1873=0,"",N1873/K1873))</f>
        <v/>
      </c>
      <c r="P1873" s="25"/>
      <c r="Q1873" s="25"/>
      <c r="R1873" s="25"/>
      <c r="S1873" s="36" t="str">
        <f aca="false">IF(A1873="","",YEAR(A1873)+IF(AND(FYStart&gt;1,MONTH(A1873)&gt;=FYStart),1,0))</f>
        <v/>
      </c>
      <c r="T1873" s="36" t="str">
        <f aca="false">IF(A1873="","",MOD(MONTH(A1873)-FYStart,12)+1)</f>
        <v/>
      </c>
      <c r="U1873" s="37" t="str">
        <f aca="false">IF(A1873="","",TEXT(A1873,"mmm"))</f>
        <v/>
      </c>
      <c r="V1873" s="37" t="str">
        <f aca="false">IF(Q1873="","",IFERROR(INDEX(Settings!$I$11:$I$15,MATCH(Q1873,Settings!$H$11:$H$15,0)),"No"))</f>
        <v/>
      </c>
      <c r="W1873" s="37" t="str">
        <f aca="false">IF(Q1873="","",IFERROR(INDEX(Settings!$J$11:$J$15,MATCH(Q1873,Settings!$H$11:$H$15,0)),"No"))</f>
        <v/>
      </c>
    </row>
    <row r="1874" customFormat="false" ht="15" hidden="false" customHeight="false" outlineLevel="0" collapsed="false">
      <c r="A1874" s="30"/>
      <c r="B1874" s="25"/>
      <c r="C1874" s="25"/>
      <c r="D1874" s="25"/>
      <c r="E1874" s="25"/>
      <c r="F1874" s="25"/>
      <c r="G1874" s="25"/>
      <c r="H1874" s="31"/>
      <c r="I1874" s="32"/>
      <c r="J1874" s="33"/>
      <c r="K1874" s="34" t="str">
        <f aca="false">IF(OR(H1874="",I1874=""),"",H1874*I1874*(1-N(J1874)))</f>
        <v/>
      </c>
      <c r="L1874" s="32"/>
      <c r="M1874" s="34" t="str">
        <f aca="false">IF(OR(H1874="",L1874=""),"",H1874*L1874)</f>
        <v/>
      </c>
      <c r="N1874" s="34" t="str">
        <f aca="false">IF(OR(K1874="",M1874=""),"",K1874-M1874)</f>
        <v/>
      </c>
      <c r="O1874" s="35" t="str">
        <f aca="false">IF(OR(N1874="",K1874=""),"",IF(K1874=0,"",N1874/K1874))</f>
        <v/>
      </c>
      <c r="P1874" s="25"/>
      <c r="Q1874" s="25"/>
      <c r="R1874" s="25"/>
      <c r="S1874" s="36" t="str">
        <f aca="false">IF(A1874="","",YEAR(A1874)+IF(AND(FYStart&gt;1,MONTH(A1874)&gt;=FYStart),1,0))</f>
        <v/>
      </c>
      <c r="T1874" s="36" t="str">
        <f aca="false">IF(A1874="","",MOD(MONTH(A1874)-FYStart,12)+1)</f>
        <v/>
      </c>
      <c r="U1874" s="37" t="str">
        <f aca="false">IF(A1874="","",TEXT(A1874,"mmm"))</f>
        <v/>
      </c>
      <c r="V1874" s="37" t="str">
        <f aca="false">IF(Q1874="","",IFERROR(INDEX(Settings!$I$11:$I$15,MATCH(Q1874,Settings!$H$11:$H$15,0)),"No"))</f>
        <v/>
      </c>
      <c r="W1874" s="37" t="str">
        <f aca="false">IF(Q1874="","",IFERROR(INDEX(Settings!$J$11:$J$15,MATCH(Q1874,Settings!$H$11:$H$15,0)),"No"))</f>
        <v/>
      </c>
    </row>
    <row r="1875" customFormat="false" ht="15" hidden="false" customHeight="false" outlineLevel="0" collapsed="false">
      <c r="A1875" s="30"/>
      <c r="B1875" s="25"/>
      <c r="C1875" s="25"/>
      <c r="D1875" s="25"/>
      <c r="E1875" s="25"/>
      <c r="F1875" s="25"/>
      <c r="G1875" s="25"/>
      <c r="H1875" s="31"/>
      <c r="I1875" s="32"/>
      <c r="J1875" s="33"/>
      <c r="K1875" s="34" t="str">
        <f aca="false">IF(OR(H1875="",I1875=""),"",H1875*I1875*(1-N(J1875)))</f>
        <v/>
      </c>
      <c r="L1875" s="32"/>
      <c r="M1875" s="34" t="str">
        <f aca="false">IF(OR(H1875="",L1875=""),"",H1875*L1875)</f>
        <v/>
      </c>
      <c r="N1875" s="34" t="str">
        <f aca="false">IF(OR(K1875="",M1875=""),"",K1875-M1875)</f>
        <v/>
      </c>
      <c r="O1875" s="35" t="str">
        <f aca="false">IF(OR(N1875="",K1875=""),"",IF(K1875=0,"",N1875/K1875))</f>
        <v/>
      </c>
      <c r="P1875" s="25"/>
      <c r="Q1875" s="25"/>
      <c r="R1875" s="25"/>
      <c r="S1875" s="36" t="str">
        <f aca="false">IF(A1875="","",YEAR(A1875)+IF(AND(FYStart&gt;1,MONTH(A1875)&gt;=FYStart),1,0))</f>
        <v/>
      </c>
      <c r="T1875" s="36" t="str">
        <f aca="false">IF(A1875="","",MOD(MONTH(A1875)-FYStart,12)+1)</f>
        <v/>
      </c>
      <c r="U1875" s="37" t="str">
        <f aca="false">IF(A1875="","",TEXT(A1875,"mmm"))</f>
        <v/>
      </c>
      <c r="V1875" s="37" t="str">
        <f aca="false">IF(Q1875="","",IFERROR(INDEX(Settings!$I$11:$I$15,MATCH(Q1875,Settings!$H$11:$H$15,0)),"No"))</f>
        <v/>
      </c>
      <c r="W1875" s="37" t="str">
        <f aca="false">IF(Q1875="","",IFERROR(INDEX(Settings!$J$11:$J$15,MATCH(Q1875,Settings!$H$11:$H$15,0)),"No"))</f>
        <v/>
      </c>
    </row>
    <row r="1876" customFormat="false" ht="15" hidden="false" customHeight="false" outlineLevel="0" collapsed="false">
      <c r="A1876" s="30"/>
      <c r="B1876" s="25"/>
      <c r="C1876" s="25"/>
      <c r="D1876" s="25"/>
      <c r="E1876" s="25"/>
      <c r="F1876" s="25"/>
      <c r="G1876" s="25"/>
      <c r="H1876" s="31"/>
      <c r="I1876" s="32"/>
      <c r="J1876" s="33"/>
      <c r="K1876" s="34" t="str">
        <f aca="false">IF(OR(H1876="",I1876=""),"",H1876*I1876*(1-N(J1876)))</f>
        <v/>
      </c>
      <c r="L1876" s="32"/>
      <c r="M1876" s="34" t="str">
        <f aca="false">IF(OR(H1876="",L1876=""),"",H1876*L1876)</f>
        <v/>
      </c>
      <c r="N1876" s="34" t="str">
        <f aca="false">IF(OR(K1876="",M1876=""),"",K1876-M1876)</f>
        <v/>
      </c>
      <c r="O1876" s="35" t="str">
        <f aca="false">IF(OR(N1876="",K1876=""),"",IF(K1876=0,"",N1876/K1876))</f>
        <v/>
      </c>
      <c r="P1876" s="25"/>
      <c r="Q1876" s="25"/>
      <c r="R1876" s="25"/>
      <c r="S1876" s="36" t="str">
        <f aca="false">IF(A1876="","",YEAR(A1876)+IF(AND(FYStart&gt;1,MONTH(A1876)&gt;=FYStart),1,0))</f>
        <v/>
      </c>
      <c r="T1876" s="36" t="str">
        <f aca="false">IF(A1876="","",MOD(MONTH(A1876)-FYStart,12)+1)</f>
        <v/>
      </c>
      <c r="U1876" s="37" t="str">
        <f aca="false">IF(A1876="","",TEXT(A1876,"mmm"))</f>
        <v/>
      </c>
      <c r="V1876" s="37" t="str">
        <f aca="false">IF(Q1876="","",IFERROR(INDEX(Settings!$I$11:$I$15,MATCH(Q1876,Settings!$H$11:$H$15,0)),"No"))</f>
        <v/>
      </c>
      <c r="W1876" s="37" t="str">
        <f aca="false">IF(Q1876="","",IFERROR(INDEX(Settings!$J$11:$J$15,MATCH(Q1876,Settings!$H$11:$H$15,0)),"No"))</f>
        <v/>
      </c>
    </row>
    <row r="1877" customFormat="false" ht="15" hidden="false" customHeight="false" outlineLevel="0" collapsed="false">
      <c r="A1877" s="30"/>
      <c r="B1877" s="25"/>
      <c r="C1877" s="25"/>
      <c r="D1877" s="25"/>
      <c r="E1877" s="25"/>
      <c r="F1877" s="25"/>
      <c r="G1877" s="25"/>
      <c r="H1877" s="31"/>
      <c r="I1877" s="32"/>
      <c r="J1877" s="33"/>
      <c r="K1877" s="34" t="str">
        <f aca="false">IF(OR(H1877="",I1877=""),"",H1877*I1877*(1-N(J1877)))</f>
        <v/>
      </c>
      <c r="L1877" s="32"/>
      <c r="M1877" s="34" t="str">
        <f aca="false">IF(OR(H1877="",L1877=""),"",H1877*L1877)</f>
        <v/>
      </c>
      <c r="N1877" s="34" t="str">
        <f aca="false">IF(OR(K1877="",M1877=""),"",K1877-M1877)</f>
        <v/>
      </c>
      <c r="O1877" s="35" t="str">
        <f aca="false">IF(OR(N1877="",K1877=""),"",IF(K1877=0,"",N1877/K1877))</f>
        <v/>
      </c>
      <c r="P1877" s="25"/>
      <c r="Q1877" s="25"/>
      <c r="R1877" s="25"/>
      <c r="S1877" s="36" t="str">
        <f aca="false">IF(A1877="","",YEAR(A1877)+IF(AND(FYStart&gt;1,MONTH(A1877)&gt;=FYStart),1,0))</f>
        <v/>
      </c>
      <c r="T1877" s="36" t="str">
        <f aca="false">IF(A1877="","",MOD(MONTH(A1877)-FYStart,12)+1)</f>
        <v/>
      </c>
      <c r="U1877" s="37" t="str">
        <f aca="false">IF(A1877="","",TEXT(A1877,"mmm"))</f>
        <v/>
      </c>
      <c r="V1877" s="37" t="str">
        <f aca="false">IF(Q1877="","",IFERROR(INDEX(Settings!$I$11:$I$15,MATCH(Q1877,Settings!$H$11:$H$15,0)),"No"))</f>
        <v/>
      </c>
      <c r="W1877" s="37" t="str">
        <f aca="false">IF(Q1877="","",IFERROR(INDEX(Settings!$J$11:$J$15,MATCH(Q1877,Settings!$H$11:$H$15,0)),"No"))</f>
        <v/>
      </c>
    </row>
    <row r="1878" customFormat="false" ht="15" hidden="false" customHeight="false" outlineLevel="0" collapsed="false">
      <c r="A1878" s="30"/>
      <c r="B1878" s="25"/>
      <c r="C1878" s="25"/>
      <c r="D1878" s="25"/>
      <c r="E1878" s="25"/>
      <c r="F1878" s="25"/>
      <c r="G1878" s="25"/>
      <c r="H1878" s="31"/>
      <c r="I1878" s="32"/>
      <c r="J1878" s="33"/>
      <c r="K1878" s="34" t="str">
        <f aca="false">IF(OR(H1878="",I1878=""),"",H1878*I1878*(1-N(J1878)))</f>
        <v/>
      </c>
      <c r="L1878" s="32"/>
      <c r="M1878" s="34" t="str">
        <f aca="false">IF(OR(H1878="",L1878=""),"",H1878*L1878)</f>
        <v/>
      </c>
      <c r="N1878" s="34" t="str">
        <f aca="false">IF(OR(K1878="",M1878=""),"",K1878-M1878)</f>
        <v/>
      </c>
      <c r="O1878" s="35" t="str">
        <f aca="false">IF(OR(N1878="",K1878=""),"",IF(K1878=0,"",N1878/K1878))</f>
        <v/>
      </c>
      <c r="P1878" s="25"/>
      <c r="Q1878" s="25"/>
      <c r="R1878" s="25"/>
      <c r="S1878" s="36" t="str">
        <f aca="false">IF(A1878="","",YEAR(A1878)+IF(AND(FYStart&gt;1,MONTH(A1878)&gt;=FYStart),1,0))</f>
        <v/>
      </c>
      <c r="T1878" s="36" t="str">
        <f aca="false">IF(A1878="","",MOD(MONTH(A1878)-FYStart,12)+1)</f>
        <v/>
      </c>
      <c r="U1878" s="37" t="str">
        <f aca="false">IF(A1878="","",TEXT(A1878,"mmm"))</f>
        <v/>
      </c>
      <c r="V1878" s="37" t="str">
        <f aca="false">IF(Q1878="","",IFERROR(INDEX(Settings!$I$11:$I$15,MATCH(Q1878,Settings!$H$11:$H$15,0)),"No"))</f>
        <v/>
      </c>
      <c r="W1878" s="37" t="str">
        <f aca="false">IF(Q1878="","",IFERROR(INDEX(Settings!$J$11:$J$15,MATCH(Q1878,Settings!$H$11:$H$15,0)),"No"))</f>
        <v/>
      </c>
    </row>
    <row r="1879" customFormat="false" ht="15" hidden="false" customHeight="false" outlineLevel="0" collapsed="false">
      <c r="A1879" s="30"/>
      <c r="B1879" s="25"/>
      <c r="C1879" s="25"/>
      <c r="D1879" s="25"/>
      <c r="E1879" s="25"/>
      <c r="F1879" s="25"/>
      <c r="G1879" s="25"/>
      <c r="H1879" s="31"/>
      <c r="I1879" s="32"/>
      <c r="J1879" s="33"/>
      <c r="K1879" s="34" t="str">
        <f aca="false">IF(OR(H1879="",I1879=""),"",H1879*I1879*(1-N(J1879)))</f>
        <v/>
      </c>
      <c r="L1879" s="32"/>
      <c r="M1879" s="34" t="str">
        <f aca="false">IF(OR(H1879="",L1879=""),"",H1879*L1879)</f>
        <v/>
      </c>
      <c r="N1879" s="34" t="str">
        <f aca="false">IF(OR(K1879="",M1879=""),"",K1879-M1879)</f>
        <v/>
      </c>
      <c r="O1879" s="35" t="str">
        <f aca="false">IF(OR(N1879="",K1879=""),"",IF(K1879=0,"",N1879/K1879))</f>
        <v/>
      </c>
      <c r="P1879" s="25"/>
      <c r="Q1879" s="25"/>
      <c r="R1879" s="25"/>
      <c r="S1879" s="36" t="str">
        <f aca="false">IF(A1879="","",YEAR(A1879)+IF(AND(FYStart&gt;1,MONTH(A1879)&gt;=FYStart),1,0))</f>
        <v/>
      </c>
      <c r="T1879" s="36" t="str">
        <f aca="false">IF(A1879="","",MOD(MONTH(A1879)-FYStart,12)+1)</f>
        <v/>
      </c>
      <c r="U1879" s="37" t="str">
        <f aca="false">IF(A1879="","",TEXT(A1879,"mmm"))</f>
        <v/>
      </c>
      <c r="V1879" s="37" t="str">
        <f aca="false">IF(Q1879="","",IFERROR(INDEX(Settings!$I$11:$I$15,MATCH(Q1879,Settings!$H$11:$H$15,0)),"No"))</f>
        <v/>
      </c>
      <c r="W1879" s="37" t="str">
        <f aca="false">IF(Q1879="","",IFERROR(INDEX(Settings!$J$11:$J$15,MATCH(Q1879,Settings!$H$11:$H$15,0)),"No"))</f>
        <v/>
      </c>
    </row>
    <row r="1880" customFormat="false" ht="15" hidden="false" customHeight="false" outlineLevel="0" collapsed="false">
      <c r="A1880" s="30"/>
      <c r="B1880" s="25"/>
      <c r="C1880" s="25"/>
      <c r="D1880" s="25"/>
      <c r="E1880" s="25"/>
      <c r="F1880" s="25"/>
      <c r="G1880" s="25"/>
      <c r="H1880" s="31"/>
      <c r="I1880" s="32"/>
      <c r="J1880" s="33"/>
      <c r="K1880" s="34" t="str">
        <f aca="false">IF(OR(H1880="",I1880=""),"",H1880*I1880*(1-N(J1880)))</f>
        <v/>
      </c>
      <c r="L1880" s="32"/>
      <c r="M1880" s="34" t="str">
        <f aca="false">IF(OR(H1880="",L1880=""),"",H1880*L1880)</f>
        <v/>
      </c>
      <c r="N1880" s="34" t="str">
        <f aca="false">IF(OR(K1880="",M1880=""),"",K1880-M1880)</f>
        <v/>
      </c>
      <c r="O1880" s="35" t="str">
        <f aca="false">IF(OR(N1880="",K1880=""),"",IF(K1880=0,"",N1880/K1880))</f>
        <v/>
      </c>
      <c r="P1880" s="25"/>
      <c r="Q1880" s="25"/>
      <c r="R1880" s="25"/>
      <c r="S1880" s="36" t="str">
        <f aca="false">IF(A1880="","",YEAR(A1880)+IF(AND(FYStart&gt;1,MONTH(A1880)&gt;=FYStart),1,0))</f>
        <v/>
      </c>
      <c r="T1880" s="36" t="str">
        <f aca="false">IF(A1880="","",MOD(MONTH(A1880)-FYStart,12)+1)</f>
        <v/>
      </c>
      <c r="U1880" s="37" t="str">
        <f aca="false">IF(A1880="","",TEXT(A1880,"mmm"))</f>
        <v/>
      </c>
      <c r="V1880" s="37" t="str">
        <f aca="false">IF(Q1880="","",IFERROR(INDEX(Settings!$I$11:$I$15,MATCH(Q1880,Settings!$H$11:$H$15,0)),"No"))</f>
        <v/>
      </c>
      <c r="W1880" s="37" t="str">
        <f aca="false">IF(Q1880="","",IFERROR(INDEX(Settings!$J$11:$J$15,MATCH(Q1880,Settings!$H$11:$H$15,0)),"No"))</f>
        <v/>
      </c>
    </row>
    <row r="1881" customFormat="false" ht="15" hidden="false" customHeight="false" outlineLevel="0" collapsed="false">
      <c r="A1881" s="30"/>
      <c r="B1881" s="25"/>
      <c r="C1881" s="25"/>
      <c r="D1881" s="25"/>
      <c r="E1881" s="25"/>
      <c r="F1881" s="25"/>
      <c r="G1881" s="25"/>
      <c r="H1881" s="31"/>
      <c r="I1881" s="32"/>
      <c r="J1881" s="33"/>
      <c r="K1881" s="34" t="str">
        <f aca="false">IF(OR(H1881="",I1881=""),"",H1881*I1881*(1-N(J1881)))</f>
        <v/>
      </c>
      <c r="L1881" s="32"/>
      <c r="M1881" s="34" t="str">
        <f aca="false">IF(OR(H1881="",L1881=""),"",H1881*L1881)</f>
        <v/>
      </c>
      <c r="N1881" s="34" t="str">
        <f aca="false">IF(OR(K1881="",M1881=""),"",K1881-M1881)</f>
        <v/>
      </c>
      <c r="O1881" s="35" t="str">
        <f aca="false">IF(OR(N1881="",K1881=""),"",IF(K1881=0,"",N1881/K1881))</f>
        <v/>
      </c>
      <c r="P1881" s="25"/>
      <c r="Q1881" s="25"/>
      <c r="R1881" s="25"/>
      <c r="S1881" s="36" t="str">
        <f aca="false">IF(A1881="","",YEAR(A1881)+IF(AND(FYStart&gt;1,MONTH(A1881)&gt;=FYStart),1,0))</f>
        <v/>
      </c>
      <c r="T1881" s="36" t="str">
        <f aca="false">IF(A1881="","",MOD(MONTH(A1881)-FYStart,12)+1)</f>
        <v/>
      </c>
      <c r="U1881" s="37" t="str">
        <f aca="false">IF(A1881="","",TEXT(A1881,"mmm"))</f>
        <v/>
      </c>
      <c r="V1881" s="37" t="str">
        <f aca="false">IF(Q1881="","",IFERROR(INDEX(Settings!$I$11:$I$15,MATCH(Q1881,Settings!$H$11:$H$15,0)),"No"))</f>
        <v/>
      </c>
      <c r="W1881" s="37" t="str">
        <f aca="false">IF(Q1881="","",IFERROR(INDEX(Settings!$J$11:$J$15,MATCH(Q1881,Settings!$H$11:$H$15,0)),"No"))</f>
        <v/>
      </c>
    </row>
    <row r="1882" customFormat="false" ht="15" hidden="false" customHeight="false" outlineLevel="0" collapsed="false">
      <c r="A1882" s="30"/>
      <c r="B1882" s="25"/>
      <c r="C1882" s="25"/>
      <c r="D1882" s="25"/>
      <c r="E1882" s="25"/>
      <c r="F1882" s="25"/>
      <c r="G1882" s="25"/>
      <c r="H1882" s="31"/>
      <c r="I1882" s="32"/>
      <c r="J1882" s="33"/>
      <c r="K1882" s="34" t="str">
        <f aca="false">IF(OR(H1882="",I1882=""),"",H1882*I1882*(1-N(J1882)))</f>
        <v/>
      </c>
      <c r="L1882" s="32"/>
      <c r="M1882" s="34" t="str">
        <f aca="false">IF(OR(H1882="",L1882=""),"",H1882*L1882)</f>
        <v/>
      </c>
      <c r="N1882" s="34" t="str">
        <f aca="false">IF(OR(K1882="",M1882=""),"",K1882-M1882)</f>
        <v/>
      </c>
      <c r="O1882" s="35" t="str">
        <f aca="false">IF(OR(N1882="",K1882=""),"",IF(K1882=0,"",N1882/K1882))</f>
        <v/>
      </c>
      <c r="P1882" s="25"/>
      <c r="Q1882" s="25"/>
      <c r="R1882" s="25"/>
      <c r="S1882" s="36" t="str">
        <f aca="false">IF(A1882="","",YEAR(A1882)+IF(AND(FYStart&gt;1,MONTH(A1882)&gt;=FYStart),1,0))</f>
        <v/>
      </c>
      <c r="T1882" s="36" t="str">
        <f aca="false">IF(A1882="","",MOD(MONTH(A1882)-FYStart,12)+1)</f>
        <v/>
      </c>
      <c r="U1882" s="37" t="str">
        <f aca="false">IF(A1882="","",TEXT(A1882,"mmm"))</f>
        <v/>
      </c>
      <c r="V1882" s="37" t="str">
        <f aca="false">IF(Q1882="","",IFERROR(INDEX(Settings!$I$11:$I$15,MATCH(Q1882,Settings!$H$11:$H$15,0)),"No"))</f>
        <v/>
      </c>
      <c r="W1882" s="37" t="str">
        <f aca="false">IF(Q1882="","",IFERROR(INDEX(Settings!$J$11:$J$15,MATCH(Q1882,Settings!$H$11:$H$15,0)),"No"))</f>
        <v/>
      </c>
    </row>
    <row r="1883" customFormat="false" ht="15" hidden="false" customHeight="false" outlineLevel="0" collapsed="false">
      <c r="A1883" s="30"/>
      <c r="B1883" s="25"/>
      <c r="C1883" s="25"/>
      <c r="D1883" s="25"/>
      <c r="E1883" s="25"/>
      <c r="F1883" s="25"/>
      <c r="G1883" s="25"/>
      <c r="H1883" s="31"/>
      <c r="I1883" s="32"/>
      <c r="J1883" s="33"/>
      <c r="K1883" s="34" t="str">
        <f aca="false">IF(OR(H1883="",I1883=""),"",H1883*I1883*(1-N(J1883)))</f>
        <v/>
      </c>
      <c r="L1883" s="32"/>
      <c r="M1883" s="34" t="str">
        <f aca="false">IF(OR(H1883="",L1883=""),"",H1883*L1883)</f>
        <v/>
      </c>
      <c r="N1883" s="34" t="str">
        <f aca="false">IF(OR(K1883="",M1883=""),"",K1883-M1883)</f>
        <v/>
      </c>
      <c r="O1883" s="35" t="str">
        <f aca="false">IF(OR(N1883="",K1883=""),"",IF(K1883=0,"",N1883/K1883))</f>
        <v/>
      </c>
      <c r="P1883" s="25"/>
      <c r="Q1883" s="25"/>
      <c r="R1883" s="25"/>
      <c r="S1883" s="36" t="str">
        <f aca="false">IF(A1883="","",YEAR(A1883)+IF(AND(FYStart&gt;1,MONTH(A1883)&gt;=FYStart),1,0))</f>
        <v/>
      </c>
      <c r="T1883" s="36" t="str">
        <f aca="false">IF(A1883="","",MOD(MONTH(A1883)-FYStart,12)+1)</f>
        <v/>
      </c>
      <c r="U1883" s="37" t="str">
        <f aca="false">IF(A1883="","",TEXT(A1883,"mmm"))</f>
        <v/>
      </c>
      <c r="V1883" s="37" t="str">
        <f aca="false">IF(Q1883="","",IFERROR(INDEX(Settings!$I$11:$I$15,MATCH(Q1883,Settings!$H$11:$H$15,0)),"No"))</f>
        <v/>
      </c>
      <c r="W1883" s="37" t="str">
        <f aca="false">IF(Q1883="","",IFERROR(INDEX(Settings!$J$11:$J$15,MATCH(Q1883,Settings!$H$11:$H$15,0)),"No"))</f>
        <v/>
      </c>
    </row>
    <row r="1884" customFormat="false" ht="15" hidden="false" customHeight="false" outlineLevel="0" collapsed="false">
      <c r="A1884" s="30"/>
      <c r="B1884" s="25"/>
      <c r="C1884" s="25"/>
      <c r="D1884" s="25"/>
      <c r="E1884" s="25"/>
      <c r="F1884" s="25"/>
      <c r="G1884" s="25"/>
      <c r="H1884" s="31"/>
      <c r="I1884" s="32"/>
      <c r="J1884" s="33"/>
      <c r="K1884" s="34" t="str">
        <f aca="false">IF(OR(H1884="",I1884=""),"",H1884*I1884*(1-N(J1884)))</f>
        <v/>
      </c>
      <c r="L1884" s="32"/>
      <c r="M1884" s="34" t="str">
        <f aca="false">IF(OR(H1884="",L1884=""),"",H1884*L1884)</f>
        <v/>
      </c>
      <c r="N1884" s="34" t="str">
        <f aca="false">IF(OR(K1884="",M1884=""),"",K1884-M1884)</f>
        <v/>
      </c>
      <c r="O1884" s="35" t="str">
        <f aca="false">IF(OR(N1884="",K1884=""),"",IF(K1884=0,"",N1884/K1884))</f>
        <v/>
      </c>
      <c r="P1884" s="25"/>
      <c r="Q1884" s="25"/>
      <c r="R1884" s="25"/>
      <c r="S1884" s="36" t="str">
        <f aca="false">IF(A1884="","",YEAR(A1884)+IF(AND(FYStart&gt;1,MONTH(A1884)&gt;=FYStart),1,0))</f>
        <v/>
      </c>
      <c r="T1884" s="36" t="str">
        <f aca="false">IF(A1884="","",MOD(MONTH(A1884)-FYStart,12)+1)</f>
        <v/>
      </c>
      <c r="U1884" s="37" t="str">
        <f aca="false">IF(A1884="","",TEXT(A1884,"mmm"))</f>
        <v/>
      </c>
      <c r="V1884" s="37" t="str">
        <f aca="false">IF(Q1884="","",IFERROR(INDEX(Settings!$I$11:$I$15,MATCH(Q1884,Settings!$H$11:$H$15,0)),"No"))</f>
        <v/>
      </c>
      <c r="W1884" s="37" t="str">
        <f aca="false">IF(Q1884="","",IFERROR(INDEX(Settings!$J$11:$J$15,MATCH(Q1884,Settings!$H$11:$H$15,0)),"No"))</f>
        <v/>
      </c>
    </row>
    <row r="1885" customFormat="false" ht="15" hidden="false" customHeight="false" outlineLevel="0" collapsed="false">
      <c r="A1885" s="30"/>
      <c r="B1885" s="25"/>
      <c r="C1885" s="25"/>
      <c r="D1885" s="25"/>
      <c r="E1885" s="25"/>
      <c r="F1885" s="25"/>
      <c r="G1885" s="25"/>
      <c r="H1885" s="31"/>
      <c r="I1885" s="32"/>
      <c r="J1885" s="33"/>
      <c r="K1885" s="34" t="str">
        <f aca="false">IF(OR(H1885="",I1885=""),"",H1885*I1885*(1-N(J1885)))</f>
        <v/>
      </c>
      <c r="L1885" s="32"/>
      <c r="M1885" s="34" t="str">
        <f aca="false">IF(OR(H1885="",L1885=""),"",H1885*L1885)</f>
        <v/>
      </c>
      <c r="N1885" s="34" t="str">
        <f aca="false">IF(OR(K1885="",M1885=""),"",K1885-M1885)</f>
        <v/>
      </c>
      <c r="O1885" s="35" t="str">
        <f aca="false">IF(OR(N1885="",K1885=""),"",IF(K1885=0,"",N1885/K1885))</f>
        <v/>
      </c>
      <c r="P1885" s="25"/>
      <c r="Q1885" s="25"/>
      <c r="R1885" s="25"/>
      <c r="S1885" s="36" t="str">
        <f aca="false">IF(A1885="","",YEAR(A1885)+IF(AND(FYStart&gt;1,MONTH(A1885)&gt;=FYStart),1,0))</f>
        <v/>
      </c>
      <c r="T1885" s="36" t="str">
        <f aca="false">IF(A1885="","",MOD(MONTH(A1885)-FYStart,12)+1)</f>
        <v/>
      </c>
      <c r="U1885" s="37" t="str">
        <f aca="false">IF(A1885="","",TEXT(A1885,"mmm"))</f>
        <v/>
      </c>
      <c r="V1885" s="37" t="str">
        <f aca="false">IF(Q1885="","",IFERROR(INDEX(Settings!$I$11:$I$15,MATCH(Q1885,Settings!$H$11:$H$15,0)),"No"))</f>
        <v/>
      </c>
      <c r="W1885" s="37" t="str">
        <f aca="false">IF(Q1885="","",IFERROR(INDEX(Settings!$J$11:$J$15,MATCH(Q1885,Settings!$H$11:$H$15,0)),"No"))</f>
        <v/>
      </c>
    </row>
    <row r="1886" customFormat="false" ht="15" hidden="false" customHeight="false" outlineLevel="0" collapsed="false">
      <c r="A1886" s="30"/>
      <c r="B1886" s="25"/>
      <c r="C1886" s="25"/>
      <c r="D1886" s="25"/>
      <c r="E1886" s="25"/>
      <c r="F1886" s="25"/>
      <c r="G1886" s="25"/>
      <c r="H1886" s="31"/>
      <c r="I1886" s="32"/>
      <c r="J1886" s="33"/>
      <c r="K1886" s="34" t="str">
        <f aca="false">IF(OR(H1886="",I1886=""),"",H1886*I1886*(1-N(J1886)))</f>
        <v/>
      </c>
      <c r="L1886" s="32"/>
      <c r="M1886" s="34" t="str">
        <f aca="false">IF(OR(H1886="",L1886=""),"",H1886*L1886)</f>
        <v/>
      </c>
      <c r="N1886" s="34" t="str">
        <f aca="false">IF(OR(K1886="",M1886=""),"",K1886-M1886)</f>
        <v/>
      </c>
      <c r="O1886" s="35" t="str">
        <f aca="false">IF(OR(N1886="",K1886=""),"",IF(K1886=0,"",N1886/K1886))</f>
        <v/>
      </c>
      <c r="P1886" s="25"/>
      <c r="Q1886" s="25"/>
      <c r="R1886" s="25"/>
      <c r="S1886" s="36" t="str">
        <f aca="false">IF(A1886="","",YEAR(A1886)+IF(AND(FYStart&gt;1,MONTH(A1886)&gt;=FYStart),1,0))</f>
        <v/>
      </c>
      <c r="T1886" s="36" t="str">
        <f aca="false">IF(A1886="","",MOD(MONTH(A1886)-FYStart,12)+1)</f>
        <v/>
      </c>
      <c r="U1886" s="37" t="str">
        <f aca="false">IF(A1886="","",TEXT(A1886,"mmm"))</f>
        <v/>
      </c>
      <c r="V1886" s="37" t="str">
        <f aca="false">IF(Q1886="","",IFERROR(INDEX(Settings!$I$11:$I$15,MATCH(Q1886,Settings!$H$11:$H$15,0)),"No"))</f>
        <v/>
      </c>
      <c r="W1886" s="37" t="str">
        <f aca="false">IF(Q1886="","",IFERROR(INDEX(Settings!$J$11:$J$15,MATCH(Q1886,Settings!$H$11:$H$15,0)),"No"))</f>
        <v/>
      </c>
    </row>
    <row r="1887" customFormat="false" ht="15" hidden="false" customHeight="false" outlineLevel="0" collapsed="false">
      <c r="A1887" s="30"/>
      <c r="B1887" s="25"/>
      <c r="C1887" s="25"/>
      <c r="D1887" s="25"/>
      <c r="E1887" s="25"/>
      <c r="F1887" s="25"/>
      <c r="G1887" s="25"/>
      <c r="H1887" s="31"/>
      <c r="I1887" s="32"/>
      <c r="J1887" s="33"/>
      <c r="K1887" s="34" t="str">
        <f aca="false">IF(OR(H1887="",I1887=""),"",H1887*I1887*(1-N(J1887)))</f>
        <v/>
      </c>
      <c r="L1887" s="32"/>
      <c r="M1887" s="34" t="str">
        <f aca="false">IF(OR(H1887="",L1887=""),"",H1887*L1887)</f>
        <v/>
      </c>
      <c r="N1887" s="34" t="str">
        <f aca="false">IF(OR(K1887="",M1887=""),"",K1887-M1887)</f>
        <v/>
      </c>
      <c r="O1887" s="35" t="str">
        <f aca="false">IF(OR(N1887="",K1887=""),"",IF(K1887=0,"",N1887/K1887))</f>
        <v/>
      </c>
      <c r="P1887" s="25"/>
      <c r="Q1887" s="25"/>
      <c r="R1887" s="25"/>
      <c r="S1887" s="36" t="str">
        <f aca="false">IF(A1887="","",YEAR(A1887)+IF(AND(FYStart&gt;1,MONTH(A1887)&gt;=FYStart),1,0))</f>
        <v/>
      </c>
      <c r="T1887" s="36" t="str">
        <f aca="false">IF(A1887="","",MOD(MONTH(A1887)-FYStart,12)+1)</f>
        <v/>
      </c>
      <c r="U1887" s="37" t="str">
        <f aca="false">IF(A1887="","",TEXT(A1887,"mmm"))</f>
        <v/>
      </c>
      <c r="V1887" s="37" t="str">
        <f aca="false">IF(Q1887="","",IFERROR(INDEX(Settings!$I$11:$I$15,MATCH(Q1887,Settings!$H$11:$H$15,0)),"No"))</f>
        <v/>
      </c>
      <c r="W1887" s="37" t="str">
        <f aca="false">IF(Q1887="","",IFERROR(INDEX(Settings!$J$11:$J$15,MATCH(Q1887,Settings!$H$11:$H$15,0)),"No"))</f>
        <v/>
      </c>
    </row>
    <row r="1888" customFormat="false" ht="15" hidden="false" customHeight="false" outlineLevel="0" collapsed="false">
      <c r="A1888" s="30"/>
      <c r="B1888" s="25"/>
      <c r="C1888" s="25"/>
      <c r="D1888" s="25"/>
      <c r="E1888" s="25"/>
      <c r="F1888" s="25"/>
      <c r="G1888" s="25"/>
      <c r="H1888" s="31"/>
      <c r="I1888" s="32"/>
      <c r="J1888" s="33"/>
      <c r="K1888" s="34" t="str">
        <f aca="false">IF(OR(H1888="",I1888=""),"",H1888*I1888*(1-N(J1888)))</f>
        <v/>
      </c>
      <c r="L1888" s="32"/>
      <c r="M1888" s="34" t="str">
        <f aca="false">IF(OR(H1888="",L1888=""),"",H1888*L1888)</f>
        <v/>
      </c>
      <c r="N1888" s="34" t="str">
        <f aca="false">IF(OR(K1888="",M1888=""),"",K1888-M1888)</f>
        <v/>
      </c>
      <c r="O1888" s="35" t="str">
        <f aca="false">IF(OR(N1888="",K1888=""),"",IF(K1888=0,"",N1888/K1888))</f>
        <v/>
      </c>
      <c r="P1888" s="25"/>
      <c r="Q1888" s="25"/>
      <c r="R1888" s="25"/>
      <c r="S1888" s="36" t="str">
        <f aca="false">IF(A1888="","",YEAR(A1888)+IF(AND(FYStart&gt;1,MONTH(A1888)&gt;=FYStart),1,0))</f>
        <v/>
      </c>
      <c r="T1888" s="36" t="str">
        <f aca="false">IF(A1888="","",MOD(MONTH(A1888)-FYStart,12)+1)</f>
        <v/>
      </c>
      <c r="U1888" s="37" t="str">
        <f aca="false">IF(A1888="","",TEXT(A1888,"mmm"))</f>
        <v/>
      </c>
      <c r="V1888" s="37" t="str">
        <f aca="false">IF(Q1888="","",IFERROR(INDEX(Settings!$I$11:$I$15,MATCH(Q1888,Settings!$H$11:$H$15,0)),"No"))</f>
        <v/>
      </c>
      <c r="W1888" s="37" t="str">
        <f aca="false">IF(Q1888="","",IFERROR(INDEX(Settings!$J$11:$J$15,MATCH(Q1888,Settings!$H$11:$H$15,0)),"No"))</f>
        <v/>
      </c>
    </row>
    <row r="1889" customFormat="false" ht="15" hidden="false" customHeight="false" outlineLevel="0" collapsed="false">
      <c r="A1889" s="30"/>
      <c r="B1889" s="25"/>
      <c r="C1889" s="25"/>
      <c r="D1889" s="25"/>
      <c r="E1889" s="25"/>
      <c r="F1889" s="25"/>
      <c r="G1889" s="25"/>
      <c r="H1889" s="31"/>
      <c r="I1889" s="32"/>
      <c r="J1889" s="33"/>
      <c r="K1889" s="34" t="str">
        <f aca="false">IF(OR(H1889="",I1889=""),"",H1889*I1889*(1-N(J1889)))</f>
        <v/>
      </c>
      <c r="L1889" s="32"/>
      <c r="M1889" s="34" t="str">
        <f aca="false">IF(OR(H1889="",L1889=""),"",H1889*L1889)</f>
        <v/>
      </c>
      <c r="N1889" s="34" t="str">
        <f aca="false">IF(OR(K1889="",M1889=""),"",K1889-M1889)</f>
        <v/>
      </c>
      <c r="O1889" s="35" t="str">
        <f aca="false">IF(OR(N1889="",K1889=""),"",IF(K1889=0,"",N1889/K1889))</f>
        <v/>
      </c>
      <c r="P1889" s="25"/>
      <c r="Q1889" s="25"/>
      <c r="R1889" s="25"/>
      <c r="S1889" s="36" t="str">
        <f aca="false">IF(A1889="","",YEAR(A1889)+IF(AND(FYStart&gt;1,MONTH(A1889)&gt;=FYStart),1,0))</f>
        <v/>
      </c>
      <c r="T1889" s="36" t="str">
        <f aca="false">IF(A1889="","",MOD(MONTH(A1889)-FYStart,12)+1)</f>
        <v/>
      </c>
      <c r="U1889" s="37" t="str">
        <f aca="false">IF(A1889="","",TEXT(A1889,"mmm"))</f>
        <v/>
      </c>
      <c r="V1889" s="37" t="str">
        <f aca="false">IF(Q1889="","",IFERROR(INDEX(Settings!$I$11:$I$15,MATCH(Q1889,Settings!$H$11:$H$15,0)),"No"))</f>
        <v/>
      </c>
      <c r="W1889" s="37" t="str">
        <f aca="false">IF(Q1889="","",IFERROR(INDEX(Settings!$J$11:$J$15,MATCH(Q1889,Settings!$H$11:$H$15,0)),"No"))</f>
        <v/>
      </c>
    </row>
    <row r="1890" customFormat="false" ht="15" hidden="false" customHeight="false" outlineLevel="0" collapsed="false">
      <c r="A1890" s="30"/>
      <c r="B1890" s="25"/>
      <c r="C1890" s="25"/>
      <c r="D1890" s="25"/>
      <c r="E1890" s="25"/>
      <c r="F1890" s="25"/>
      <c r="G1890" s="25"/>
      <c r="H1890" s="31"/>
      <c r="I1890" s="32"/>
      <c r="J1890" s="33"/>
      <c r="K1890" s="34" t="str">
        <f aca="false">IF(OR(H1890="",I1890=""),"",H1890*I1890*(1-N(J1890)))</f>
        <v/>
      </c>
      <c r="L1890" s="32"/>
      <c r="M1890" s="34" t="str">
        <f aca="false">IF(OR(H1890="",L1890=""),"",H1890*L1890)</f>
        <v/>
      </c>
      <c r="N1890" s="34" t="str">
        <f aca="false">IF(OR(K1890="",M1890=""),"",K1890-M1890)</f>
        <v/>
      </c>
      <c r="O1890" s="35" t="str">
        <f aca="false">IF(OR(N1890="",K1890=""),"",IF(K1890=0,"",N1890/K1890))</f>
        <v/>
      </c>
      <c r="P1890" s="25"/>
      <c r="Q1890" s="25"/>
      <c r="R1890" s="25"/>
      <c r="S1890" s="36" t="str">
        <f aca="false">IF(A1890="","",YEAR(A1890)+IF(AND(FYStart&gt;1,MONTH(A1890)&gt;=FYStart),1,0))</f>
        <v/>
      </c>
      <c r="T1890" s="36" t="str">
        <f aca="false">IF(A1890="","",MOD(MONTH(A1890)-FYStart,12)+1)</f>
        <v/>
      </c>
      <c r="U1890" s="37" t="str">
        <f aca="false">IF(A1890="","",TEXT(A1890,"mmm"))</f>
        <v/>
      </c>
      <c r="V1890" s="37" t="str">
        <f aca="false">IF(Q1890="","",IFERROR(INDEX(Settings!$I$11:$I$15,MATCH(Q1890,Settings!$H$11:$H$15,0)),"No"))</f>
        <v/>
      </c>
      <c r="W1890" s="37" t="str">
        <f aca="false">IF(Q1890="","",IFERROR(INDEX(Settings!$J$11:$J$15,MATCH(Q1890,Settings!$H$11:$H$15,0)),"No"))</f>
        <v/>
      </c>
    </row>
    <row r="1891" customFormat="false" ht="15" hidden="false" customHeight="false" outlineLevel="0" collapsed="false">
      <c r="A1891" s="30"/>
      <c r="B1891" s="25"/>
      <c r="C1891" s="25"/>
      <c r="D1891" s="25"/>
      <c r="E1891" s="25"/>
      <c r="F1891" s="25"/>
      <c r="G1891" s="25"/>
      <c r="H1891" s="31"/>
      <c r="I1891" s="32"/>
      <c r="J1891" s="33"/>
      <c r="K1891" s="34" t="str">
        <f aca="false">IF(OR(H1891="",I1891=""),"",H1891*I1891*(1-N(J1891)))</f>
        <v/>
      </c>
      <c r="L1891" s="32"/>
      <c r="M1891" s="34" t="str">
        <f aca="false">IF(OR(H1891="",L1891=""),"",H1891*L1891)</f>
        <v/>
      </c>
      <c r="N1891" s="34" t="str">
        <f aca="false">IF(OR(K1891="",M1891=""),"",K1891-M1891)</f>
        <v/>
      </c>
      <c r="O1891" s="35" t="str">
        <f aca="false">IF(OR(N1891="",K1891=""),"",IF(K1891=0,"",N1891/K1891))</f>
        <v/>
      </c>
      <c r="P1891" s="25"/>
      <c r="Q1891" s="25"/>
      <c r="R1891" s="25"/>
      <c r="S1891" s="36" t="str">
        <f aca="false">IF(A1891="","",YEAR(A1891)+IF(AND(FYStart&gt;1,MONTH(A1891)&gt;=FYStart),1,0))</f>
        <v/>
      </c>
      <c r="T1891" s="36" t="str">
        <f aca="false">IF(A1891="","",MOD(MONTH(A1891)-FYStart,12)+1)</f>
        <v/>
      </c>
      <c r="U1891" s="37" t="str">
        <f aca="false">IF(A1891="","",TEXT(A1891,"mmm"))</f>
        <v/>
      </c>
      <c r="V1891" s="37" t="str">
        <f aca="false">IF(Q1891="","",IFERROR(INDEX(Settings!$I$11:$I$15,MATCH(Q1891,Settings!$H$11:$H$15,0)),"No"))</f>
        <v/>
      </c>
      <c r="W1891" s="37" t="str">
        <f aca="false">IF(Q1891="","",IFERROR(INDEX(Settings!$J$11:$J$15,MATCH(Q1891,Settings!$H$11:$H$15,0)),"No"))</f>
        <v/>
      </c>
    </row>
    <row r="1892" customFormat="false" ht="15" hidden="false" customHeight="false" outlineLevel="0" collapsed="false">
      <c r="A1892" s="30"/>
      <c r="B1892" s="25"/>
      <c r="C1892" s="25"/>
      <c r="D1892" s="25"/>
      <c r="E1892" s="25"/>
      <c r="F1892" s="25"/>
      <c r="G1892" s="25"/>
      <c r="H1892" s="31"/>
      <c r="I1892" s="32"/>
      <c r="J1892" s="33"/>
      <c r="K1892" s="34" t="str">
        <f aca="false">IF(OR(H1892="",I1892=""),"",H1892*I1892*(1-N(J1892)))</f>
        <v/>
      </c>
      <c r="L1892" s="32"/>
      <c r="M1892" s="34" t="str">
        <f aca="false">IF(OR(H1892="",L1892=""),"",H1892*L1892)</f>
        <v/>
      </c>
      <c r="N1892" s="34" t="str">
        <f aca="false">IF(OR(K1892="",M1892=""),"",K1892-M1892)</f>
        <v/>
      </c>
      <c r="O1892" s="35" t="str">
        <f aca="false">IF(OR(N1892="",K1892=""),"",IF(K1892=0,"",N1892/K1892))</f>
        <v/>
      </c>
      <c r="P1892" s="25"/>
      <c r="Q1892" s="25"/>
      <c r="R1892" s="25"/>
      <c r="S1892" s="36" t="str">
        <f aca="false">IF(A1892="","",YEAR(A1892)+IF(AND(FYStart&gt;1,MONTH(A1892)&gt;=FYStart),1,0))</f>
        <v/>
      </c>
      <c r="T1892" s="36" t="str">
        <f aca="false">IF(A1892="","",MOD(MONTH(A1892)-FYStart,12)+1)</f>
        <v/>
      </c>
      <c r="U1892" s="37" t="str">
        <f aca="false">IF(A1892="","",TEXT(A1892,"mmm"))</f>
        <v/>
      </c>
      <c r="V1892" s="37" t="str">
        <f aca="false">IF(Q1892="","",IFERROR(INDEX(Settings!$I$11:$I$15,MATCH(Q1892,Settings!$H$11:$H$15,0)),"No"))</f>
        <v/>
      </c>
      <c r="W1892" s="37" t="str">
        <f aca="false">IF(Q1892="","",IFERROR(INDEX(Settings!$J$11:$J$15,MATCH(Q1892,Settings!$H$11:$H$15,0)),"No"))</f>
        <v/>
      </c>
    </row>
    <row r="1893" customFormat="false" ht="15" hidden="false" customHeight="false" outlineLevel="0" collapsed="false">
      <c r="A1893" s="30"/>
      <c r="B1893" s="25"/>
      <c r="C1893" s="25"/>
      <c r="D1893" s="25"/>
      <c r="E1893" s="25"/>
      <c r="F1893" s="25"/>
      <c r="G1893" s="25"/>
      <c r="H1893" s="31"/>
      <c r="I1893" s="32"/>
      <c r="J1893" s="33"/>
      <c r="K1893" s="34" t="str">
        <f aca="false">IF(OR(H1893="",I1893=""),"",H1893*I1893*(1-N(J1893)))</f>
        <v/>
      </c>
      <c r="L1893" s="32"/>
      <c r="M1893" s="34" t="str">
        <f aca="false">IF(OR(H1893="",L1893=""),"",H1893*L1893)</f>
        <v/>
      </c>
      <c r="N1893" s="34" t="str">
        <f aca="false">IF(OR(K1893="",M1893=""),"",K1893-M1893)</f>
        <v/>
      </c>
      <c r="O1893" s="35" t="str">
        <f aca="false">IF(OR(N1893="",K1893=""),"",IF(K1893=0,"",N1893/K1893))</f>
        <v/>
      </c>
      <c r="P1893" s="25"/>
      <c r="Q1893" s="25"/>
      <c r="R1893" s="25"/>
      <c r="S1893" s="36" t="str">
        <f aca="false">IF(A1893="","",YEAR(A1893)+IF(AND(FYStart&gt;1,MONTH(A1893)&gt;=FYStart),1,0))</f>
        <v/>
      </c>
      <c r="T1893" s="36" t="str">
        <f aca="false">IF(A1893="","",MOD(MONTH(A1893)-FYStart,12)+1)</f>
        <v/>
      </c>
      <c r="U1893" s="37" t="str">
        <f aca="false">IF(A1893="","",TEXT(A1893,"mmm"))</f>
        <v/>
      </c>
      <c r="V1893" s="37" t="str">
        <f aca="false">IF(Q1893="","",IFERROR(INDEX(Settings!$I$11:$I$15,MATCH(Q1893,Settings!$H$11:$H$15,0)),"No"))</f>
        <v/>
      </c>
      <c r="W1893" s="37" t="str">
        <f aca="false">IF(Q1893="","",IFERROR(INDEX(Settings!$J$11:$J$15,MATCH(Q1893,Settings!$H$11:$H$15,0)),"No"))</f>
        <v/>
      </c>
    </row>
    <row r="1894" customFormat="false" ht="15" hidden="false" customHeight="false" outlineLevel="0" collapsed="false">
      <c r="A1894" s="30"/>
      <c r="B1894" s="25"/>
      <c r="C1894" s="25"/>
      <c r="D1894" s="25"/>
      <c r="E1894" s="25"/>
      <c r="F1894" s="25"/>
      <c r="G1894" s="25"/>
      <c r="H1894" s="31"/>
      <c r="I1894" s="32"/>
      <c r="J1894" s="33"/>
      <c r="K1894" s="34" t="str">
        <f aca="false">IF(OR(H1894="",I1894=""),"",H1894*I1894*(1-N(J1894)))</f>
        <v/>
      </c>
      <c r="L1894" s="32"/>
      <c r="M1894" s="34" t="str">
        <f aca="false">IF(OR(H1894="",L1894=""),"",H1894*L1894)</f>
        <v/>
      </c>
      <c r="N1894" s="34" t="str">
        <f aca="false">IF(OR(K1894="",M1894=""),"",K1894-M1894)</f>
        <v/>
      </c>
      <c r="O1894" s="35" t="str">
        <f aca="false">IF(OR(N1894="",K1894=""),"",IF(K1894=0,"",N1894/K1894))</f>
        <v/>
      </c>
      <c r="P1894" s="25"/>
      <c r="Q1894" s="25"/>
      <c r="R1894" s="25"/>
      <c r="S1894" s="36" t="str">
        <f aca="false">IF(A1894="","",YEAR(A1894)+IF(AND(FYStart&gt;1,MONTH(A1894)&gt;=FYStart),1,0))</f>
        <v/>
      </c>
      <c r="T1894" s="36" t="str">
        <f aca="false">IF(A1894="","",MOD(MONTH(A1894)-FYStart,12)+1)</f>
        <v/>
      </c>
      <c r="U1894" s="37" t="str">
        <f aca="false">IF(A1894="","",TEXT(A1894,"mmm"))</f>
        <v/>
      </c>
      <c r="V1894" s="37" t="str">
        <f aca="false">IF(Q1894="","",IFERROR(INDEX(Settings!$I$11:$I$15,MATCH(Q1894,Settings!$H$11:$H$15,0)),"No"))</f>
        <v/>
      </c>
      <c r="W1894" s="37" t="str">
        <f aca="false">IF(Q1894="","",IFERROR(INDEX(Settings!$J$11:$J$15,MATCH(Q1894,Settings!$H$11:$H$15,0)),"No"))</f>
        <v/>
      </c>
    </row>
    <row r="1895" customFormat="false" ht="15" hidden="false" customHeight="false" outlineLevel="0" collapsed="false">
      <c r="A1895" s="30"/>
      <c r="B1895" s="25"/>
      <c r="C1895" s="25"/>
      <c r="D1895" s="25"/>
      <c r="E1895" s="25"/>
      <c r="F1895" s="25"/>
      <c r="G1895" s="25"/>
      <c r="H1895" s="31"/>
      <c r="I1895" s="32"/>
      <c r="J1895" s="33"/>
      <c r="K1895" s="34" t="str">
        <f aca="false">IF(OR(H1895="",I1895=""),"",H1895*I1895*(1-N(J1895)))</f>
        <v/>
      </c>
      <c r="L1895" s="32"/>
      <c r="M1895" s="34" t="str">
        <f aca="false">IF(OR(H1895="",L1895=""),"",H1895*L1895)</f>
        <v/>
      </c>
      <c r="N1895" s="34" t="str">
        <f aca="false">IF(OR(K1895="",M1895=""),"",K1895-M1895)</f>
        <v/>
      </c>
      <c r="O1895" s="35" t="str">
        <f aca="false">IF(OR(N1895="",K1895=""),"",IF(K1895=0,"",N1895/K1895))</f>
        <v/>
      </c>
      <c r="P1895" s="25"/>
      <c r="Q1895" s="25"/>
      <c r="R1895" s="25"/>
      <c r="S1895" s="36" t="str">
        <f aca="false">IF(A1895="","",YEAR(A1895)+IF(AND(FYStart&gt;1,MONTH(A1895)&gt;=FYStart),1,0))</f>
        <v/>
      </c>
      <c r="T1895" s="36" t="str">
        <f aca="false">IF(A1895="","",MOD(MONTH(A1895)-FYStart,12)+1)</f>
        <v/>
      </c>
      <c r="U1895" s="37" t="str">
        <f aca="false">IF(A1895="","",TEXT(A1895,"mmm"))</f>
        <v/>
      </c>
      <c r="V1895" s="37" t="str">
        <f aca="false">IF(Q1895="","",IFERROR(INDEX(Settings!$I$11:$I$15,MATCH(Q1895,Settings!$H$11:$H$15,0)),"No"))</f>
        <v/>
      </c>
      <c r="W1895" s="37" t="str">
        <f aca="false">IF(Q1895="","",IFERROR(INDEX(Settings!$J$11:$J$15,MATCH(Q1895,Settings!$H$11:$H$15,0)),"No"))</f>
        <v/>
      </c>
    </row>
    <row r="1896" customFormat="false" ht="15" hidden="false" customHeight="false" outlineLevel="0" collapsed="false">
      <c r="A1896" s="30"/>
      <c r="B1896" s="25"/>
      <c r="C1896" s="25"/>
      <c r="D1896" s="25"/>
      <c r="E1896" s="25"/>
      <c r="F1896" s="25"/>
      <c r="G1896" s="25"/>
      <c r="H1896" s="31"/>
      <c r="I1896" s="32"/>
      <c r="J1896" s="33"/>
      <c r="K1896" s="34" t="str">
        <f aca="false">IF(OR(H1896="",I1896=""),"",H1896*I1896*(1-N(J1896)))</f>
        <v/>
      </c>
      <c r="L1896" s="32"/>
      <c r="M1896" s="34" t="str">
        <f aca="false">IF(OR(H1896="",L1896=""),"",H1896*L1896)</f>
        <v/>
      </c>
      <c r="N1896" s="34" t="str">
        <f aca="false">IF(OR(K1896="",M1896=""),"",K1896-M1896)</f>
        <v/>
      </c>
      <c r="O1896" s="35" t="str">
        <f aca="false">IF(OR(N1896="",K1896=""),"",IF(K1896=0,"",N1896/K1896))</f>
        <v/>
      </c>
      <c r="P1896" s="25"/>
      <c r="Q1896" s="25"/>
      <c r="R1896" s="25"/>
      <c r="S1896" s="36" t="str">
        <f aca="false">IF(A1896="","",YEAR(A1896)+IF(AND(FYStart&gt;1,MONTH(A1896)&gt;=FYStart),1,0))</f>
        <v/>
      </c>
      <c r="T1896" s="36" t="str">
        <f aca="false">IF(A1896="","",MOD(MONTH(A1896)-FYStart,12)+1)</f>
        <v/>
      </c>
      <c r="U1896" s="37" t="str">
        <f aca="false">IF(A1896="","",TEXT(A1896,"mmm"))</f>
        <v/>
      </c>
      <c r="V1896" s="37" t="str">
        <f aca="false">IF(Q1896="","",IFERROR(INDEX(Settings!$I$11:$I$15,MATCH(Q1896,Settings!$H$11:$H$15,0)),"No"))</f>
        <v/>
      </c>
      <c r="W1896" s="37" t="str">
        <f aca="false">IF(Q1896="","",IFERROR(INDEX(Settings!$J$11:$J$15,MATCH(Q1896,Settings!$H$11:$H$15,0)),"No"))</f>
        <v/>
      </c>
    </row>
    <row r="1897" customFormat="false" ht="15" hidden="false" customHeight="false" outlineLevel="0" collapsed="false">
      <c r="A1897" s="30"/>
      <c r="B1897" s="25"/>
      <c r="C1897" s="25"/>
      <c r="D1897" s="25"/>
      <c r="E1897" s="25"/>
      <c r="F1897" s="25"/>
      <c r="G1897" s="25"/>
      <c r="H1897" s="31"/>
      <c r="I1897" s="32"/>
      <c r="J1897" s="33"/>
      <c r="K1897" s="34" t="str">
        <f aca="false">IF(OR(H1897="",I1897=""),"",H1897*I1897*(1-N(J1897)))</f>
        <v/>
      </c>
      <c r="L1897" s="32"/>
      <c r="M1897" s="34" t="str">
        <f aca="false">IF(OR(H1897="",L1897=""),"",H1897*L1897)</f>
        <v/>
      </c>
      <c r="N1897" s="34" t="str">
        <f aca="false">IF(OR(K1897="",M1897=""),"",K1897-M1897)</f>
        <v/>
      </c>
      <c r="O1897" s="35" t="str">
        <f aca="false">IF(OR(N1897="",K1897=""),"",IF(K1897=0,"",N1897/K1897))</f>
        <v/>
      </c>
      <c r="P1897" s="25"/>
      <c r="Q1897" s="25"/>
      <c r="R1897" s="25"/>
      <c r="S1897" s="36" t="str">
        <f aca="false">IF(A1897="","",YEAR(A1897)+IF(AND(FYStart&gt;1,MONTH(A1897)&gt;=FYStart),1,0))</f>
        <v/>
      </c>
      <c r="T1897" s="36" t="str">
        <f aca="false">IF(A1897="","",MOD(MONTH(A1897)-FYStart,12)+1)</f>
        <v/>
      </c>
      <c r="U1897" s="37" t="str">
        <f aca="false">IF(A1897="","",TEXT(A1897,"mmm"))</f>
        <v/>
      </c>
      <c r="V1897" s="37" t="str">
        <f aca="false">IF(Q1897="","",IFERROR(INDEX(Settings!$I$11:$I$15,MATCH(Q1897,Settings!$H$11:$H$15,0)),"No"))</f>
        <v/>
      </c>
      <c r="W1897" s="37" t="str">
        <f aca="false">IF(Q1897="","",IFERROR(INDEX(Settings!$J$11:$J$15,MATCH(Q1897,Settings!$H$11:$H$15,0)),"No"))</f>
        <v/>
      </c>
    </row>
    <row r="1898" customFormat="false" ht="15" hidden="false" customHeight="false" outlineLevel="0" collapsed="false">
      <c r="A1898" s="30"/>
      <c r="B1898" s="25"/>
      <c r="C1898" s="25"/>
      <c r="D1898" s="25"/>
      <c r="E1898" s="25"/>
      <c r="F1898" s="25"/>
      <c r="G1898" s="25"/>
      <c r="H1898" s="31"/>
      <c r="I1898" s="32"/>
      <c r="J1898" s="33"/>
      <c r="K1898" s="34" t="str">
        <f aca="false">IF(OR(H1898="",I1898=""),"",H1898*I1898*(1-N(J1898)))</f>
        <v/>
      </c>
      <c r="L1898" s="32"/>
      <c r="M1898" s="34" t="str">
        <f aca="false">IF(OR(H1898="",L1898=""),"",H1898*L1898)</f>
        <v/>
      </c>
      <c r="N1898" s="34" t="str">
        <f aca="false">IF(OR(K1898="",M1898=""),"",K1898-M1898)</f>
        <v/>
      </c>
      <c r="O1898" s="35" t="str">
        <f aca="false">IF(OR(N1898="",K1898=""),"",IF(K1898=0,"",N1898/K1898))</f>
        <v/>
      </c>
      <c r="P1898" s="25"/>
      <c r="Q1898" s="25"/>
      <c r="R1898" s="25"/>
      <c r="S1898" s="36" t="str">
        <f aca="false">IF(A1898="","",YEAR(A1898)+IF(AND(FYStart&gt;1,MONTH(A1898)&gt;=FYStart),1,0))</f>
        <v/>
      </c>
      <c r="T1898" s="36" t="str">
        <f aca="false">IF(A1898="","",MOD(MONTH(A1898)-FYStart,12)+1)</f>
        <v/>
      </c>
      <c r="U1898" s="37" t="str">
        <f aca="false">IF(A1898="","",TEXT(A1898,"mmm"))</f>
        <v/>
      </c>
      <c r="V1898" s="37" t="str">
        <f aca="false">IF(Q1898="","",IFERROR(INDEX(Settings!$I$11:$I$15,MATCH(Q1898,Settings!$H$11:$H$15,0)),"No"))</f>
        <v/>
      </c>
      <c r="W1898" s="37" t="str">
        <f aca="false">IF(Q1898="","",IFERROR(INDEX(Settings!$J$11:$J$15,MATCH(Q1898,Settings!$H$11:$H$15,0)),"No"))</f>
        <v/>
      </c>
    </row>
    <row r="1899" customFormat="false" ht="15" hidden="false" customHeight="false" outlineLevel="0" collapsed="false">
      <c r="A1899" s="30"/>
      <c r="B1899" s="25"/>
      <c r="C1899" s="25"/>
      <c r="D1899" s="25"/>
      <c r="E1899" s="25"/>
      <c r="F1899" s="25"/>
      <c r="G1899" s="25"/>
      <c r="H1899" s="31"/>
      <c r="I1899" s="32"/>
      <c r="J1899" s="33"/>
      <c r="K1899" s="34" t="str">
        <f aca="false">IF(OR(H1899="",I1899=""),"",H1899*I1899*(1-N(J1899)))</f>
        <v/>
      </c>
      <c r="L1899" s="32"/>
      <c r="M1899" s="34" t="str">
        <f aca="false">IF(OR(H1899="",L1899=""),"",H1899*L1899)</f>
        <v/>
      </c>
      <c r="N1899" s="34" t="str">
        <f aca="false">IF(OR(K1899="",M1899=""),"",K1899-M1899)</f>
        <v/>
      </c>
      <c r="O1899" s="35" t="str">
        <f aca="false">IF(OR(N1899="",K1899=""),"",IF(K1899=0,"",N1899/K1899))</f>
        <v/>
      </c>
      <c r="P1899" s="25"/>
      <c r="Q1899" s="25"/>
      <c r="R1899" s="25"/>
      <c r="S1899" s="36" t="str">
        <f aca="false">IF(A1899="","",YEAR(A1899)+IF(AND(FYStart&gt;1,MONTH(A1899)&gt;=FYStart),1,0))</f>
        <v/>
      </c>
      <c r="T1899" s="36" t="str">
        <f aca="false">IF(A1899="","",MOD(MONTH(A1899)-FYStart,12)+1)</f>
        <v/>
      </c>
      <c r="U1899" s="37" t="str">
        <f aca="false">IF(A1899="","",TEXT(A1899,"mmm"))</f>
        <v/>
      </c>
      <c r="V1899" s="37" t="str">
        <f aca="false">IF(Q1899="","",IFERROR(INDEX(Settings!$I$11:$I$15,MATCH(Q1899,Settings!$H$11:$H$15,0)),"No"))</f>
        <v/>
      </c>
      <c r="W1899" s="37" t="str">
        <f aca="false">IF(Q1899="","",IFERROR(INDEX(Settings!$J$11:$J$15,MATCH(Q1899,Settings!$H$11:$H$15,0)),"No"))</f>
        <v/>
      </c>
    </row>
    <row r="1900" customFormat="false" ht="15" hidden="false" customHeight="false" outlineLevel="0" collapsed="false">
      <c r="A1900" s="30"/>
      <c r="B1900" s="25"/>
      <c r="C1900" s="25"/>
      <c r="D1900" s="25"/>
      <c r="E1900" s="25"/>
      <c r="F1900" s="25"/>
      <c r="G1900" s="25"/>
      <c r="H1900" s="31"/>
      <c r="I1900" s="32"/>
      <c r="J1900" s="33"/>
      <c r="K1900" s="34" t="str">
        <f aca="false">IF(OR(H1900="",I1900=""),"",H1900*I1900*(1-N(J1900)))</f>
        <v/>
      </c>
      <c r="L1900" s="32"/>
      <c r="M1900" s="34" t="str">
        <f aca="false">IF(OR(H1900="",L1900=""),"",H1900*L1900)</f>
        <v/>
      </c>
      <c r="N1900" s="34" t="str">
        <f aca="false">IF(OR(K1900="",M1900=""),"",K1900-M1900)</f>
        <v/>
      </c>
      <c r="O1900" s="35" t="str">
        <f aca="false">IF(OR(N1900="",K1900=""),"",IF(K1900=0,"",N1900/K1900))</f>
        <v/>
      </c>
      <c r="P1900" s="25"/>
      <c r="Q1900" s="25"/>
      <c r="R1900" s="25"/>
      <c r="S1900" s="36" t="str">
        <f aca="false">IF(A1900="","",YEAR(A1900)+IF(AND(FYStart&gt;1,MONTH(A1900)&gt;=FYStart),1,0))</f>
        <v/>
      </c>
      <c r="T1900" s="36" t="str">
        <f aca="false">IF(A1900="","",MOD(MONTH(A1900)-FYStart,12)+1)</f>
        <v/>
      </c>
      <c r="U1900" s="37" t="str">
        <f aca="false">IF(A1900="","",TEXT(A1900,"mmm"))</f>
        <v/>
      </c>
      <c r="V1900" s="37" t="str">
        <f aca="false">IF(Q1900="","",IFERROR(INDEX(Settings!$I$11:$I$15,MATCH(Q1900,Settings!$H$11:$H$15,0)),"No"))</f>
        <v/>
      </c>
      <c r="W1900" s="37" t="str">
        <f aca="false">IF(Q1900="","",IFERROR(INDEX(Settings!$J$11:$J$15,MATCH(Q1900,Settings!$H$11:$H$15,0)),"No"))</f>
        <v/>
      </c>
    </row>
    <row r="1901" customFormat="false" ht="15" hidden="false" customHeight="false" outlineLevel="0" collapsed="false">
      <c r="A1901" s="30"/>
      <c r="B1901" s="25"/>
      <c r="C1901" s="25"/>
      <c r="D1901" s="25"/>
      <c r="E1901" s="25"/>
      <c r="F1901" s="25"/>
      <c r="G1901" s="25"/>
      <c r="H1901" s="31"/>
      <c r="I1901" s="32"/>
      <c r="J1901" s="33"/>
      <c r="K1901" s="34" t="str">
        <f aca="false">IF(OR(H1901="",I1901=""),"",H1901*I1901*(1-N(J1901)))</f>
        <v/>
      </c>
      <c r="L1901" s="32"/>
      <c r="M1901" s="34" t="str">
        <f aca="false">IF(OR(H1901="",L1901=""),"",H1901*L1901)</f>
        <v/>
      </c>
      <c r="N1901" s="34" t="str">
        <f aca="false">IF(OR(K1901="",M1901=""),"",K1901-M1901)</f>
        <v/>
      </c>
      <c r="O1901" s="35" t="str">
        <f aca="false">IF(OR(N1901="",K1901=""),"",IF(K1901=0,"",N1901/K1901))</f>
        <v/>
      </c>
      <c r="P1901" s="25"/>
      <c r="Q1901" s="25"/>
      <c r="R1901" s="25"/>
      <c r="S1901" s="36" t="str">
        <f aca="false">IF(A1901="","",YEAR(A1901)+IF(AND(FYStart&gt;1,MONTH(A1901)&gt;=FYStart),1,0))</f>
        <v/>
      </c>
      <c r="T1901" s="36" t="str">
        <f aca="false">IF(A1901="","",MOD(MONTH(A1901)-FYStart,12)+1)</f>
        <v/>
      </c>
      <c r="U1901" s="37" t="str">
        <f aca="false">IF(A1901="","",TEXT(A1901,"mmm"))</f>
        <v/>
      </c>
      <c r="V1901" s="37" t="str">
        <f aca="false">IF(Q1901="","",IFERROR(INDEX(Settings!$I$11:$I$15,MATCH(Q1901,Settings!$H$11:$H$15,0)),"No"))</f>
        <v/>
      </c>
      <c r="W1901" s="37" t="str">
        <f aca="false">IF(Q1901="","",IFERROR(INDEX(Settings!$J$11:$J$15,MATCH(Q1901,Settings!$H$11:$H$15,0)),"No"))</f>
        <v/>
      </c>
    </row>
    <row r="1902" customFormat="false" ht="15" hidden="false" customHeight="false" outlineLevel="0" collapsed="false">
      <c r="A1902" s="30"/>
      <c r="B1902" s="25"/>
      <c r="C1902" s="25"/>
      <c r="D1902" s="25"/>
      <c r="E1902" s="25"/>
      <c r="F1902" s="25"/>
      <c r="G1902" s="25"/>
      <c r="H1902" s="31"/>
      <c r="I1902" s="32"/>
      <c r="J1902" s="33"/>
      <c r="K1902" s="34" t="str">
        <f aca="false">IF(OR(H1902="",I1902=""),"",H1902*I1902*(1-N(J1902)))</f>
        <v/>
      </c>
      <c r="L1902" s="32"/>
      <c r="M1902" s="34" t="str">
        <f aca="false">IF(OR(H1902="",L1902=""),"",H1902*L1902)</f>
        <v/>
      </c>
      <c r="N1902" s="34" t="str">
        <f aca="false">IF(OR(K1902="",M1902=""),"",K1902-M1902)</f>
        <v/>
      </c>
      <c r="O1902" s="35" t="str">
        <f aca="false">IF(OR(N1902="",K1902=""),"",IF(K1902=0,"",N1902/K1902))</f>
        <v/>
      </c>
      <c r="P1902" s="25"/>
      <c r="Q1902" s="25"/>
      <c r="R1902" s="25"/>
      <c r="S1902" s="36" t="str">
        <f aca="false">IF(A1902="","",YEAR(A1902)+IF(AND(FYStart&gt;1,MONTH(A1902)&gt;=FYStart),1,0))</f>
        <v/>
      </c>
      <c r="T1902" s="36" t="str">
        <f aca="false">IF(A1902="","",MOD(MONTH(A1902)-FYStart,12)+1)</f>
        <v/>
      </c>
      <c r="U1902" s="37" t="str">
        <f aca="false">IF(A1902="","",TEXT(A1902,"mmm"))</f>
        <v/>
      </c>
      <c r="V1902" s="37" t="str">
        <f aca="false">IF(Q1902="","",IFERROR(INDEX(Settings!$I$11:$I$15,MATCH(Q1902,Settings!$H$11:$H$15,0)),"No"))</f>
        <v/>
      </c>
      <c r="W1902" s="37" t="str">
        <f aca="false">IF(Q1902="","",IFERROR(INDEX(Settings!$J$11:$J$15,MATCH(Q1902,Settings!$H$11:$H$15,0)),"No"))</f>
        <v/>
      </c>
    </row>
    <row r="1903" customFormat="false" ht="15" hidden="false" customHeight="false" outlineLevel="0" collapsed="false">
      <c r="A1903" s="30"/>
      <c r="B1903" s="25"/>
      <c r="C1903" s="25"/>
      <c r="D1903" s="25"/>
      <c r="E1903" s="25"/>
      <c r="F1903" s="25"/>
      <c r="G1903" s="25"/>
      <c r="H1903" s="31"/>
      <c r="I1903" s="32"/>
      <c r="J1903" s="33"/>
      <c r="K1903" s="34" t="str">
        <f aca="false">IF(OR(H1903="",I1903=""),"",H1903*I1903*(1-N(J1903)))</f>
        <v/>
      </c>
      <c r="L1903" s="32"/>
      <c r="M1903" s="34" t="str">
        <f aca="false">IF(OR(H1903="",L1903=""),"",H1903*L1903)</f>
        <v/>
      </c>
      <c r="N1903" s="34" t="str">
        <f aca="false">IF(OR(K1903="",M1903=""),"",K1903-M1903)</f>
        <v/>
      </c>
      <c r="O1903" s="35" t="str">
        <f aca="false">IF(OR(N1903="",K1903=""),"",IF(K1903=0,"",N1903/K1903))</f>
        <v/>
      </c>
      <c r="P1903" s="25"/>
      <c r="Q1903" s="25"/>
      <c r="R1903" s="25"/>
      <c r="S1903" s="36" t="str">
        <f aca="false">IF(A1903="","",YEAR(A1903)+IF(AND(FYStart&gt;1,MONTH(A1903)&gt;=FYStart),1,0))</f>
        <v/>
      </c>
      <c r="T1903" s="36" t="str">
        <f aca="false">IF(A1903="","",MOD(MONTH(A1903)-FYStart,12)+1)</f>
        <v/>
      </c>
      <c r="U1903" s="37" t="str">
        <f aca="false">IF(A1903="","",TEXT(A1903,"mmm"))</f>
        <v/>
      </c>
      <c r="V1903" s="37" t="str">
        <f aca="false">IF(Q1903="","",IFERROR(INDEX(Settings!$I$11:$I$15,MATCH(Q1903,Settings!$H$11:$H$15,0)),"No"))</f>
        <v/>
      </c>
      <c r="W1903" s="37" t="str">
        <f aca="false">IF(Q1903="","",IFERROR(INDEX(Settings!$J$11:$J$15,MATCH(Q1903,Settings!$H$11:$H$15,0)),"No"))</f>
        <v/>
      </c>
    </row>
    <row r="1904" customFormat="false" ht="15" hidden="false" customHeight="false" outlineLevel="0" collapsed="false">
      <c r="A1904" s="30"/>
      <c r="B1904" s="25"/>
      <c r="C1904" s="25"/>
      <c r="D1904" s="25"/>
      <c r="E1904" s="25"/>
      <c r="F1904" s="25"/>
      <c r="G1904" s="25"/>
      <c r="H1904" s="31"/>
      <c r="I1904" s="32"/>
      <c r="J1904" s="33"/>
      <c r="K1904" s="34" t="str">
        <f aca="false">IF(OR(H1904="",I1904=""),"",H1904*I1904*(1-N(J1904)))</f>
        <v/>
      </c>
      <c r="L1904" s="32"/>
      <c r="M1904" s="34" t="str">
        <f aca="false">IF(OR(H1904="",L1904=""),"",H1904*L1904)</f>
        <v/>
      </c>
      <c r="N1904" s="34" t="str">
        <f aca="false">IF(OR(K1904="",M1904=""),"",K1904-M1904)</f>
        <v/>
      </c>
      <c r="O1904" s="35" t="str">
        <f aca="false">IF(OR(N1904="",K1904=""),"",IF(K1904=0,"",N1904/K1904))</f>
        <v/>
      </c>
      <c r="P1904" s="25"/>
      <c r="Q1904" s="25"/>
      <c r="R1904" s="25"/>
      <c r="S1904" s="36" t="str">
        <f aca="false">IF(A1904="","",YEAR(A1904)+IF(AND(FYStart&gt;1,MONTH(A1904)&gt;=FYStart),1,0))</f>
        <v/>
      </c>
      <c r="T1904" s="36" t="str">
        <f aca="false">IF(A1904="","",MOD(MONTH(A1904)-FYStart,12)+1)</f>
        <v/>
      </c>
      <c r="U1904" s="37" t="str">
        <f aca="false">IF(A1904="","",TEXT(A1904,"mmm"))</f>
        <v/>
      </c>
      <c r="V1904" s="37" t="str">
        <f aca="false">IF(Q1904="","",IFERROR(INDEX(Settings!$I$11:$I$15,MATCH(Q1904,Settings!$H$11:$H$15,0)),"No"))</f>
        <v/>
      </c>
      <c r="W1904" s="37" t="str">
        <f aca="false">IF(Q1904="","",IFERROR(INDEX(Settings!$J$11:$J$15,MATCH(Q1904,Settings!$H$11:$H$15,0)),"No"))</f>
        <v/>
      </c>
    </row>
    <row r="1905" customFormat="false" ht="15" hidden="false" customHeight="false" outlineLevel="0" collapsed="false">
      <c r="A1905" s="30"/>
      <c r="B1905" s="25"/>
      <c r="C1905" s="25"/>
      <c r="D1905" s="25"/>
      <c r="E1905" s="25"/>
      <c r="F1905" s="25"/>
      <c r="G1905" s="25"/>
      <c r="H1905" s="31"/>
      <c r="I1905" s="32"/>
      <c r="J1905" s="33"/>
      <c r="K1905" s="34" t="str">
        <f aca="false">IF(OR(H1905="",I1905=""),"",H1905*I1905*(1-N(J1905)))</f>
        <v/>
      </c>
      <c r="L1905" s="32"/>
      <c r="M1905" s="34" t="str">
        <f aca="false">IF(OR(H1905="",L1905=""),"",H1905*L1905)</f>
        <v/>
      </c>
      <c r="N1905" s="34" t="str">
        <f aca="false">IF(OR(K1905="",M1905=""),"",K1905-M1905)</f>
        <v/>
      </c>
      <c r="O1905" s="35" t="str">
        <f aca="false">IF(OR(N1905="",K1905=""),"",IF(K1905=0,"",N1905/K1905))</f>
        <v/>
      </c>
      <c r="P1905" s="25"/>
      <c r="Q1905" s="25"/>
      <c r="R1905" s="25"/>
      <c r="S1905" s="36" t="str">
        <f aca="false">IF(A1905="","",YEAR(A1905)+IF(AND(FYStart&gt;1,MONTH(A1905)&gt;=FYStart),1,0))</f>
        <v/>
      </c>
      <c r="T1905" s="36" t="str">
        <f aca="false">IF(A1905="","",MOD(MONTH(A1905)-FYStart,12)+1)</f>
        <v/>
      </c>
      <c r="U1905" s="37" t="str">
        <f aca="false">IF(A1905="","",TEXT(A1905,"mmm"))</f>
        <v/>
      </c>
      <c r="V1905" s="37" t="str">
        <f aca="false">IF(Q1905="","",IFERROR(INDEX(Settings!$I$11:$I$15,MATCH(Q1905,Settings!$H$11:$H$15,0)),"No"))</f>
        <v/>
      </c>
      <c r="W1905" s="37" t="str">
        <f aca="false">IF(Q1905="","",IFERROR(INDEX(Settings!$J$11:$J$15,MATCH(Q1905,Settings!$H$11:$H$15,0)),"No"))</f>
        <v/>
      </c>
    </row>
    <row r="1906" customFormat="false" ht="15" hidden="false" customHeight="false" outlineLevel="0" collapsed="false">
      <c r="A1906" s="30"/>
      <c r="B1906" s="25"/>
      <c r="C1906" s="25"/>
      <c r="D1906" s="25"/>
      <c r="E1906" s="25"/>
      <c r="F1906" s="25"/>
      <c r="G1906" s="25"/>
      <c r="H1906" s="31"/>
      <c r="I1906" s="32"/>
      <c r="J1906" s="33"/>
      <c r="K1906" s="34" t="str">
        <f aca="false">IF(OR(H1906="",I1906=""),"",H1906*I1906*(1-N(J1906)))</f>
        <v/>
      </c>
      <c r="L1906" s="32"/>
      <c r="M1906" s="34" t="str">
        <f aca="false">IF(OR(H1906="",L1906=""),"",H1906*L1906)</f>
        <v/>
      </c>
      <c r="N1906" s="34" t="str">
        <f aca="false">IF(OR(K1906="",M1906=""),"",K1906-M1906)</f>
        <v/>
      </c>
      <c r="O1906" s="35" t="str">
        <f aca="false">IF(OR(N1906="",K1906=""),"",IF(K1906=0,"",N1906/K1906))</f>
        <v/>
      </c>
      <c r="P1906" s="25"/>
      <c r="Q1906" s="25"/>
      <c r="R1906" s="25"/>
      <c r="S1906" s="36" t="str">
        <f aca="false">IF(A1906="","",YEAR(A1906)+IF(AND(FYStart&gt;1,MONTH(A1906)&gt;=FYStart),1,0))</f>
        <v/>
      </c>
      <c r="T1906" s="36" t="str">
        <f aca="false">IF(A1906="","",MOD(MONTH(A1906)-FYStart,12)+1)</f>
        <v/>
      </c>
      <c r="U1906" s="37" t="str">
        <f aca="false">IF(A1906="","",TEXT(A1906,"mmm"))</f>
        <v/>
      </c>
      <c r="V1906" s="37" t="str">
        <f aca="false">IF(Q1906="","",IFERROR(INDEX(Settings!$I$11:$I$15,MATCH(Q1906,Settings!$H$11:$H$15,0)),"No"))</f>
        <v/>
      </c>
      <c r="W1906" s="37" t="str">
        <f aca="false">IF(Q1906="","",IFERROR(INDEX(Settings!$J$11:$J$15,MATCH(Q1906,Settings!$H$11:$H$15,0)),"No"))</f>
        <v/>
      </c>
    </row>
    <row r="1907" customFormat="false" ht="15" hidden="false" customHeight="false" outlineLevel="0" collapsed="false">
      <c r="A1907" s="30"/>
      <c r="B1907" s="25"/>
      <c r="C1907" s="25"/>
      <c r="D1907" s="25"/>
      <c r="E1907" s="25"/>
      <c r="F1907" s="25"/>
      <c r="G1907" s="25"/>
      <c r="H1907" s="31"/>
      <c r="I1907" s="32"/>
      <c r="J1907" s="33"/>
      <c r="K1907" s="34" t="str">
        <f aca="false">IF(OR(H1907="",I1907=""),"",H1907*I1907*(1-N(J1907)))</f>
        <v/>
      </c>
      <c r="L1907" s="32"/>
      <c r="M1907" s="34" t="str">
        <f aca="false">IF(OR(H1907="",L1907=""),"",H1907*L1907)</f>
        <v/>
      </c>
      <c r="N1907" s="34" t="str">
        <f aca="false">IF(OR(K1907="",M1907=""),"",K1907-M1907)</f>
        <v/>
      </c>
      <c r="O1907" s="35" t="str">
        <f aca="false">IF(OR(N1907="",K1907=""),"",IF(K1907=0,"",N1907/K1907))</f>
        <v/>
      </c>
      <c r="P1907" s="25"/>
      <c r="Q1907" s="25"/>
      <c r="R1907" s="25"/>
      <c r="S1907" s="36" t="str">
        <f aca="false">IF(A1907="","",YEAR(A1907)+IF(AND(FYStart&gt;1,MONTH(A1907)&gt;=FYStart),1,0))</f>
        <v/>
      </c>
      <c r="T1907" s="36" t="str">
        <f aca="false">IF(A1907="","",MOD(MONTH(A1907)-FYStart,12)+1)</f>
        <v/>
      </c>
      <c r="U1907" s="37" t="str">
        <f aca="false">IF(A1907="","",TEXT(A1907,"mmm"))</f>
        <v/>
      </c>
      <c r="V1907" s="37" t="str">
        <f aca="false">IF(Q1907="","",IFERROR(INDEX(Settings!$I$11:$I$15,MATCH(Q1907,Settings!$H$11:$H$15,0)),"No"))</f>
        <v/>
      </c>
      <c r="W1907" s="37" t="str">
        <f aca="false">IF(Q1907="","",IFERROR(INDEX(Settings!$J$11:$J$15,MATCH(Q1907,Settings!$H$11:$H$15,0)),"No"))</f>
        <v/>
      </c>
    </row>
    <row r="1908" customFormat="false" ht="15" hidden="false" customHeight="false" outlineLevel="0" collapsed="false">
      <c r="A1908" s="30"/>
      <c r="B1908" s="25"/>
      <c r="C1908" s="25"/>
      <c r="D1908" s="25"/>
      <c r="E1908" s="25"/>
      <c r="F1908" s="25"/>
      <c r="G1908" s="25"/>
      <c r="H1908" s="31"/>
      <c r="I1908" s="32"/>
      <c r="J1908" s="33"/>
      <c r="K1908" s="34" t="str">
        <f aca="false">IF(OR(H1908="",I1908=""),"",H1908*I1908*(1-N(J1908)))</f>
        <v/>
      </c>
      <c r="L1908" s="32"/>
      <c r="M1908" s="34" t="str">
        <f aca="false">IF(OR(H1908="",L1908=""),"",H1908*L1908)</f>
        <v/>
      </c>
      <c r="N1908" s="34" t="str">
        <f aca="false">IF(OR(K1908="",M1908=""),"",K1908-M1908)</f>
        <v/>
      </c>
      <c r="O1908" s="35" t="str">
        <f aca="false">IF(OR(N1908="",K1908=""),"",IF(K1908=0,"",N1908/K1908))</f>
        <v/>
      </c>
      <c r="P1908" s="25"/>
      <c r="Q1908" s="25"/>
      <c r="R1908" s="25"/>
      <c r="S1908" s="36" t="str">
        <f aca="false">IF(A1908="","",YEAR(A1908)+IF(AND(FYStart&gt;1,MONTH(A1908)&gt;=FYStart),1,0))</f>
        <v/>
      </c>
      <c r="T1908" s="36" t="str">
        <f aca="false">IF(A1908="","",MOD(MONTH(A1908)-FYStart,12)+1)</f>
        <v/>
      </c>
      <c r="U1908" s="37" t="str">
        <f aca="false">IF(A1908="","",TEXT(A1908,"mmm"))</f>
        <v/>
      </c>
      <c r="V1908" s="37" t="str">
        <f aca="false">IF(Q1908="","",IFERROR(INDEX(Settings!$I$11:$I$15,MATCH(Q1908,Settings!$H$11:$H$15,0)),"No"))</f>
        <v/>
      </c>
      <c r="W1908" s="37" t="str">
        <f aca="false">IF(Q1908="","",IFERROR(INDEX(Settings!$J$11:$J$15,MATCH(Q1908,Settings!$H$11:$H$15,0)),"No"))</f>
        <v/>
      </c>
    </row>
    <row r="1909" customFormat="false" ht="15" hidden="false" customHeight="false" outlineLevel="0" collapsed="false">
      <c r="A1909" s="30"/>
      <c r="B1909" s="25"/>
      <c r="C1909" s="25"/>
      <c r="D1909" s="25"/>
      <c r="E1909" s="25"/>
      <c r="F1909" s="25"/>
      <c r="G1909" s="25"/>
      <c r="H1909" s="31"/>
      <c r="I1909" s="32"/>
      <c r="J1909" s="33"/>
      <c r="K1909" s="34" t="str">
        <f aca="false">IF(OR(H1909="",I1909=""),"",H1909*I1909*(1-N(J1909)))</f>
        <v/>
      </c>
      <c r="L1909" s="32"/>
      <c r="M1909" s="34" t="str">
        <f aca="false">IF(OR(H1909="",L1909=""),"",H1909*L1909)</f>
        <v/>
      </c>
      <c r="N1909" s="34" t="str">
        <f aca="false">IF(OR(K1909="",M1909=""),"",K1909-M1909)</f>
        <v/>
      </c>
      <c r="O1909" s="35" t="str">
        <f aca="false">IF(OR(N1909="",K1909=""),"",IF(K1909=0,"",N1909/K1909))</f>
        <v/>
      </c>
      <c r="P1909" s="25"/>
      <c r="Q1909" s="25"/>
      <c r="R1909" s="25"/>
      <c r="S1909" s="36" t="str">
        <f aca="false">IF(A1909="","",YEAR(A1909)+IF(AND(FYStart&gt;1,MONTH(A1909)&gt;=FYStart),1,0))</f>
        <v/>
      </c>
      <c r="T1909" s="36" t="str">
        <f aca="false">IF(A1909="","",MOD(MONTH(A1909)-FYStart,12)+1)</f>
        <v/>
      </c>
      <c r="U1909" s="37" t="str">
        <f aca="false">IF(A1909="","",TEXT(A1909,"mmm"))</f>
        <v/>
      </c>
      <c r="V1909" s="37" t="str">
        <f aca="false">IF(Q1909="","",IFERROR(INDEX(Settings!$I$11:$I$15,MATCH(Q1909,Settings!$H$11:$H$15,0)),"No"))</f>
        <v/>
      </c>
      <c r="W1909" s="37" t="str">
        <f aca="false">IF(Q1909="","",IFERROR(INDEX(Settings!$J$11:$J$15,MATCH(Q1909,Settings!$H$11:$H$15,0)),"No"))</f>
        <v/>
      </c>
    </row>
    <row r="1910" customFormat="false" ht="15" hidden="false" customHeight="false" outlineLevel="0" collapsed="false">
      <c r="A1910" s="30"/>
      <c r="B1910" s="25"/>
      <c r="C1910" s="25"/>
      <c r="D1910" s="25"/>
      <c r="E1910" s="25"/>
      <c r="F1910" s="25"/>
      <c r="G1910" s="25"/>
      <c r="H1910" s="31"/>
      <c r="I1910" s="32"/>
      <c r="J1910" s="33"/>
      <c r="K1910" s="34" t="str">
        <f aca="false">IF(OR(H1910="",I1910=""),"",H1910*I1910*(1-N(J1910)))</f>
        <v/>
      </c>
      <c r="L1910" s="32"/>
      <c r="M1910" s="34" t="str">
        <f aca="false">IF(OR(H1910="",L1910=""),"",H1910*L1910)</f>
        <v/>
      </c>
      <c r="N1910" s="34" t="str">
        <f aca="false">IF(OR(K1910="",M1910=""),"",K1910-M1910)</f>
        <v/>
      </c>
      <c r="O1910" s="35" t="str">
        <f aca="false">IF(OR(N1910="",K1910=""),"",IF(K1910=0,"",N1910/K1910))</f>
        <v/>
      </c>
      <c r="P1910" s="25"/>
      <c r="Q1910" s="25"/>
      <c r="R1910" s="25"/>
      <c r="S1910" s="36" t="str">
        <f aca="false">IF(A1910="","",YEAR(A1910)+IF(AND(FYStart&gt;1,MONTH(A1910)&gt;=FYStart),1,0))</f>
        <v/>
      </c>
      <c r="T1910" s="36" t="str">
        <f aca="false">IF(A1910="","",MOD(MONTH(A1910)-FYStart,12)+1)</f>
        <v/>
      </c>
      <c r="U1910" s="37" t="str">
        <f aca="false">IF(A1910="","",TEXT(A1910,"mmm"))</f>
        <v/>
      </c>
      <c r="V1910" s="37" t="str">
        <f aca="false">IF(Q1910="","",IFERROR(INDEX(Settings!$I$11:$I$15,MATCH(Q1910,Settings!$H$11:$H$15,0)),"No"))</f>
        <v/>
      </c>
      <c r="W1910" s="37" t="str">
        <f aca="false">IF(Q1910="","",IFERROR(INDEX(Settings!$J$11:$J$15,MATCH(Q1910,Settings!$H$11:$H$15,0)),"No"))</f>
        <v/>
      </c>
    </row>
    <row r="1911" customFormat="false" ht="15" hidden="false" customHeight="false" outlineLevel="0" collapsed="false">
      <c r="A1911" s="30"/>
      <c r="B1911" s="25"/>
      <c r="C1911" s="25"/>
      <c r="D1911" s="25"/>
      <c r="E1911" s="25"/>
      <c r="F1911" s="25"/>
      <c r="G1911" s="25"/>
      <c r="H1911" s="31"/>
      <c r="I1911" s="32"/>
      <c r="J1911" s="33"/>
      <c r="K1911" s="34" t="str">
        <f aca="false">IF(OR(H1911="",I1911=""),"",H1911*I1911*(1-N(J1911)))</f>
        <v/>
      </c>
      <c r="L1911" s="32"/>
      <c r="M1911" s="34" t="str">
        <f aca="false">IF(OR(H1911="",L1911=""),"",H1911*L1911)</f>
        <v/>
      </c>
      <c r="N1911" s="34" t="str">
        <f aca="false">IF(OR(K1911="",M1911=""),"",K1911-M1911)</f>
        <v/>
      </c>
      <c r="O1911" s="35" t="str">
        <f aca="false">IF(OR(N1911="",K1911=""),"",IF(K1911=0,"",N1911/K1911))</f>
        <v/>
      </c>
      <c r="P1911" s="25"/>
      <c r="Q1911" s="25"/>
      <c r="R1911" s="25"/>
      <c r="S1911" s="36" t="str">
        <f aca="false">IF(A1911="","",YEAR(A1911)+IF(AND(FYStart&gt;1,MONTH(A1911)&gt;=FYStart),1,0))</f>
        <v/>
      </c>
      <c r="T1911" s="36" t="str">
        <f aca="false">IF(A1911="","",MOD(MONTH(A1911)-FYStart,12)+1)</f>
        <v/>
      </c>
      <c r="U1911" s="37" t="str">
        <f aca="false">IF(A1911="","",TEXT(A1911,"mmm"))</f>
        <v/>
      </c>
      <c r="V1911" s="37" t="str">
        <f aca="false">IF(Q1911="","",IFERROR(INDEX(Settings!$I$11:$I$15,MATCH(Q1911,Settings!$H$11:$H$15,0)),"No"))</f>
        <v/>
      </c>
      <c r="W1911" s="37" t="str">
        <f aca="false">IF(Q1911="","",IFERROR(INDEX(Settings!$J$11:$J$15,MATCH(Q1911,Settings!$H$11:$H$15,0)),"No"))</f>
        <v/>
      </c>
    </row>
    <row r="1912" customFormat="false" ht="15" hidden="false" customHeight="false" outlineLevel="0" collapsed="false">
      <c r="A1912" s="30"/>
      <c r="B1912" s="25"/>
      <c r="C1912" s="25"/>
      <c r="D1912" s="25"/>
      <c r="E1912" s="25"/>
      <c r="F1912" s="25"/>
      <c r="G1912" s="25"/>
      <c r="H1912" s="31"/>
      <c r="I1912" s="32"/>
      <c r="J1912" s="33"/>
      <c r="K1912" s="34" t="str">
        <f aca="false">IF(OR(H1912="",I1912=""),"",H1912*I1912*(1-N(J1912)))</f>
        <v/>
      </c>
      <c r="L1912" s="32"/>
      <c r="M1912" s="34" t="str">
        <f aca="false">IF(OR(H1912="",L1912=""),"",H1912*L1912)</f>
        <v/>
      </c>
      <c r="N1912" s="34" t="str">
        <f aca="false">IF(OR(K1912="",M1912=""),"",K1912-M1912)</f>
        <v/>
      </c>
      <c r="O1912" s="35" t="str">
        <f aca="false">IF(OR(N1912="",K1912=""),"",IF(K1912=0,"",N1912/K1912))</f>
        <v/>
      </c>
      <c r="P1912" s="25"/>
      <c r="Q1912" s="25"/>
      <c r="R1912" s="25"/>
      <c r="S1912" s="36" t="str">
        <f aca="false">IF(A1912="","",YEAR(A1912)+IF(AND(FYStart&gt;1,MONTH(A1912)&gt;=FYStart),1,0))</f>
        <v/>
      </c>
      <c r="T1912" s="36" t="str">
        <f aca="false">IF(A1912="","",MOD(MONTH(A1912)-FYStart,12)+1)</f>
        <v/>
      </c>
      <c r="U1912" s="37" t="str">
        <f aca="false">IF(A1912="","",TEXT(A1912,"mmm"))</f>
        <v/>
      </c>
      <c r="V1912" s="37" t="str">
        <f aca="false">IF(Q1912="","",IFERROR(INDEX(Settings!$I$11:$I$15,MATCH(Q1912,Settings!$H$11:$H$15,0)),"No"))</f>
        <v/>
      </c>
      <c r="W1912" s="37" t="str">
        <f aca="false">IF(Q1912="","",IFERROR(INDEX(Settings!$J$11:$J$15,MATCH(Q1912,Settings!$H$11:$H$15,0)),"No"))</f>
        <v/>
      </c>
    </row>
    <row r="1913" customFormat="false" ht="15" hidden="false" customHeight="false" outlineLevel="0" collapsed="false">
      <c r="A1913" s="30"/>
      <c r="B1913" s="25"/>
      <c r="C1913" s="25"/>
      <c r="D1913" s="25"/>
      <c r="E1913" s="25"/>
      <c r="F1913" s="25"/>
      <c r="G1913" s="25"/>
      <c r="H1913" s="31"/>
      <c r="I1913" s="32"/>
      <c r="J1913" s="33"/>
      <c r="K1913" s="34" t="str">
        <f aca="false">IF(OR(H1913="",I1913=""),"",H1913*I1913*(1-N(J1913)))</f>
        <v/>
      </c>
      <c r="L1913" s="32"/>
      <c r="M1913" s="34" t="str">
        <f aca="false">IF(OR(H1913="",L1913=""),"",H1913*L1913)</f>
        <v/>
      </c>
      <c r="N1913" s="34" t="str">
        <f aca="false">IF(OR(K1913="",M1913=""),"",K1913-M1913)</f>
        <v/>
      </c>
      <c r="O1913" s="35" t="str">
        <f aca="false">IF(OR(N1913="",K1913=""),"",IF(K1913=0,"",N1913/K1913))</f>
        <v/>
      </c>
      <c r="P1913" s="25"/>
      <c r="Q1913" s="25"/>
      <c r="R1913" s="25"/>
      <c r="S1913" s="36" t="str">
        <f aca="false">IF(A1913="","",YEAR(A1913)+IF(AND(FYStart&gt;1,MONTH(A1913)&gt;=FYStart),1,0))</f>
        <v/>
      </c>
      <c r="T1913" s="36" t="str">
        <f aca="false">IF(A1913="","",MOD(MONTH(A1913)-FYStart,12)+1)</f>
        <v/>
      </c>
      <c r="U1913" s="37" t="str">
        <f aca="false">IF(A1913="","",TEXT(A1913,"mmm"))</f>
        <v/>
      </c>
      <c r="V1913" s="37" t="str">
        <f aca="false">IF(Q1913="","",IFERROR(INDEX(Settings!$I$11:$I$15,MATCH(Q1913,Settings!$H$11:$H$15,0)),"No"))</f>
        <v/>
      </c>
      <c r="W1913" s="37" t="str">
        <f aca="false">IF(Q1913="","",IFERROR(INDEX(Settings!$J$11:$J$15,MATCH(Q1913,Settings!$H$11:$H$15,0)),"No"))</f>
        <v/>
      </c>
    </row>
    <row r="1914" customFormat="false" ht="15" hidden="false" customHeight="false" outlineLevel="0" collapsed="false">
      <c r="A1914" s="30"/>
      <c r="B1914" s="25"/>
      <c r="C1914" s="25"/>
      <c r="D1914" s="25"/>
      <c r="E1914" s="25"/>
      <c r="F1914" s="25"/>
      <c r="G1914" s="25"/>
      <c r="H1914" s="31"/>
      <c r="I1914" s="32"/>
      <c r="J1914" s="33"/>
      <c r="K1914" s="34" t="str">
        <f aca="false">IF(OR(H1914="",I1914=""),"",H1914*I1914*(1-N(J1914)))</f>
        <v/>
      </c>
      <c r="L1914" s="32"/>
      <c r="M1914" s="34" t="str">
        <f aca="false">IF(OR(H1914="",L1914=""),"",H1914*L1914)</f>
        <v/>
      </c>
      <c r="N1914" s="34" t="str">
        <f aca="false">IF(OR(K1914="",M1914=""),"",K1914-M1914)</f>
        <v/>
      </c>
      <c r="O1914" s="35" t="str">
        <f aca="false">IF(OR(N1914="",K1914=""),"",IF(K1914=0,"",N1914/K1914))</f>
        <v/>
      </c>
      <c r="P1914" s="25"/>
      <c r="Q1914" s="25"/>
      <c r="R1914" s="25"/>
      <c r="S1914" s="36" t="str">
        <f aca="false">IF(A1914="","",YEAR(A1914)+IF(AND(FYStart&gt;1,MONTH(A1914)&gt;=FYStart),1,0))</f>
        <v/>
      </c>
      <c r="T1914" s="36" t="str">
        <f aca="false">IF(A1914="","",MOD(MONTH(A1914)-FYStart,12)+1)</f>
        <v/>
      </c>
      <c r="U1914" s="37" t="str">
        <f aca="false">IF(A1914="","",TEXT(A1914,"mmm"))</f>
        <v/>
      </c>
      <c r="V1914" s="37" t="str">
        <f aca="false">IF(Q1914="","",IFERROR(INDEX(Settings!$I$11:$I$15,MATCH(Q1914,Settings!$H$11:$H$15,0)),"No"))</f>
        <v/>
      </c>
      <c r="W1914" s="37" t="str">
        <f aca="false">IF(Q1914="","",IFERROR(INDEX(Settings!$J$11:$J$15,MATCH(Q1914,Settings!$H$11:$H$15,0)),"No"))</f>
        <v/>
      </c>
    </row>
    <row r="1915" customFormat="false" ht="15" hidden="false" customHeight="false" outlineLevel="0" collapsed="false">
      <c r="A1915" s="30"/>
      <c r="B1915" s="25"/>
      <c r="C1915" s="25"/>
      <c r="D1915" s="25"/>
      <c r="E1915" s="25"/>
      <c r="F1915" s="25"/>
      <c r="G1915" s="25"/>
      <c r="H1915" s="31"/>
      <c r="I1915" s="32"/>
      <c r="J1915" s="33"/>
      <c r="K1915" s="34" t="str">
        <f aca="false">IF(OR(H1915="",I1915=""),"",H1915*I1915*(1-N(J1915)))</f>
        <v/>
      </c>
      <c r="L1915" s="32"/>
      <c r="M1915" s="34" t="str">
        <f aca="false">IF(OR(H1915="",L1915=""),"",H1915*L1915)</f>
        <v/>
      </c>
      <c r="N1915" s="34" t="str">
        <f aca="false">IF(OR(K1915="",M1915=""),"",K1915-M1915)</f>
        <v/>
      </c>
      <c r="O1915" s="35" t="str">
        <f aca="false">IF(OR(N1915="",K1915=""),"",IF(K1915=0,"",N1915/K1915))</f>
        <v/>
      </c>
      <c r="P1915" s="25"/>
      <c r="Q1915" s="25"/>
      <c r="R1915" s="25"/>
      <c r="S1915" s="36" t="str">
        <f aca="false">IF(A1915="","",YEAR(A1915)+IF(AND(FYStart&gt;1,MONTH(A1915)&gt;=FYStart),1,0))</f>
        <v/>
      </c>
      <c r="T1915" s="36" t="str">
        <f aca="false">IF(A1915="","",MOD(MONTH(A1915)-FYStart,12)+1)</f>
        <v/>
      </c>
      <c r="U1915" s="37" t="str">
        <f aca="false">IF(A1915="","",TEXT(A1915,"mmm"))</f>
        <v/>
      </c>
      <c r="V1915" s="37" t="str">
        <f aca="false">IF(Q1915="","",IFERROR(INDEX(Settings!$I$11:$I$15,MATCH(Q1915,Settings!$H$11:$H$15,0)),"No"))</f>
        <v/>
      </c>
      <c r="W1915" s="37" t="str">
        <f aca="false">IF(Q1915="","",IFERROR(INDEX(Settings!$J$11:$J$15,MATCH(Q1915,Settings!$H$11:$H$15,0)),"No"))</f>
        <v/>
      </c>
    </row>
    <row r="1916" customFormat="false" ht="15" hidden="false" customHeight="false" outlineLevel="0" collapsed="false">
      <c r="A1916" s="30"/>
      <c r="B1916" s="25"/>
      <c r="C1916" s="25"/>
      <c r="D1916" s="25"/>
      <c r="E1916" s="25"/>
      <c r="F1916" s="25"/>
      <c r="G1916" s="25"/>
      <c r="H1916" s="31"/>
      <c r="I1916" s="32"/>
      <c r="J1916" s="33"/>
      <c r="K1916" s="34" t="str">
        <f aca="false">IF(OR(H1916="",I1916=""),"",H1916*I1916*(1-N(J1916)))</f>
        <v/>
      </c>
      <c r="L1916" s="32"/>
      <c r="M1916" s="34" t="str">
        <f aca="false">IF(OR(H1916="",L1916=""),"",H1916*L1916)</f>
        <v/>
      </c>
      <c r="N1916" s="34" t="str">
        <f aca="false">IF(OR(K1916="",M1916=""),"",K1916-M1916)</f>
        <v/>
      </c>
      <c r="O1916" s="35" t="str">
        <f aca="false">IF(OR(N1916="",K1916=""),"",IF(K1916=0,"",N1916/K1916))</f>
        <v/>
      </c>
      <c r="P1916" s="25"/>
      <c r="Q1916" s="25"/>
      <c r="R1916" s="25"/>
      <c r="S1916" s="36" t="str">
        <f aca="false">IF(A1916="","",YEAR(A1916)+IF(AND(FYStart&gt;1,MONTH(A1916)&gt;=FYStart),1,0))</f>
        <v/>
      </c>
      <c r="T1916" s="36" t="str">
        <f aca="false">IF(A1916="","",MOD(MONTH(A1916)-FYStart,12)+1)</f>
        <v/>
      </c>
      <c r="U1916" s="37" t="str">
        <f aca="false">IF(A1916="","",TEXT(A1916,"mmm"))</f>
        <v/>
      </c>
      <c r="V1916" s="37" t="str">
        <f aca="false">IF(Q1916="","",IFERROR(INDEX(Settings!$I$11:$I$15,MATCH(Q1916,Settings!$H$11:$H$15,0)),"No"))</f>
        <v/>
      </c>
      <c r="W1916" s="37" t="str">
        <f aca="false">IF(Q1916="","",IFERROR(INDEX(Settings!$J$11:$J$15,MATCH(Q1916,Settings!$H$11:$H$15,0)),"No"))</f>
        <v/>
      </c>
    </row>
    <row r="1917" customFormat="false" ht="15" hidden="false" customHeight="false" outlineLevel="0" collapsed="false">
      <c r="A1917" s="30"/>
      <c r="B1917" s="25"/>
      <c r="C1917" s="25"/>
      <c r="D1917" s="25"/>
      <c r="E1917" s="25"/>
      <c r="F1917" s="25"/>
      <c r="G1917" s="25"/>
      <c r="H1917" s="31"/>
      <c r="I1917" s="32"/>
      <c r="J1917" s="33"/>
      <c r="K1917" s="34" t="str">
        <f aca="false">IF(OR(H1917="",I1917=""),"",H1917*I1917*(1-N(J1917)))</f>
        <v/>
      </c>
      <c r="L1917" s="32"/>
      <c r="M1917" s="34" t="str">
        <f aca="false">IF(OR(H1917="",L1917=""),"",H1917*L1917)</f>
        <v/>
      </c>
      <c r="N1917" s="34" t="str">
        <f aca="false">IF(OR(K1917="",M1917=""),"",K1917-M1917)</f>
        <v/>
      </c>
      <c r="O1917" s="35" t="str">
        <f aca="false">IF(OR(N1917="",K1917=""),"",IF(K1917=0,"",N1917/K1917))</f>
        <v/>
      </c>
      <c r="P1917" s="25"/>
      <c r="Q1917" s="25"/>
      <c r="R1917" s="25"/>
      <c r="S1917" s="36" t="str">
        <f aca="false">IF(A1917="","",YEAR(A1917)+IF(AND(FYStart&gt;1,MONTH(A1917)&gt;=FYStart),1,0))</f>
        <v/>
      </c>
      <c r="T1917" s="36" t="str">
        <f aca="false">IF(A1917="","",MOD(MONTH(A1917)-FYStart,12)+1)</f>
        <v/>
      </c>
      <c r="U1917" s="37" t="str">
        <f aca="false">IF(A1917="","",TEXT(A1917,"mmm"))</f>
        <v/>
      </c>
      <c r="V1917" s="37" t="str">
        <f aca="false">IF(Q1917="","",IFERROR(INDEX(Settings!$I$11:$I$15,MATCH(Q1917,Settings!$H$11:$H$15,0)),"No"))</f>
        <v/>
      </c>
      <c r="W1917" s="37" t="str">
        <f aca="false">IF(Q1917="","",IFERROR(INDEX(Settings!$J$11:$J$15,MATCH(Q1917,Settings!$H$11:$H$15,0)),"No"))</f>
        <v/>
      </c>
    </row>
    <row r="1918" customFormat="false" ht="15" hidden="false" customHeight="false" outlineLevel="0" collapsed="false">
      <c r="A1918" s="30"/>
      <c r="B1918" s="25"/>
      <c r="C1918" s="25"/>
      <c r="D1918" s="25"/>
      <c r="E1918" s="25"/>
      <c r="F1918" s="25"/>
      <c r="G1918" s="25"/>
      <c r="H1918" s="31"/>
      <c r="I1918" s="32"/>
      <c r="J1918" s="33"/>
      <c r="K1918" s="34" t="str">
        <f aca="false">IF(OR(H1918="",I1918=""),"",H1918*I1918*(1-N(J1918)))</f>
        <v/>
      </c>
      <c r="L1918" s="32"/>
      <c r="M1918" s="34" t="str">
        <f aca="false">IF(OR(H1918="",L1918=""),"",H1918*L1918)</f>
        <v/>
      </c>
      <c r="N1918" s="34" t="str">
        <f aca="false">IF(OR(K1918="",M1918=""),"",K1918-M1918)</f>
        <v/>
      </c>
      <c r="O1918" s="35" t="str">
        <f aca="false">IF(OR(N1918="",K1918=""),"",IF(K1918=0,"",N1918/K1918))</f>
        <v/>
      </c>
      <c r="P1918" s="25"/>
      <c r="Q1918" s="25"/>
      <c r="R1918" s="25"/>
      <c r="S1918" s="36" t="str">
        <f aca="false">IF(A1918="","",YEAR(A1918)+IF(AND(FYStart&gt;1,MONTH(A1918)&gt;=FYStart),1,0))</f>
        <v/>
      </c>
      <c r="T1918" s="36" t="str">
        <f aca="false">IF(A1918="","",MOD(MONTH(A1918)-FYStart,12)+1)</f>
        <v/>
      </c>
      <c r="U1918" s="37" t="str">
        <f aca="false">IF(A1918="","",TEXT(A1918,"mmm"))</f>
        <v/>
      </c>
      <c r="V1918" s="37" t="str">
        <f aca="false">IF(Q1918="","",IFERROR(INDEX(Settings!$I$11:$I$15,MATCH(Q1918,Settings!$H$11:$H$15,0)),"No"))</f>
        <v/>
      </c>
      <c r="W1918" s="37" t="str">
        <f aca="false">IF(Q1918="","",IFERROR(INDEX(Settings!$J$11:$J$15,MATCH(Q1918,Settings!$H$11:$H$15,0)),"No"))</f>
        <v/>
      </c>
    </row>
    <row r="1919" customFormat="false" ht="15" hidden="false" customHeight="false" outlineLevel="0" collapsed="false">
      <c r="A1919" s="30"/>
      <c r="B1919" s="25"/>
      <c r="C1919" s="25"/>
      <c r="D1919" s="25"/>
      <c r="E1919" s="25"/>
      <c r="F1919" s="25"/>
      <c r="G1919" s="25"/>
      <c r="H1919" s="31"/>
      <c r="I1919" s="32"/>
      <c r="J1919" s="33"/>
      <c r="K1919" s="34" t="str">
        <f aca="false">IF(OR(H1919="",I1919=""),"",H1919*I1919*(1-N(J1919)))</f>
        <v/>
      </c>
      <c r="L1919" s="32"/>
      <c r="M1919" s="34" t="str">
        <f aca="false">IF(OR(H1919="",L1919=""),"",H1919*L1919)</f>
        <v/>
      </c>
      <c r="N1919" s="34" t="str">
        <f aca="false">IF(OR(K1919="",M1919=""),"",K1919-M1919)</f>
        <v/>
      </c>
      <c r="O1919" s="35" t="str">
        <f aca="false">IF(OR(N1919="",K1919=""),"",IF(K1919=0,"",N1919/K1919))</f>
        <v/>
      </c>
      <c r="P1919" s="25"/>
      <c r="Q1919" s="25"/>
      <c r="R1919" s="25"/>
      <c r="S1919" s="36" t="str">
        <f aca="false">IF(A1919="","",YEAR(A1919)+IF(AND(FYStart&gt;1,MONTH(A1919)&gt;=FYStart),1,0))</f>
        <v/>
      </c>
      <c r="T1919" s="36" t="str">
        <f aca="false">IF(A1919="","",MOD(MONTH(A1919)-FYStart,12)+1)</f>
        <v/>
      </c>
      <c r="U1919" s="37" t="str">
        <f aca="false">IF(A1919="","",TEXT(A1919,"mmm"))</f>
        <v/>
      </c>
      <c r="V1919" s="37" t="str">
        <f aca="false">IF(Q1919="","",IFERROR(INDEX(Settings!$I$11:$I$15,MATCH(Q1919,Settings!$H$11:$H$15,0)),"No"))</f>
        <v/>
      </c>
      <c r="W1919" s="37" t="str">
        <f aca="false">IF(Q1919="","",IFERROR(INDEX(Settings!$J$11:$J$15,MATCH(Q1919,Settings!$H$11:$H$15,0)),"No"))</f>
        <v/>
      </c>
    </row>
    <row r="1920" customFormat="false" ht="15" hidden="false" customHeight="false" outlineLevel="0" collapsed="false">
      <c r="A1920" s="30"/>
      <c r="B1920" s="25"/>
      <c r="C1920" s="25"/>
      <c r="D1920" s="25"/>
      <c r="E1920" s="25"/>
      <c r="F1920" s="25"/>
      <c r="G1920" s="25"/>
      <c r="H1920" s="31"/>
      <c r="I1920" s="32"/>
      <c r="J1920" s="33"/>
      <c r="K1920" s="34" t="str">
        <f aca="false">IF(OR(H1920="",I1920=""),"",H1920*I1920*(1-N(J1920)))</f>
        <v/>
      </c>
      <c r="L1920" s="32"/>
      <c r="M1920" s="34" t="str">
        <f aca="false">IF(OR(H1920="",L1920=""),"",H1920*L1920)</f>
        <v/>
      </c>
      <c r="N1920" s="34" t="str">
        <f aca="false">IF(OR(K1920="",M1920=""),"",K1920-M1920)</f>
        <v/>
      </c>
      <c r="O1920" s="35" t="str">
        <f aca="false">IF(OR(N1920="",K1920=""),"",IF(K1920=0,"",N1920/K1920))</f>
        <v/>
      </c>
      <c r="P1920" s="25"/>
      <c r="Q1920" s="25"/>
      <c r="R1920" s="25"/>
      <c r="S1920" s="36" t="str">
        <f aca="false">IF(A1920="","",YEAR(A1920)+IF(AND(FYStart&gt;1,MONTH(A1920)&gt;=FYStart),1,0))</f>
        <v/>
      </c>
      <c r="T1920" s="36" t="str">
        <f aca="false">IF(A1920="","",MOD(MONTH(A1920)-FYStart,12)+1)</f>
        <v/>
      </c>
      <c r="U1920" s="37" t="str">
        <f aca="false">IF(A1920="","",TEXT(A1920,"mmm"))</f>
        <v/>
      </c>
      <c r="V1920" s="37" t="str">
        <f aca="false">IF(Q1920="","",IFERROR(INDEX(Settings!$I$11:$I$15,MATCH(Q1920,Settings!$H$11:$H$15,0)),"No"))</f>
        <v/>
      </c>
      <c r="W1920" s="37" t="str">
        <f aca="false">IF(Q1920="","",IFERROR(INDEX(Settings!$J$11:$J$15,MATCH(Q1920,Settings!$H$11:$H$15,0)),"No"))</f>
        <v/>
      </c>
    </row>
    <row r="1921" customFormat="false" ht="15" hidden="false" customHeight="false" outlineLevel="0" collapsed="false">
      <c r="A1921" s="30"/>
      <c r="B1921" s="25"/>
      <c r="C1921" s="25"/>
      <c r="D1921" s="25"/>
      <c r="E1921" s="25"/>
      <c r="F1921" s="25"/>
      <c r="G1921" s="25"/>
      <c r="H1921" s="31"/>
      <c r="I1921" s="32"/>
      <c r="J1921" s="33"/>
      <c r="K1921" s="34" t="str">
        <f aca="false">IF(OR(H1921="",I1921=""),"",H1921*I1921*(1-N(J1921)))</f>
        <v/>
      </c>
      <c r="L1921" s="32"/>
      <c r="M1921" s="34" t="str">
        <f aca="false">IF(OR(H1921="",L1921=""),"",H1921*L1921)</f>
        <v/>
      </c>
      <c r="N1921" s="34" t="str">
        <f aca="false">IF(OR(K1921="",M1921=""),"",K1921-M1921)</f>
        <v/>
      </c>
      <c r="O1921" s="35" t="str">
        <f aca="false">IF(OR(N1921="",K1921=""),"",IF(K1921=0,"",N1921/K1921))</f>
        <v/>
      </c>
      <c r="P1921" s="25"/>
      <c r="Q1921" s="25"/>
      <c r="R1921" s="25"/>
      <c r="S1921" s="36" t="str">
        <f aca="false">IF(A1921="","",YEAR(A1921)+IF(AND(FYStart&gt;1,MONTH(A1921)&gt;=FYStart),1,0))</f>
        <v/>
      </c>
      <c r="T1921" s="36" t="str">
        <f aca="false">IF(A1921="","",MOD(MONTH(A1921)-FYStart,12)+1)</f>
        <v/>
      </c>
      <c r="U1921" s="37" t="str">
        <f aca="false">IF(A1921="","",TEXT(A1921,"mmm"))</f>
        <v/>
      </c>
      <c r="V1921" s="37" t="str">
        <f aca="false">IF(Q1921="","",IFERROR(INDEX(Settings!$I$11:$I$15,MATCH(Q1921,Settings!$H$11:$H$15,0)),"No"))</f>
        <v/>
      </c>
      <c r="W1921" s="37" t="str">
        <f aca="false">IF(Q1921="","",IFERROR(INDEX(Settings!$J$11:$J$15,MATCH(Q1921,Settings!$H$11:$H$15,0)),"No"))</f>
        <v/>
      </c>
    </row>
    <row r="1922" customFormat="false" ht="15" hidden="false" customHeight="false" outlineLevel="0" collapsed="false">
      <c r="A1922" s="30"/>
      <c r="B1922" s="25"/>
      <c r="C1922" s="25"/>
      <c r="D1922" s="25"/>
      <c r="E1922" s="25"/>
      <c r="F1922" s="25"/>
      <c r="G1922" s="25"/>
      <c r="H1922" s="31"/>
      <c r="I1922" s="32"/>
      <c r="J1922" s="33"/>
      <c r="K1922" s="34" t="str">
        <f aca="false">IF(OR(H1922="",I1922=""),"",H1922*I1922*(1-N(J1922)))</f>
        <v/>
      </c>
      <c r="L1922" s="32"/>
      <c r="M1922" s="34" t="str">
        <f aca="false">IF(OR(H1922="",L1922=""),"",H1922*L1922)</f>
        <v/>
      </c>
      <c r="N1922" s="34" t="str">
        <f aca="false">IF(OR(K1922="",M1922=""),"",K1922-M1922)</f>
        <v/>
      </c>
      <c r="O1922" s="35" t="str">
        <f aca="false">IF(OR(N1922="",K1922=""),"",IF(K1922=0,"",N1922/K1922))</f>
        <v/>
      </c>
      <c r="P1922" s="25"/>
      <c r="Q1922" s="25"/>
      <c r="R1922" s="25"/>
      <c r="S1922" s="36" t="str">
        <f aca="false">IF(A1922="","",YEAR(A1922)+IF(AND(FYStart&gt;1,MONTH(A1922)&gt;=FYStart),1,0))</f>
        <v/>
      </c>
      <c r="T1922" s="36" t="str">
        <f aca="false">IF(A1922="","",MOD(MONTH(A1922)-FYStart,12)+1)</f>
        <v/>
      </c>
      <c r="U1922" s="37" t="str">
        <f aca="false">IF(A1922="","",TEXT(A1922,"mmm"))</f>
        <v/>
      </c>
      <c r="V1922" s="37" t="str">
        <f aca="false">IF(Q1922="","",IFERROR(INDEX(Settings!$I$11:$I$15,MATCH(Q1922,Settings!$H$11:$H$15,0)),"No"))</f>
        <v/>
      </c>
      <c r="W1922" s="37" t="str">
        <f aca="false">IF(Q1922="","",IFERROR(INDEX(Settings!$J$11:$J$15,MATCH(Q1922,Settings!$H$11:$H$15,0)),"No"))</f>
        <v/>
      </c>
    </row>
    <row r="1923" customFormat="false" ht="15" hidden="false" customHeight="false" outlineLevel="0" collapsed="false">
      <c r="A1923" s="30"/>
      <c r="B1923" s="25"/>
      <c r="C1923" s="25"/>
      <c r="D1923" s="25"/>
      <c r="E1923" s="25"/>
      <c r="F1923" s="25"/>
      <c r="G1923" s="25"/>
      <c r="H1923" s="31"/>
      <c r="I1923" s="32"/>
      <c r="J1923" s="33"/>
      <c r="K1923" s="34" t="str">
        <f aca="false">IF(OR(H1923="",I1923=""),"",H1923*I1923*(1-N(J1923)))</f>
        <v/>
      </c>
      <c r="L1923" s="32"/>
      <c r="M1923" s="34" t="str">
        <f aca="false">IF(OR(H1923="",L1923=""),"",H1923*L1923)</f>
        <v/>
      </c>
      <c r="N1923" s="34" t="str">
        <f aca="false">IF(OR(K1923="",M1923=""),"",K1923-M1923)</f>
        <v/>
      </c>
      <c r="O1923" s="35" t="str">
        <f aca="false">IF(OR(N1923="",K1923=""),"",IF(K1923=0,"",N1923/K1923))</f>
        <v/>
      </c>
      <c r="P1923" s="25"/>
      <c r="Q1923" s="25"/>
      <c r="R1923" s="25"/>
      <c r="S1923" s="36" t="str">
        <f aca="false">IF(A1923="","",YEAR(A1923)+IF(AND(FYStart&gt;1,MONTH(A1923)&gt;=FYStart),1,0))</f>
        <v/>
      </c>
      <c r="T1923" s="36" t="str">
        <f aca="false">IF(A1923="","",MOD(MONTH(A1923)-FYStart,12)+1)</f>
        <v/>
      </c>
      <c r="U1923" s="37" t="str">
        <f aca="false">IF(A1923="","",TEXT(A1923,"mmm"))</f>
        <v/>
      </c>
      <c r="V1923" s="37" t="str">
        <f aca="false">IF(Q1923="","",IFERROR(INDEX(Settings!$I$11:$I$15,MATCH(Q1923,Settings!$H$11:$H$15,0)),"No"))</f>
        <v/>
      </c>
      <c r="W1923" s="37" t="str">
        <f aca="false">IF(Q1923="","",IFERROR(INDEX(Settings!$J$11:$J$15,MATCH(Q1923,Settings!$H$11:$H$15,0)),"No"))</f>
        <v/>
      </c>
    </row>
    <row r="1924" customFormat="false" ht="15" hidden="false" customHeight="false" outlineLevel="0" collapsed="false">
      <c r="A1924" s="30"/>
      <c r="B1924" s="25"/>
      <c r="C1924" s="25"/>
      <c r="D1924" s="25"/>
      <c r="E1924" s="25"/>
      <c r="F1924" s="25"/>
      <c r="G1924" s="25"/>
      <c r="H1924" s="31"/>
      <c r="I1924" s="32"/>
      <c r="J1924" s="33"/>
      <c r="K1924" s="34" t="str">
        <f aca="false">IF(OR(H1924="",I1924=""),"",H1924*I1924*(1-N(J1924)))</f>
        <v/>
      </c>
      <c r="L1924" s="32"/>
      <c r="M1924" s="34" t="str">
        <f aca="false">IF(OR(H1924="",L1924=""),"",H1924*L1924)</f>
        <v/>
      </c>
      <c r="N1924" s="34" t="str">
        <f aca="false">IF(OR(K1924="",M1924=""),"",K1924-M1924)</f>
        <v/>
      </c>
      <c r="O1924" s="35" t="str">
        <f aca="false">IF(OR(N1924="",K1924=""),"",IF(K1924=0,"",N1924/K1924))</f>
        <v/>
      </c>
      <c r="P1924" s="25"/>
      <c r="Q1924" s="25"/>
      <c r="R1924" s="25"/>
      <c r="S1924" s="36" t="str">
        <f aca="false">IF(A1924="","",YEAR(A1924)+IF(AND(FYStart&gt;1,MONTH(A1924)&gt;=FYStart),1,0))</f>
        <v/>
      </c>
      <c r="T1924" s="36" t="str">
        <f aca="false">IF(A1924="","",MOD(MONTH(A1924)-FYStart,12)+1)</f>
        <v/>
      </c>
      <c r="U1924" s="37" t="str">
        <f aca="false">IF(A1924="","",TEXT(A1924,"mmm"))</f>
        <v/>
      </c>
      <c r="V1924" s="37" t="str">
        <f aca="false">IF(Q1924="","",IFERROR(INDEX(Settings!$I$11:$I$15,MATCH(Q1924,Settings!$H$11:$H$15,0)),"No"))</f>
        <v/>
      </c>
      <c r="W1924" s="37" t="str">
        <f aca="false">IF(Q1924="","",IFERROR(INDEX(Settings!$J$11:$J$15,MATCH(Q1924,Settings!$H$11:$H$15,0)),"No"))</f>
        <v/>
      </c>
    </row>
    <row r="1925" customFormat="false" ht="15" hidden="false" customHeight="false" outlineLevel="0" collapsed="false">
      <c r="A1925" s="30"/>
      <c r="B1925" s="25"/>
      <c r="C1925" s="25"/>
      <c r="D1925" s="25"/>
      <c r="E1925" s="25"/>
      <c r="F1925" s="25"/>
      <c r="G1925" s="25"/>
      <c r="H1925" s="31"/>
      <c r="I1925" s="32"/>
      <c r="J1925" s="33"/>
      <c r="K1925" s="34" t="str">
        <f aca="false">IF(OR(H1925="",I1925=""),"",H1925*I1925*(1-N(J1925)))</f>
        <v/>
      </c>
      <c r="L1925" s="32"/>
      <c r="M1925" s="34" t="str">
        <f aca="false">IF(OR(H1925="",L1925=""),"",H1925*L1925)</f>
        <v/>
      </c>
      <c r="N1925" s="34" t="str">
        <f aca="false">IF(OR(K1925="",M1925=""),"",K1925-M1925)</f>
        <v/>
      </c>
      <c r="O1925" s="35" t="str">
        <f aca="false">IF(OR(N1925="",K1925=""),"",IF(K1925=0,"",N1925/K1925))</f>
        <v/>
      </c>
      <c r="P1925" s="25"/>
      <c r="Q1925" s="25"/>
      <c r="R1925" s="25"/>
      <c r="S1925" s="36" t="str">
        <f aca="false">IF(A1925="","",YEAR(A1925)+IF(AND(FYStart&gt;1,MONTH(A1925)&gt;=FYStart),1,0))</f>
        <v/>
      </c>
      <c r="T1925" s="36" t="str">
        <f aca="false">IF(A1925="","",MOD(MONTH(A1925)-FYStart,12)+1)</f>
        <v/>
      </c>
      <c r="U1925" s="37" t="str">
        <f aca="false">IF(A1925="","",TEXT(A1925,"mmm"))</f>
        <v/>
      </c>
      <c r="V1925" s="37" t="str">
        <f aca="false">IF(Q1925="","",IFERROR(INDEX(Settings!$I$11:$I$15,MATCH(Q1925,Settings!$H$11:$H$15,0)),"No"))</f>
        <v/>
      </c>
      <c r="W1925" s="37" t="str">
        <f aca="false">IF(Q1925="","",IFERROR(INDEX(Settings!$J$11:$J$15,MATCH(Q1925,Settings!$H$11:$H$15,0)),"No"))</f>
        <v/>
      </c>
    </row>
    <row r="1926" customFormat="false" ht="15" hidden="false" customHeight="false" outlineLevel="0" collapsed="false">
      <c r="A1926" s="30"/>
      <c r="B1926" s="25"/>
      <c r="C1926" s="25"/>
      <c r="D1926" s="25"/>
      <c r="E1926" s="25"/>
      <c r="F1926" s="25"/>
      <c r="G1926" s="25"/>
      <c r="H1926" s="31"/>
      <c r="I1926" s="32"/>
      <c r="J1926" s="33"/>
      <c r="K1926" s="34" t="str">
        <f aca="false">IF(OR(H1926="",I1926=""),"",H1926*I1926*(1-N(J1926)))</f>
        <v/>
      </c>
      <c r="L1926" s="32"/>
      <c r="M1926" s="34" t="str">
        <f aca="false">IF(OR(H1926="",L1926=""),"",H1926*L1926)</f>
        <v/>
      </c>
      <c r="N1926" s="34" t="str">
        <f aca="false">IF(OR(K1926="",M1926=""),"",K1926-M1926)</f>
        <v/>
      </c>
      <c r="O1926" s="35" t="str">
        <f aca="false">IF(OR(N1926="",K1926=""),"",IF(K1926=0,"",N1926/K1926))</f>
        <v/>
      </c>
      <c r="P1926" s="25"/>
      <c r="Q1926" s="25"/>
      <c r="R1926" s="25"/>
      <c r="S1926" s="36" t="str">
        <f aca="false">IF(A1926="","",YEAR(A1926)+IF(AND(FYStart&gt;1,MONTH(A1926)&gt;=FYStart),1,0))</f>
        <v/>
      </c>
      <c r="T1926" s="36" t="str">
        <f aca="false">IF(A1926="","",MOD(MONTH(A1926)-FYStart,12)+1)</f>
        <v/>
      </c>
      <c r="U1926" s="37" t="str">
        <f aca="false">IF(A1926="","",TEXT(A1926,"mmm"))</f>
        <v/>
      </c>
      <c r="V1926" s="37" t="str">
        <f aca="false">IF(Q1926="","",IFERROR(INDEX(Settings!$I$11:$I$15,MATCH(Q1926,Settings!$H$11:$H$15,0)),"No"))</f>
        <v/>
      </c>
      <c r="W1926" s="37" t="str">
        <f aca="false">IF(Q1926="","",IFERROR(INDEX(Settings!$J$11:$J$15,MATCH(Q1926,Settings!$H$11:$H$15,0)),"No"))</f>
        <v/>
      </c>
    </row>
    <row r="1927" customFormat="false" ht="15" hidden="false" customHeight="false" outlineLevel="0" collapsed="false">
      <c r="A1927" s="30"/>
      <c r="B1927" s="25"/>
      <c r="C1927" s="25"/>
      <c r="D1927" s="25"/>
      <c r="E1927" s="25"/>
      <c r="F1927" s="25"/>
      <c r="G1927" s="25"/>
      <c r="H1927" s="31"/>
      <c r="I1927" s="32"/>
      <c r="J1927" s="33"/>
      <c r="K1927" s="34" t="str">
        <f aca="false">IF(OR(H1927="",I1927=""),"",H1927*I1927*(1-N(J1927)))</f>
        <v/>
      </c>
      <c r="L1927" s="32"/>
      <c r="M1927" s="34" t="str">
        <f aca="false">IF(OR(H1927="",L1927=""),"",H1927*L1927)</f>
        <v/>
      </c>
      <c r="N1927" s="34" t="str">
        <f aca="false">IF(OR(K1927="",M1927=""),"",K1927-M1927)</f>
        <v/>
      </c>
      <c r="O1927" s="35" t="str">
        <f aca="false">IF(OR(N1927="",K1927=""),"",IF(K1927=0,"",N1927/K1927))</f>
        <v/>
      </c>
      <c r="P1927" s="25"/>
      <c r="Q1927" s="25"/>
      <c r="R1927" s="25"/>
      <c r="S1927" s="36" t="str">
        <f aca="false">IF(A1927="","",YEAR(A1927)+IF(AND(FYStart&gt;1,MONTH(A1927)&gt;=FYStart),1,0))</f>
        <v/>
      </c>
      <c r="T1927" s="36" t="str">
        <f aca="false">IF(A1927="","",MOD(MONTH(A1927)-FYStart,12)+1)</f>
        <v/>
      </c>
      <c r="U1927" s="37" t="str">
        <f aca="false">IF(A1927="","",TEXT(A1927,"mmm"))</f>
        <v/>
      </c>
      <c r="V1927" s="37" t="str">
        <f aca="false">IF(Q1927="","",IFERROR(INDEX(Settings!$I$11:$I$15,MATCH(Q1927,Settings!$H$11:$H$15,0)),"No"))</f>
        <v/>
      </c>
      <c r="W1927" s="37" t="str">
        <f aca="false">IF(Q1927="","",IFERROR(INDEX(Settings!$J$11:$J$15,MATCH(Q1927,Settings!$H$11:$H$15,0)),"No"))</f>
        <v/>
      </c>
    </row>
    <row r="1928" customFormat="false" ht="15" hidden="false" customHeight="false" outlineLevel="0" collapsed="false">
      <c r="A1928" s="30"/>
      <c r="B1928" s="25"/>
      <c r="C1928" s="25"/>
      <c r="D1928" s="25"/>
      <c r="E1928" s="25"/>
      <c r="F1928" s="25"/>
      <c r="G1928" s="25"/>
      <c r="H1928" s="31"/>
      <c r="I1928" s="32"/>
      <c r="J1928" s="33"/>
      <c r="K1928" s="34" t="str">
        <f aca="false">IF(OR(H1928="",I1928=""),"",H1928*I1928*(1-N(J1928)))</f>
        <v/>
      </c>
      <c r="L1928" s="32"/>
      <c r="M1928" s="34" t="str">
        <f aca="false">IF(OR(H1928="",L1928=""),"",H1928*L1928)</f>
        <v/>
      </c>
      <c r="N1928" s="34" t="str">
        <f aca="false">IF(OR(K1928="",M1928=""),"",K1928-M1928)</f>
        <v/>
      </c>
      <c r="O1928" s="35" t="str">
        <f aca="false">IF(OR(N1928="",K1928=""),"",IF(K1928=0,"",N1928/K1928))</f>
        <v/>
      </c>
      <c r="P1928" s="25"/>
      <c r="Q1928" s="25"/>
      <c r="R1928" s="25"/>
      <c r="S1928" s="36" t="str">
        <f aca="false">IF(A1928="","",YEAR(A1928)+IF(AND(FYStart&gt;1,MONTH(A1928)&gt;=FYStart),1,0))</f>
        <v/>
      </c>
      <c r="T1928" s="36" t="str">
        <f aca="false">IF(A1928="","",MOD(MONTH(A1928)-FYStart,12)+1)</f>
        <v/>
      </c>
      <c r="U1928" s="37" t="str">
        <f aca="false">IF(A1928="","",TEXT(A1928,"mmm"))</f>
        <v/>
      </c>
      <c r="V1928" s="37" t="str">
        <f aca="false">IF(Q1928="","",IFERROR(INDEX(Settings!$I$11:$I$15,MATCH(Q1928,Settings!$H$11:$H$15,0)),"No"))</f>
        <v/>
      </c>
      <c r="W1928" s="37" t="str">
        <f aca="false">IF(Q1928="","",IFERROR(INDEX(Settings!$J$11:$J$15,MATCH(Q1928,Settings!$H$11:$H$15,0)),"No"))</f>
        <v/>
      </c>
    </row>
    <row r="1929" customFormat="false" ht="15" hidden="false" customHeight="false" outlineLevel="0" collapsed="false">
      <c r="A1929" s="30"/>
      <c r="B1929" s="25"/>
      <c r="C1929" s="25"/>
      <c r="D1929" s="25"/>
      <c r="E1929" s="25"/>
      <c r="F1929" s="25"/>
      <c r="G1929" s="25"/>
      <c r="H1929" s="31"/>
      <c r="I1929" s="32"/>
      <c r="J1929" s="33"/>
      <c r="K1929" s="34" t="str">
        <f aca="false">IF(OR(H1929="",I1929=""),"",H1929*I1929*(1-N(J1929)))</f>
        <v/>
      </c>
      <c r="L1929" s="32"/>
      <c r="M1929" s="34" t="str">
        <f aca="false">IF(OR(H1929="",L1929=""),"",H1929*L1929)</f>
        <v/>
      </c>
      <c r="N1929" s="34" t="str">
        <f aca="false">IF(OR(K1929="",M1929=""),"",K1929-M1929)</f>
        <v/>
      </c>
      <c r="O1929" s="35" t="str">
        <f aca="false">IF(OR(N1929="",K1929=""),"",IF(K1929=0,"",N1929/K1929))</f>
        <v/>
      </c>
      <c r="P1929" s="25"/>
      <c r="Q1929" s="25"/>
      <c r="R1929" s="25"/>
      <c r="S1929" s="36" t="str">
        <f aca="false">IF(A1929="","",YEAR(A1929)+IF(AND(FYStart&gt;1,MONTH(A1929)&gt;=FYStart),1,0))</f>
        <v/>
      </c>
      <c r="T1929" s="36" t="str">
        <f aca="false">IF(A1929="","",MOD(MONTH(A1929)-FYStart,12)+1)</f>
        <v/>
      </c>
      <c r="U1929" s="37" t="str">
        <f aca="false">IF(A1929="","",TEXT(A1929,"mmm"))</f>
        <v/>
      </c>
      <c r="V1929" s="37" t="str">
        <f aca="false">IF(Q1929="","",IFERROR(INDEX(Settings!$I$11:$I$15,MATCH(Q1929,Settings!$H$11:$H$15,0)),"No"))</f>
        <v/>
      </c>
      <c r="W1929" s="37" t="str">
        <f aca="false">IF(Q1929="","",IFERROR(INDEX(Settings!$J$11:$J$15,MATCH(Q1929,Settings!$H$11:$H$15,0)),"No"))</f>
        <v/>
      </c>
    </row>
    <row r="1930" customFormat="false" ht="15" hidden="false" customHeight="false" outlineLevel="0" collapsed="false">
      <c r="A1930" s="30"/>
      <c r="B1930" s="25"/>
      <c r="C1930" s="25"/>
      <c r="D1930" s="25"/>
      <c r="E1930" s="25"/>
      <c r="F1930" s="25"/>
      <c r="G1930" s="25"/>
      <c r="H1930" s="31"/>
      <c r="I1930" s="32"/>
      <c r="J1930" s="33"/>
      <c r="K1930" s="34" t="str">
        <f aca="false">IF(OR(H1930="",I1930=""),"",H1930*I1930*(1-N(J1930)))</f>
        <v/>
      </c>
      <c r="L1930" s="32"/>
      <c r="M1930" s="34" t="str">
        <f aca="false">IF(OR(H1930="",L1930=""),"",H1930*L1930)</f>
        <v/>
      </c>
      <c r="N1930" s="34" t="str">
        <f aca="false">IF(OR(K1930="",M1930=""),"",K1930-M1930)</f>
        <v/>
      </c>
      <c r="O1930" s="35" t="str">
        <f aca="false">IF(OR(N1930="",K1930=""),"",IF(K1930=0,"",N1930/K1930))</f>
        <v/>
      </c>
      <c r="P1930" s="25"/>
      <c r="Q1930" s="25"/>
      <c r="R1930" s="25"/>
      <c r="S1930" s="36" t="str">
        <f aca="false">IF(A1930="","",YEAR(A1930)+IF(AND(FYStart&gt;1,MONTH(A1930)&gt;=FYStart),1,0))</f>
        <v/>
      </c>
      <c r="T1930" s="36" t="str">
        <f aca="false">IF(A1930="","",MOD(MONTH(A1930)-FYStart,12)+1)</f>
        <v/>
      </c>
      <c r="U1930" s="37" t="str">
        <f aca="false">IF(A1930="","",TEXT(A1930,"mmm"))</f>
        <v/>
      </c>
      <c r="V1930" s="37" t="str">
        <f aca="false">IF(Q1930="","",IFERROR(INDEX(Settings!$I$11:$I$15,MATCH(Q1930,Settings!$H$11:$H$15,0)),"No"))</f>
        <v/>
      </c>
      <c r="W1930" s="37" t="str">
        <f aca="false">IF(Q1930="","",IFERROR(INDEX(Settings!$J$11:$J$15,MATCH(Q1930,Settings!$H$11:$H$15,0)),"No"))</f>
        <v/>
      </c>
    </row>
    <row r="1931" customFormat="false" ht="15" hidden="false" customHeight="false" outlineLevel="0" collapsed="false">
      <c r="A1931" s="30"/>
      <c r="B1931" s="25"/>
      <c r="C1931" s="25"/>
      <c r="D1931" s="25"/>
      <c r="E1931" s="25"/>
      <c r="F1931" s="25"/>
      <c r="G1931" s="25"/>
      <c r="H1931" s="31"/>
      <c r="I1931" s="32"/>
      <c r="J1931" s="33"/>
      <c r="K1931" s="34" t="str">
        <f aca="false">IF(OR(H1931="",I1931=""),"",H1931*I1931*(1-N(J1931)))</f>
        <v/>
      </c>
      <c r="L1931" s="32"/>
      <c r="M1931" s="34" t="str">
        <f aca="false">IF(OR(H1931="",L1931=""),"",H1931*L1931)</f>
        <v/>
      </c>
      <c r="N1931" s="34" t="str">
        <f aca="false">IF(OR(K1931="",M1931=""),"",K1931-M1931)</f>
        <v/>
      </c>
      <c r="O1931" s="35" t="str">
        <f aca="false">IF(OR(N1931="",K1931=""),"",IF(K1931=0,"",N1931/K1931))</f>
        <v/>
      </c>
      <c r="P1931" s="25"/>
      <c r="Q1931" s="25"/>
      <c r="R1931" s="25"/>
      <c r="S1931" s="36" t="str">
        <f aca="false">IF(A1931="","",YEAR(A1931)+IF(AND(FYStart&gt;1,MONTH(A1931)&gt;=FYStart),1,0))</f>
        <v/>
      </c>
      <c r="T1931" s="36" t="str">
        <f aca="false">IF(A1931="","",MOD(MONTH(A1931)-FYStart,12)+1)</f>
        <v/>
      </c>
      <c r="U1931" s="37" t="str">
        <f aca="false">IF(A1931="","",TEXT(A1931,"mmm"))</f>
        <v/>
      </c>
      <c r="V1931" s="37" t="str">
        <f aca="false">IF(Q1931="","",IFERROR(INDEX(Settings!$I$11:$I$15,MATCH(Q1931,Settings!$H$11:$H$15,0)),"No"))</f>
        <v/>
      </c>
      <c r="W1931" s="37" t="str">
        <f aca="false">IF(Q1931="","",IFERROR(INDEX(Settings!$J$11:$J$15,MATCH(Q1931,Settings!$H$11:$H$15,0)),"No"))</f>
        <v/>
      </c>
    </row>
    <row r="1932" customFormat="false" ht="15" hidden="false" customHeight="false" outlineLevel="0" collapsed="false">
      <c r="A1932" s="30"/>
      <c r="B1932" s="25"/>
      <c r="C1932" s="25"/>
      <c r="D1932" s="25"/>
      <c r="E1932" s="25"/>
      <c r="F1932" s="25"/>
      <c r="G1932" s="25"/>
      <c r="H1932" s="31"/>
      <c r="I1932" s="32"/>
      <c r="J1932" s="33"/>
      <c r="K1932" s="34" t="str">
        <f aca="false">IF(OR(H1932="",I1932=""),"",H1932*I1932*(1-N(J1932)))</f>
        <v/>
      </c>
      <c r="L1932" s="32"/>
      <c r="M1932" s="34" t="str">
        <f aca="false">IF(OR(H1932="",L1932=""),"",H1932*L1932)</f>
        <v/>
      </c>
      <c r="N1932" s="34" t="str">
        <f aca="false">IF(OR(K1932="",M1932=""),"",K1932-M1932)</f>
        <v/>
      </c>
      <c r="O1932" s="35" t="str">
        <f aca="false">IF(OR(N1932="",K1932=""),"",IF(K1932=0,"",N1932/K1932))</f>
        <v/>
      </c>
      <c r="P1932" s="25"/>
      <c r="Q1932" s="25"/>
      <c r="R1932" s="25"/>
      <c r="S1932" s="36" t="str">
        <f aca="false">IF(A1932="","",YEAR(A1932)+IF(AND(FYStart&gt;1,MONTH(A1932)&gt;=FYStart),1,0))</f>
        <v/>
      </c>
      <c r="T1932" s="36" t="str">
        <f aca="false">IF(A1932="","",MOD(MONTH(A1932)-FYStart,12)+1)</f>
        <v/>
      </c>
      <c r="U1932" s="37" t="str">
        <f aca="false">IF(A1932="","",TEXT(A1932,"mmm"))</f>
        <v/>
      </c>
      <c r="V1932" s="37" t="str">
        <f aca="false">IF(Q1932="","",IFERROR(INDEX(Settings!$I$11:$I$15,MATCH(Q1932,Settings!$H$11:$H$15,0)),"No"))</f>
        <v/>
      </c>
      <c r="W1932" s="37" t="str">
        <f aca="false">IF(Q1932="","",IFERROR(INDEX(Settings!$J$11:$J$15,MATCH(Q1932,Settings!$H$11:$H$15,0)),"No"))</f>
        <v/>
      </c>
    </row>
    <row r="1933" customFormat="false" ht="15" hidden="false" customHeight="false" outlineLevel="0" collapsed="false">
      <c r="A1933" s="30"/>
      <c r="B1933" s="25"/>
      <c r="C1933" s="25"/>
      <c r="D1933" s="25"/>
      <c r="E1933" s="25"/>
      <c r="F1933" s="25"/>
      <c r="G1933" s="25"/>
      <c r="H1933" s="31"/>
      <c r="I1933" s="32"/>
      <c r="J1933" s="33"/>
      <c r="K1933" s="34" t="str">
        <f aca="false">IF(OR(H1933="",I1933=""),"",H1933*I1933*(1-N(J1933)))</f>
        <v/>
      </c>
      <c r="L1933" s="32"/>
      <c r="M1933" s="34" t="str">
        <f aca="false">IF(OR(H1933="",L1933=""),"",H1933*L1933)</f>
        <v/>
      </c>
      <c r="N1933" s="34" t="str">
        <f aca="false">IF(OR(K1933="",M1933=""),"",K1933-M1933)</f>
        <v/>
      </c>
      <c r="O1933" s="35" t="str">
        <f aca="false">IF(OR(N1933="",K1933=""),"",IF(K1933=0,"",N1933/K1933))</f>
        <v/>
      </c>
      <c r="P1933" s="25"/>
      <c r="Q1933" s="25"/>
      <c r="R1933" s="25"/>
      <c r="S1933" s="36" t="str">
        <f aca="false">IF(A1933="","",YEAR(A1933)+IF(AND(FYStart&gt;1,MONTH(A1933)&gt;=FYStart),1,0))</f>
        <v/>
      </c>
      <c r="T1933" s="36" t="str">
        <f aca="false">IF(A1933="","",MOD(MONTH(A1933)-FYStart,12)+1)</f>
        <v/>
      </c>
      <c r="U1933" s="37" t="str">
        <f aca="false">IF(A1933="","",TEXT(A1933,"mmm"))</f>
        <v/>
      </c>
      <c r="V1933" s="37" t="str">
        <f aca="false">IF(Q1933="","",IFERROR(INDEX(Settings!$I$11:$I$15,MATCH(Q1933,Settings!$H$11:$H$15,0)),"No"))</f>
        <v/>
      </c>
      <c r="W1933" s="37" t="str">
        <f aca="false">IF(Q1933="","",IFERROR(INDEX(Settings!$J$11:$J$15,MATCH(Q1933,Settings!$H$11:$H$15,0)),"No"))</f>
        <v/>
      </c>
    </row>
    <row r="1934" customFormat="false" ht="15" hidden="false" customHeight="false" outlineLevel="0" collapsed="false">
      <c r="A1934" s="30"/>
      <c r="B1934" s="25"/>
      <c r="C1934" s="25"/>
      <c r="D1934" s="25"/>
      <c r="E1934" s="25"/>
      <c r="F1934" s="25"/>
      <c r="G1934" s="25"/>
      <c r="H1934" s="31"/>
      <c r="I1934" s="32"/>
      <c r="J1934" s="33"/>
      <c r="K1934" s="34" t="str">
        <f aca="false">IF(OR(H1934="",I1934=""),"",H1934*I1934*(1-N(J1934)))</f>
        <v/>
      </c>
      <c r="L1934" s="32"/>
      <c r="M1934" s="34" t="str">
        <f aca="false">IF(OR(H1934="",L1934=""),"",H1934*L1934)</f>
        <v/>
      </c>
      <c r="N1934" s="34" t="str">
        <f aca="false">IF(OR(K1934="",M1934=""),"",K1934-M1934)</f>
        <v/>
      </c>
      <c r="O1934" s="35" t="str">
        <f aca="false">IF(OR(N1934="",K1934=""),"",IF(K1934=0,"",N1934/K1934))</f>
        <v/>
      </c>
      <c r="P1934" s="25"/>
      <c r="Q1934" s="25"/>
      <c r="R1934" s="25"/>
      <c r="S1934" s="36" t="str">
        <f aca="false">IF(A1934="","",YEAR(A1934)+IF(AND(FYStart&gt;1,MONTH(A1934)&gt;=FYStart),1,0))</f>
        <v/>
      </c>
      <c r="T1934" s="36" t="str">
        <f aca="false">IF(A1934="","",MOD(MONTH(A1934)-FYStart,12)+1)</f>
        <v/>
      </c>
      <c r="U1934" s="37" t="str">
        <f aca="false">IF(A1934="","",TEXT(A1934,"mmm"))</f>
        <v/>
      </c>
      <c r="V1934" s="37" t="str">
        <f aca="false">IF(Q1934="","",IFERROR(INDEX(Settings!$I$11:$I$15,MATCH(Q1934,Settings!$H$11:$H$15,0)),"No"))</f>
        <v/>
      </c>
      <c r="W1934" s="37" t="str">
        <f aca="false">IF(Q1934="","",IFERROR(INDEX(Settings!$J$11:$J$15,MATCH(Q1934,Settings!$H$11:$H$15,0)),"No"))</f>
        <v/>
      </c>
    </row>
    <row r="1935" customFormat="false" ht="15" hidden="false" customHeight="false" outlineLevel="0" collapsed="false">
      <c r="A1935" s="30"/>
      <c r="B1935" s="25"/>
      <c r="C1935" s="25"/>
      <c r="D1935" s="25"/>
      <c r="E1935" s="25"/>
      <c r="F1935" s="25"/>
      <c r="G1935" s="25"/>
      <c r="H1935" s="31"/>
      <c r="I1935" s="32"/>
      <c r="J1935" s="33"/>
      <c r="K1935" s="34" t="str">
        <f aca="false">IF(OR(H1935="",I1935=""),"",H1935*I1935*(1-N(J1935)))</f>
        <v/>
      </c>
      <c r="L1935" s="32"/>
      <c r="M1935" s="34" t="str">
        <f aca="false">IF(OR(H1935="",L1935=""),"",H1935*L1935)</f>
        <v/>
      </c>
      <c r="N1935" s="34" t="str">
        <f aca="false">IF(OR(K1935="",M1935=""),"",K1935-M1935)</f>
        <v/>
      </c>
      <c r="O1935" s="35" t="str">
        <f aca="false">IF(OR(N1935="",K1935=""),"",IF(K1935=0,"",N1935/K1935))</f>
        <v/>
      </c>
      <c r="P1935" s="25"/>
      <c r="Q1935" s="25"/>
      <c r="R1935" s="25"/>
      <c r="S1935" s="36" t="str">
        <f aca="false">IF(A1935="","",YEAR(A1935)+IF(AND(FYStart&gt;1,MONTH(A1935)&gt;=FYStart),1,0))</f>
        <v/>
      </c>
      <c r="T1935" s="36" t="str">
        <f aca="false">IF(A1935="","",MOD(MONTH(A1935)-FYStart,12)+1)</f>
        <v/>
      </c>
      <c r="U1935" s="37" t="str">
        <f aca="false">IF(A1935="","",TEXT(A1935,"mmm"))</f>
        <v/>
      </c>
      <c r="V1935" s="37" t="str">
        <f aca="false">IF(Q1935="","",IFERROR(INDEX(Settings!$I$11:$I$15,MATCH(Q1935,Settings!$H$11:$H$15,0)),"No"))</f>
        <v/>
      </c>
      <c r="W1935" s="37" t="str">
        <f aca="false">IF(Q1935="","",IFERROR(INDEX(Settings!$J$11:$J$15,MATCH(Q1935,Settings!$H$11:$H$15,0)),"No"))</f>
        <v/>
      </c>
    </row>
    <row r="1936" customFormat="false" ht="15" hidden="false" customHeight="false" outlineLevel="0" collapsed="false">
      <c r="A1936" s="30"/>
      <c r="B1936" s="25"/>
      <c r="C1936" s="25"/>
      <c r="D1936" s="25"/>
      <c r="E1936" s="25"/>
      <c r="F1936" s="25"/>
      <c r="G1936" s="25"/>
      <c r="H1936" s="31"/>
      <c r="I1936" s="32"/>
      <c r="J1936" s="33"/>
      <c r="K1936" s="34" t="str">
        <f aca="false">IF(OR(H1936="",I1936=""),"",H1936*I1936*(1-N(J1936)))</f>
        <v/>
      </c>
      <c r="L1936" s="32"/>
      <c r="M1936" s="34" t="str">
        <f aca="false">IF(OR(H1936="",L1936=""),"",H1936*L1936)</f>
        <v/>
      </c>
      <c r="N1936" s="34" t="str">
        <f aca="false">IF(OR(K1936="",M1936=""),"",K1936-M1936)</f>
        <v/>
      </c>
      <c r="O1936" s="35" t="str">
        <f aca="false">IF(OR(N1936="",K1936=""),"",IF(K1936=0,"",N1936/K1936))</f>
        <v/>
      </c>
      <c r="P1936" s="25"/>
      <c r="Q1936" s="25"/>
      <c r="R1936" s="25"/>
      <c r="S1936" s="36" t="str">
        <f aca="false">IF(A1936="","",YEAR(A1936)+IF(AND(FYStart&gt;1,MONTH(A1936)&gt;=FYStart),1,0))</f>
        <v/>
      </c>
      <c r="T1936" s="36" t="str">
        <f aca="false">IF(A1936="","",MOD(MONTH(A1936)-FYStart,12)+1)</f>
        <v/>
      </c>
      <c r="U1936" s="37" t="str">
        <f aca="false">IF(A1936="","",TEXT(A1936,"mmm"))</f>
        <v/>
      </c>
      <c r="V1936" s="37" t="str">
        <f aca="false">IF(Q1936="","",IFERROR(INDEX(Settings!$I$11:$I$15,MATCH(Q1936,Settings!$H$11:$H$15,0)),"No"))</f>
        <v/>
      </c>
      <c r="W1936" s="37" t="str">
        <f aca="false">IF(Q1936="","",IFERROR(INDEX(Settings!$J$11:$J$15,MATCH(Q1936,Settings!$H$11:$H$15,0)),"No"))</f>
        <v/>
      </c>
    </row>
    <row r="1937" customFormat="false" ht="15" hidden="false" customHeight="false" outlineLevel="0" collapsed="false">
      <c r="A1937" s="30"/>
      <c r="B1937" s="25"/>
      <c r="C1937" s="25"/>
      <c r="D1937" s="25"/>
      <c r="E1937" s="25"/>
      <c r="F1937" s="25"/>
      <c r="G1937" s="25"/>
      <c r="H1937" s="31"/>
      <c r="I1937" s="32"/>
      <c r="J1937" s="33"/>
      <c r="K1937" s="34" t="str">
        <f aca="false">IF(OR(H1937="",I1937=""),"",H1937*I1937*(1-N(J1937)))</f>
        <v/>
      </c>
      <c r="L1937" s="32"/>
      <c r="M1937" s="34" t="str">
        <f aca="false">IF(OR(H1937="",L1937=""),"",H1937*L1937)</f>
        <v/>
      </c>
      <c r="N1937" s="34" t="str">
        <f aca="false">IF(OR(K1937="",M1937=""),"",K1937-M1937)</f>
        <v/>
      </c>
      <c r="O1937" s="35" t="str">
        <f aca="false">IF(OR(N1937="",K1937=""),"",IF(K1937=0,"",N1937/K1937))</f>
        <v/>
      </c>
      <c r="P1937" s="25"/>
      <c r="Q1937" s="25"/>
      <c r="R1937" s="25"/>
      <c r="S1937" s="36" t="str">
        <f aca="false">IF(A1937="","",YEAR(A1937)+IF(AND(FYStart&gt;1,MONTH(A1937)&gt;=FYStart),1,0))</f>
        <v/>
      </c>
      <c r="T1937" s="36" t="str">
        <f aca="false">IF(A1937="","",MOD(MONTH(A1937)-FYStart,12)+1)</f>
        <v/>
      </c>
      <c r="U1937" s="37" t="str">
        <f aca="false">IF(A1937="","",TEXT(A1937,"mmm"))</f>
        <v/>
      </c>
      <c r="V1937" s="37" t="str">
        <f aca="false">IF(Q1937="","",IFERROR(INDEX(Settings!$I$11:$I$15,MATCH(Q1937,Settings!$H$11:$H$15,0)),"No"))</f>
        <v/>
      </c>
      <c r="W1937" s="37" t="str">
        <f aca="false">IF(Q1937="","",IFERROR(INDEX(Settings!$J$11:$J$15,MATCH(Q1937,Settings!$H$11:$H$15,0)),"No"))</f>
        <v/>
      </c>
    </row>
    <row r="1938" customFormat="false" ht="15" hidden="false" customHeight="false" outlineLevel="0" collapsed="false">
      <c r="A1938" s="30"/>
      <c r="B1938" s="25"/>
      <c r="C1938" s="25"/>
      <c r="D1938" s="25"/>
      <c r="E1938" s="25"/>
      <c r="F1938" s="25"/>
      <c r="G1938" s="25"/>
      <c r="H1938" s="31"/>
      <c r="I1938" s="32"/>
      <c r="J1938" s="33"/>
      <c r="K1938" s="34" t="str">
        <f aca="false">IF(OR(H1938="",I1938=""),"",H1938*I1938*(1-N(J1938)))</f>
        <v/>
      </c>
      <c r="L1938" s="32"/>
      <c r="M1938" s="34" t="str">
        <f aca="false">IF(OR(H1938="",L1938=""),"",H1938*L1938)</f>
        <v/>
      </c>
      <c r="N1938" s="34" t="str">
        <f aca="false">IF(OR(K1938="",M1938=""),"",K1938-M1938)</f>
        <v/>
      </c>
      <c r="O1938" s="35" t="str">
        <f aca="false">IF(OR(N1938="",K1938=""),"",IF(K1938=0,"",N1938/K1938))</f>
        <v/>
      </c>
      <c r="P1938" s="25"/>
      <c r="Q1938" s="25"/>
      <c r="R1938" s="25"/>
      <c r="S1938" s="36" t="str">
        <f aca="false">IF(A1938="","",YEAR(A1938)+IF(AND(FYStart&gt;1,MONTH(A1938)&gt;=FYStart),1,0))</f>
        <v/>
      </c>
      <c r="T1938" s="36" t="str">
        <f aca="false">IF(A1938="","",MOD(MONTH(A1938)-FYStart,12)+1)</f>
        <v/>
      </c>
      <c r="U1938" s="37" t="str">
        <f aca="false">IF(A1938="","",TEXT(A1938,"mmm"))</f>
        <v/>
      </c>
      <c r="V1938" s="37" t="str">
        <f aca="false">IF(Q1938="","",IFERROR(INDEX(Settings!$I$11:$I$15,MATCH(Q1938,Settings!$H$11:$H$15,0)),"No"))</f>
        <v/>
      </c>
      <c r="W1938" s="37" t="str">
        <f aca="false">IF(Q1938="","",IFERROR(INDEX(Settings!$J$11:$J$15,MATCH(Q1938,Settings!$H$11:$H$15,0)),"No"))</f>
        <v/>
      </c>
    </row>
    <row r="1939" customFormat="false" ht="15" hidden="false" customHeight="false" outlineLevel="0" collapsed="false">
      <c r="A1939" s="30"/>
      <c r="B1939" s="25"/>
      <c r="C1939" s="25"/>
      <c r="D1939" s="25"/>
      <c r="E1939" s="25"/>
      <c r="F1939" s="25"/>
      <c r="G1939" s="25"/>
      <c r="H1939" s="31"/>
      <c r="I1939" s="32"/>
      <c r="J1939" s="33"/>
      <c r="K1939" s="34" t="str">
        <f aca="false">IF(OR(H1939="",I1939=""),"",H1939*I1939*(1-N(J1939)))</f>
        <v/>
      </c>
      <c r="L1939" s="32"/>
      <c r="M1939" s="34" t="str">
        <f aca="false">IF(OR(H1939="",L1939=""),"",H1939*L1939)</f>
        <v/>
      </c>
      <c r="N1939" s="34" t="str">
        <f aca="false">IF(OR(K1939="",M1939=""),"",K1939-M1939)</f>
        <v/>
      </c>
      <c r="O1939" s="35" t="str">
        <f aca="false">IF(OR(N1939="",K1939=""),"",IF(K1939=0,"",N1939/K1939))</f>
        <v/>
      </c>
      <c r="P1939" s="25"/>
      <c r="Q1939" s="25"/>
      <c r="R1939" s="25"/>
      <c r="S1939" s="36" t="str">
        <f aca="false">IF(A1939="","",YEAR(A1939)+IF(AND(FYStart&gt;1,MONTH(A1939)&gt;=FYStart),1,0))</f>
        <v/>
      </c>
      <c r="T1939" s="36" t="str">
        <f aca="false">IF(A1939="","",MOD(MONTH(A1939)-FYStart,12)+1)</f>
        <v/>
      </c>
      <c r="U1939" s="37" t="str">
        <f aca="false">IF(A1939="","",TEXT(A1939,"mmm"))</f>
        <v/>
      </c>
      <c r="V1939" s="37" t="str">
        <f aca="false">IF(Q1939="","",IFERROR(INDEX(Settings!$I$11:$I$15,MATCH(Q1939,Settings!$H$11:$H$15,0)),"No"))</f>
        <v/>
      </c>
      <c r="W1939" s="37" t="str">
        <f aca="false">IF(Q1939="","",IFERROR(INDEX(Settings!$J$11:$J$15,MATCH(Q1939,Settings!$H$11:$H$15,0)),"No"))</f>
        <v/>
      </c>
    </row>
    <row r="1940" customFormat="false" ht="15" hidden="false" customHeight="false" outlineLevel="0" collapsed="false">
      <c r="A1940" s="30"/>
      <c r="B1940" s="25"/>
      <c r="C1940" s="25"/>
      <c r="D1940" s="25"/>
      <c r="E1940" s="25"/>
      <c r="F1940" s="25"/>
      <c r="G1940" s="25"/>
      <c r="H1940" s="31"/>
      <c r="I1940" s="32"/>
      <c r="J1940" s="33"/>
      <c r="K1940" s="34" t="str">
        <f aca="false">IF(OR(H1940="",I1940=""),"",H1940*I1940*(1-N(J1940)))</f>
        <v/>
      </c>
      <c r="L1940" s="32"/>
      <c r="M1940" s="34" t="str">
        <f aca="false">IF(OR(H1940="",L1940=""),"",H1940*L1940)</f>
        <v/>
      </c>
      <c r="N1940" s="34" t="str">
        <f aca="false">IF(OR(K1940="",M1940=""),"",K1940-M1940)</f>
        <v/>
      </c>
      <c r="O1940" s="35" t="str">
        <f aca="false">IF(OR(N1940="",K1940=""),"",IF(K1940=0,"",N1940/K1940))</f>
        <v/>
      </c>
      <c r="P1940" s="25"/>
      <c r="Q1940" s="25"/>
      <c r="R1940" s="25"/>
      <c r="S1940" s="36" t="str">
        <f aca="false">IF(A1940="","",YEAR(A1940)+IF(AND(FYStart&gt;1,MONTH(A1940)&gt;=FYStart),1,0))</f>
        <v/>
      </c>
      <c r="T1940" s="36" t="str">
        <f aca="false">IF(A1940="","",MOD(MONTH(A1940)-FYStart,12)+1)</f>
        <v/>
      </c>
      <c r="U1940" s="37" t="str">
        <f aca="false">IF(A1940="","",TEXT(A1940,"mmm"))</f>
        <v/>
      </c>
      <c r="V1940" s="37" t="str">
        <f aca="false">IF(Q1940="","",IFERROR(INDEX(Settings!$I$11:$I$15,MATCH(Q1940,Settings!$H$11:$H$15,0)),"No"))</f>
        <v/>
      </c>
      <c r="W1940" s="37" t="str">
        <f aca="false">IF(Q1940="","",IFERROR(INDEX(Settings!$J$11:$J$15,MATCH(Q1940,Settings!$H$11:$H$15,0)),"No"))</f>
        <v/>
      </c>
    </row>
    <row r="1941" customFormat="false" ht="15" hidden="false" customHeight="false" outlineLevel="0" collapsed="false">
      <c r="A1941" s="30"/>
      <c r="B1941" s="25"/>
      <c r="C1941" s="25"/>
      <c r="D1941" s="25"/>
      <c r="E1941" s="25"/>
      <c r="F1941" s="25"/>
      <c r="G1941" s="25"/>
      <c r="H1941" s="31"/>
      <c r="I1941" s="32"/>
      <c r="J1941" s="33"/>
      <c r="K1941" s="34" t="str">
        <f aca="false">IF(OR(H1941="",I1941=""),"",H1941*I1941*(1-N(J1941)))</f>
        <v/>
      </c>
      <c r="L1941" s="32"/>
      <c r="M1941" s="34" t="str">
        <f aca="false">IF(OR(H1941="",L1941=""),"",H1941*L1941)</f>
        <v/>
      </c>
      <c r="N1941" s="34" t="str">
        <f aca="false">IF(OR(K1941="",M1941=""),"",K1941-M1941)</f>
        <v/>
      </c>
      <c r="O1941" s="35" t="str">
        <f aca="false">IF(OR(N1941="",K1941=""),"",IF(K1941=0,"",N1941/K1941))</f>
        <v/>
      </c>
      <c r="P1941" s="25"/>
      <c r="Q1941" s="25"/>
      <c r="R1941" s="25"/>
      <c r="S1941" s="36" t="str">
        <f aca="false">IF(A1941="","",YEAR(A1941)+IF(AND(FYStart&gt;1,MONTH(A1941)&gt;=FYStart),1,0))</f>
        <v/>
      </c>
      <c r="T1941" s="36" t="str">
        <f aca="false">IF(A1941="","",MOD(MONTH(A1941)-FYStart,12)+1)</f>
        <v/>
      </c>
      <c r="U1941" s="37" t="str">
        <f aca="false">IF(A1941="","",TEXT(A1941,"mmm"))</f>
        <v/>
      </c>
      <c r="V1941" s="37" t="str">
        <f aca="false">IF(Q1941="","",IFERROR(INDEX(Settings!$I$11:$I$15,MATCH(Q1941,Settings!$H$11:$H$15,0)),"No"))</f>
        <v/>
      </c>
      <c r="W1941" s="37" t="str">
        <f aca="false">IF(Q1941="","",IFERROR(INDEX(Settings!$J$11:$J$15,MATCH(Q1941,Settings!$H$11:$H$15,0)),"No"))</f>
        <v/>
      </c>
    </row>
    <row r="1942" customFormat="false" ht="15" hidden="false" customHeight="false" outlineLevel="0" collapsed="false">
      <c r="A1942" s="30"/>
      <c r="B1942" s="25"/>
      <c r="C1942" s="25"/>
      <c r="D1942" s="25"/>
      <c r="E1942" s="25"/>
      <c r="F1942" s="25"/>
      <c r="G1942" s="25"/>
      <c r="H1942" s="31"/>
      <c r="I1942" s="32"/>
      <c r="J1942" s="33"/>
      <c r="K1942" s="34" t="str">
        <f aca="false">IF(OR(H1942="",I1942=""),"",H1942*I1942*(1-N(J1942)))</f>
        <v/>
      </c>
      <c r="L1942" s="32"/>
      <c r="M1942" s="34" t="str">
        <f aca="false">IF(OR(H1942="",L1942=""),"",H1942*L1942)</f>
        <v/>
      </c>
      <c r="N1942" s="34" t="str">
        <f aca="false">IF(OR(K1942="",M1942=""),"",K1942-M1942)</f>
        <v/>
      </c>
      <c r="O1942" s="35" t="str">
        <f aca="false">IF(OR(N1942="",K1942=""),"",IF(K1942=0,"",N1942/K1942))</f>
        <v/>
      </c>
      <c r="P1942" s="25"/>
      <c r="Q1942" s="25"/>
      <c r="R1942" s="25"/>
      <c r="S1942" s="36" t="str">
        <f aca="false">IF(A1942="","",YEAR(A1942)+IF(AND(FYStart&gt;1,MONTH(A1942)&gt;=FYStart),1,0))</f>
        <v/>
      </c>
      <c r="T1942" s="36" t="str">
        <f aca="false">IF(A1942="","",MOD(MONTH(A1942)-FYStart,12)+1)</f>
        <v/>
      </c>
      <c r="U1942" s="37" t="str">
        <f aca="false">IF(A1942="","",TEXT(A1942,"mmm"))</f>
        <v/>
      </c>
      <c r="V1942" s="37" t="str">
        <f aca="false">IF(Q1942="","",IFERROR(INDEX(Settings!$I$11:$I$15,MATCH(Q1942,Settings!$H$11:$H$15,0)),"No"))</f>
        <v/>
      </c>
      <c r="W1942" s="37" t="str">
        <f aca="false">IF(Q1942="","",IFERROR(INDEX(Settings!$J$11:$J$15,MATCH(Q1942,Settings!$H$11:$H$15,0)),"No"))</f>
        <v/>
      </c>
    </row>
    <row r="1943" customFormat="false" ht="15" hidden="false" customHeight="false" outlineLevel="0" collapsed="false">
      <c r="A1943" s="30"/>
      <c r="B1943" s="25"/>
      <c r="C1943" s="25"/>
      <c r="D1943" s="25"/>
      <c r="E1943" s="25"/>
      <c r="F1943" s="25"/>
      <c r="G1943" s="25"/>
      <c r="H1943" s="31"/>
      <c r="I1943" s="32"/>
      <c r="J1943" s="33"/>
      <c r="K1943" s="34" t="str">
        <f aca="false">IF(OR(H1943="",I1943=""),"",H1943*I1943*(1-N(J1943)))</f>
        <v/>
      </c>
      <c r="L1943" s="32"/>
      <c r="M1943" s="34" t="str">
        <f aca="false">IF(OR(H1943="",L1943=""),"",H1943*L1943)</f>
        <v/>
      </c>
      <c r="N1943" s="34" t="str">
        <f aca="false">IF(OR(K1943="",M1943=""),"",K1943-M1943)</f>
        <v/>
      </c>
      <c r="O1943" s="35" t="str">
        <f aca="false">IF(OR(N1943="",K1943=""),"",IF(K1943=0,"",N1943/K1943))</f>
        <v/>
      </c>
      <c r="P1943" s="25"/>
      <c r="Q1943" s="25"/>
      <c r="R1943" s="25"/>
      <c r="S1943" s="36" t="str">
        <f aca="false">IF(A1943="","",YEAR(A1943)+IF(AND(FYStart&gt;1,MONTH(A1943)&gt;=FYStart),1,0))</f>
        <v/>
      </c>
      <c r="T1943" s="36" t="str">
        <f aca="false">IF(A1943="","",MOD(MONTH(A1943)-FYStart,12)+1)</f>
        <v/>
      </c>
      <c r="U1943" s="37" t="str">
        <f aca="false">IF(A1943="","",TEXT(A1943,"mmm"))</f>
        <v/>
      </c>
      <c r="V1943" s="37" t="str">
        <f aca="false">IF(Q1943="","",IFERROR(INDEX(Settings!$I$11:$I$15,MATCH(Q1943,Settings!$H$11:$H$15,0)),"No"))</f>
        <v/>
      </c>
      <c r="W1943" s="37" t="str">
        <f aca="false">IF(Q1943="","",IFERROR(INDEX(Settings!$J$11:$J$15,MATCH(Q1943,Settings!$H$11:$H$15,0)),"No"))</f>
        <v/>
      </c>
    </row>
    <row r="1944" customFormat="false" ht="15" hidden="false" customHeight="false" outlineLevel="0" collapsed="false">
      <c r="A1944" s="30"/>
      <c r="B1944" s="25"/>
      <c r="C1944" s="25"/>
      <c r="D1944" s="25"/>
      <c r="E1944" s="25"/>
      <c r="F1944" s="25"/>
      <c r="G1944" s="25"/>
      <c r="H1944" s="31"/>
      <c r="I1944" s="32"/>
      <c r="J1944" s="33"/>
      <c r="K1944" s="34" t="str">
        <f aca="false">IF(OR(H1944="",I1944=""),"",H1944*I1944*(1-N(J1944)))</f>
        <v/>
      </c>
      <c r="L1944" s="32"/>
      <c r="M1944" s="34" t="str">
        <f aca="false">IF(OR(H1944="",L1944=""),"",H1944*L1944)</f>
        <v/>
      </c>
      <c r="N1944" s="34" t="str">
        <f aca="false">IF(OR(K1944="",M1944=""),"",K1944-M1944)</f>
        <v/>
      </c>
      <c r="O1944" s="35" t="str">
        <f aca="false">IF(OR(N1944="",K1944=""),"",IF(K1944=0,"",N1944/K1944))</f>
        <v/>
      </c>
      <c r="P1944" s="25"/>
      <c r="Q1944" s="25"/>
      <c r="R1944" s="25"/>
      <c r="S1944" s="36" t="str">
        <f aca="false">IF(A1944="","",YEAR(A1944)+IF(AND(FYStart&gt;1,MONTH(A1944)&gt;=FYStart),1,0))</f>
        <v/>
      </c>
      <c r="T1944" s="36" t="str">
        <f aca="false">IF(A1944="","",MOD(MONTH(A1944)-FYStart,12)+1)</f>
        <v/>
      </c>
      <c r="U1944" s="37" t="str">
        <f aca="false">IF(A1944="","",TEXT(A1944,"mmm"))</f>
        <v/>
      </c>
      <c r="V1944" s="37" t="str">
        <f aca="false">IF(Q1944="","",IFERROR(INDEX(Settings!$I$11:$I$15,MATCH(Q1944,Settings!$H$11:$H$15,0)),"No"))</f>
        <v/>
      </c>
      <c r="W1944" s="37" t="str">
        <f aca="false">IF(Q1944="","",IFERROR(INDEX(Settings!$J$11:$J$15,MATCH(Q1944,Settings!$H$11:$H$15,0)),"No"))</f>
        <v/>
      </c>
    </row>
    <row r="1945" customFormat="false" ht="15" hidden="false" customHeight="false" outlineLevel="0" collapsed="false">
      <c r="A1945" s="30"/>
      <c r="B1945" s="25"/>
      <c r="C1945" s="25"/>
      <c r="D1945" s="25"/>
      <c r="E1945" s="25"/>
      <c r="F1945" s="25"/>
      <c r="G1945" s="25"/>
      <c r="H1945" s="31"/>
      <c r="I1945" s="32"/>
      <c r="J1945" s="33"/>
      <c r="K1945" s="34" t="str">
        <f aca="false">IF(OR(H1945="",I1945=""),"",H1945*I1945*(1-N(J1945)))</f>
        <v/>
      </c>
      <c r="L1945" s="32"/>
      <c r="M1945" s="34" t="str">
        <f aca="false">IF(OR(H1945="",L1945=""),"",H1945*L1945)</f>
        <v/>
      </c>
      <c r="N1945" s="34" t="str">
        <f aca="false">IF(OR(K1945="",M1945=""),"",K1945-M1945)</f>
        <v/>
      </c>
      <c r="O1945" s="35" t="str">
        <f aca="false">IF(OR(N1945="",K1945=""),"",IF(K1945=0,"",N1945/K1945))</f>
        <v/>
      </c>
      <c r="P1945" s="25"/>
      <c r="Q1945" s="25"/>
      <c r="R1945" s="25"/>
      <c r="S1945" s="36" t="str">
        <f aca="false">IF(A1945="","",YEAR(A1945)+IF(AND(FYStart&gt;1,MONTH(A1945)&gt;=FYStart),1,0))</f>
        <v/>
      </c>
      <c r="T1945" s="36" t="str">
        <f aca="false">IF(A1945="","",MOD(MONTH(A1945)-FYStart,12)+1)</f>
        <v/>
      </c>
      <c r="U1945" s="37" t="str">
        <f aca="false">IF(A1945="","",TEXT(A1945,"mmm"))</f>
        <v/>
      </c>
      <c r="V1945" s="37" t="str">
        <f aca="false">IF(Q1945="","",IFERROR(INDEX(Settings!$I$11:$I$15,MATCH(Q1945,Settings!$H$11:$H$15,0)),"No"))</f>
        <v/>
      </c>
      <c r="W1945" s="37" t="str">
        <f aca="false">IF(Q1945="","",IFERROR(INDEX(Settings!$J$11:$J$15,MATCH(Q1945,Settings!$H$11:$H$15,0)),"No"))</f>
        <v/>
      </c>
    </row>
    <row r="1946" customFormat="false" ht="15" hidden="false" customHeight="false" outlineLevel="0" collapsed="false">
      <c r="A1946" s="30"/>
      <c r="B1946" s="25"/>
      <c r="C1946" s="25"/>
      <c r="D1946" s="25"/>
      <c r="E1946" s="25"/>
      <c r="F1946" s="25"/>
      <c r="G1946" s="25"/>
      <c r="H1946" s="31"/>
      <c r="I1946" s="32"/>
      <c r="J1946" s="33"/>
      <c r="K1946" s="34" t="str">
        <f aca="false">IF(OR(H1946="",I1946=""),"",H1946*I1946*(1-N(J1946)))</f>
        <v/>
      </c>
      <c r="L1946" s="32"/>
      <c r="M1946" s="34" t="str">
        <f aca="false">IF(OR(H1946="",L1946=""),"",H1946*L1946)</f>
        <v/>
      </c>
      <c r="N1946" s="34" t="str">
        <f aca="false">IF(OR(K1946="",M1946=""),"",K1946-M1946)</f>
        <v/>
      </c>
      <c r="O1946" s="35" t="str">
        <f aca="false">IF(OR(N1946="",K1946=""),"",IF(K1946=0,"",N1946/K1946))</f>
        <v/>
      </c>
      <c r="P1946" s="25"/>
      <c r="Q1946" s="25"/>
      <c r="R1946" s="25"/>
      <c r="S1946" s="36" t="str">
        <f aca="false">IF(A1946="","",YEAR(A1946)+IF(AND(FYStart&gt;1,MONTH(A1946)&gt;=FYStart),1,0))</f>
        <v/>
      </c>
      <c r="T1946" s="36" t="str">
        <f aca="false">IF(A1946="","",MOD(MONTH(A1946)-FYStart,12)+1)</f>
        <v/>
      </c>
      <c r="U1946" s="37" t="str">
        <f aca="false">IF(A1946="","",TEXT(A1946,"mmm"))</f>
        <v/>
      </c>
      <c r="V1946" s="37" t="str">
        <f aca="false">IF(Q1946="","",IFERROR(INDEX(Settings!$I$11:$I$15,MATCH(Q1946,Settings!$H$11:$H$15,0)),"No"))</f>
        <v/>
      </c>
      <c r="W1946" s="37" t="str">
        <f aca="false">IF(Q1946="","",IFERROR(INDEX(Settings!$J$11:$J$15,MATCH(Q1946,Settings!$H$11:$H$15,0)),"No"))</f>
        <v/>
      </c>
    </row>
    <row r="1947" customFormat="false" ht="15" hidden="false" customHeight="false" outlineLevel="0" collapsed="false">
      <c r="A1947" s="30"/>
      <c r="B1947" s="25"/>
      <c r="C1947" s="25"/>
      <c r="D1947" s="25"/>
      <c r="E1947" s="25"/>
      <c r="F1947" s="25"/>
      <c r="G1947" s="25"/>
      <c r="H1947" s="31"/>
      <c r="I1947" s="32"/>
      <c r="J1947" s="33"/>
      <c r="K1947" s="34" t="str">
        <f aca="false">IF(OR(H1947="",I1947=""),"",H1947*I1947*(1-N(J1947)))</f>
        <v/>
      </c>
      <c r="L1947" s="32"/>
      <c r="M1947" s="34" t="str">
        <f aca="false">IF(OR(H1947="",L1947=""),"",H1947*L1947)</f>
        <v/>
      </c>
      <c r="N1947" s="34" t="str">
        <f aca="false">IF(OR(K1947="",M1947=""),"",K1947-M1947)</f>
        <v/>
      </c>
      <c r="O1947" s="35" t="str">
        <f aca="false">IF(OR(N1947="",K1947=""),"",IF(K1947=0,"",N1947/K1947))</f>
        <v/>
      </c>
      <c r="P1947" s="25"/>
      <c r="Q1947" s="25"/>
      <c r="R1947" s="25"/>
      <c r="S1947" s="36" t="str">
        <f aca="false">IF(A1947="","",YEAR(A1947)+IF(AND(FYStart&gt;1,MONTH(A1947)&gt;=FYStart),1,0))</f>
        <v/>
      </c>
      <c r="T1947" s="36" t="str">
        <f aca="false">IF(A1947="","",MOD(MONTH(A1947)-FYStart,12)+1)</f>
        <v/>
      </c>
      <c r="U1947" s="37" t="str">
        <f aca="false">IF(A1947="","",TEXT(A1947,"mmm"))</f>
        <v/>
      </c>
      <c r="V1947" s="37" t="str">
        <f aca="false">IF(Q1947="","",IFERROR(INDEX(Settings!$I$11:$I$15,MATCH(Q1947,Settings!$H$11:$H$15,0)),"No"))</f>
        <v/>
      </c>
      <c r="W1947" s="37" t="str">
        <f aca="false">IF(Q1947="","",IFERROR(INDEX(Settings!$J$11:$J$15,MATCH(Q1947,Settings!$H$11:$H$15,0)),"No"))</f>
        <v/>
      </c>
    </row>
    <row r="1948" customFormat="false" ht="15" hidden="false" customHeight="false" outlineLevel="0" collapsed="false">
      <c r="A1948" s="30"/>
      <c r="B1948" s="25"/>
      <c r="C1948" s="25"/>
      <c r="D1948" s="25"/>
      <c r="E1948" s="25"/>
      <c r="F1948" s="25"/>
      <c r="G1948" s="25"/>
      <c r="H1948" s="31"/>
      <c r="I1948" s="32"/>
      <c r="J1948" s="33"/>
      <c r="K1948" s="34" t="str">
        <f aca="false">IF(OR(H1948="",I1948=""),"",H1948*I1948*(1-N(J1948)))</f>
        <v/>
      </c>
      <c r="L1948" s="32"/>
      <c r="M1948" s="34" t="str">
        <f aca="false">IF(OR(H1948="",L1948=""),"",H1948*L1948)</f>
        <v/>
      </c>
      <c r="N1948" s="34" t="str">
        <f aca="false">IF(OR(K1948="",M1948=""),"",K1948-M1948)</f>
        <v/>
      </c>
      <c r="O1948" s="35" t="str">
        <f aca="false">IF(OR(N1948="",K1948=""),"",IF(K1948=0,"",N1948/K1948))</f>
        <v/>
      </c>
      <c r="P1948" s="25"/>
      <c r="Q1948" s="25"/>
      <c r="R1948" s="25"/>
      <c r="S1948" s="36" t="str">
        <f aca="false">IF(A1948="","",YEAR(A1948)+IF(AND(FYStart&gt;1,MONTH(A1948)&gt;=FYStart),1,0))</f>
        <v/>
      </c>
      <c r="T1948" s="36" t="str">
        <f aca="false">IF(A1948="","",MOD(MONTH(A1948)-FYStart,12)+1)</f>
        <v/>
      </c>
      <c r="U1948" s="37" t="str">
        <f aca="false">IF(A1948="","",TEXT(A1948,"mmm"))</f>
        <v/>
      </c>
      <c r="V1948" s="37" t="str">
        <f aca="false">IF(Q1948="","",IFERROR(INDEX(Settings!$I$11:$I$15,MATCH(Q1948,Settings!$H$11:$H$15,0)),"No"))</f>
        <v/>
      </c>
      <c r="W1948" s="37" t="str">
        <f aca="false">IF(Q1948="","",IFERROR(INDEX(Settings!$J$11:$J$15,MATCH(Q1948,Settings!$H$11:$H$15,0)),"No"))</f>
        <v/>
      </c>
    </row>
    <row r="1949" customFormat="false" ht="15" hidden="false" customHeight="false" outlineLevel="0" collapsed="false">
      <c r="A1949" s="30"/>
      <c r="B1949" s="25"/>
      <c r="C1949" s="25"/>
      <c r="D1949" s="25"/>
      <c r="E1949" s="25"/>
      <c r="F1949" s="25"/>
      <c r="G1949" s="25"/>
      <c r="H1949" s="31"/>
      <c r="I1949" s="32"/>
      <c r="J1949" s="33"/>
      <c r="K1949" s="34" t="str">
        <f aca="false">IF(OR(H1949="",I1949=""),"",H1949*I1949*(1-N(J1949)))</f>
        <v/>
      </c>
      <c r="L1949" s="32"/>
      <c r="M1949" s="34" t="str">
        <f aca="false">IF(OR(H1949="",L1949=""),"",H1949*L1949)</f>
        <v/>
      </c>
      <c r="N1949" s="34" t="str">
        <f aca="false">IF(OR(K1949="",M1949=""),"",K1949-M1949)</f>
        <v/>
      </c>
      <c r="O1949" s="35" t="str">
        <f aca="false">IF(OR(N1949="",K1949=""),"",IF(K1949=0,"",N1949/K1949))</f>
        <v/>
      </c>
      <c r="P1949" s="25"/>
      <c r="Q1949" s="25"/>
      <c r="R1949" s="25"/>
      <c r="S1949" s="36" t="str">
        <f aca="false">IF(A1949="","",YEAR(A1949)+IF(AND(FYStart&gt;1,MONTH(A1949)&gt;=FYStart),1,0))</f>
        <v/>
      </c>
      <c r="T1949" s="36" t="str">
        <f aca="false">IF(A1949="","",MOD(MONTH(A1949)-FYStart,12)+1)</f>
        <v/>
      </c>
      <c r="U1949" s="37" t="str">
        <f aca="false">IF(A1949="","",TEXT(A1949,"mmm"))</f>
        <v/>
      </c>
      <c r="V1949" s="37" t="str">
        <f aca="false">IF(Q1949="","",IFERROR(INDEX(Settings!$I$11:$I$15,MATCH(Q1949,Settings!$H$11:$H$15,0)),"No"))</f>
        <v/>
      </c>
      <c r="W1949" s="37" t="str">
        <f aca="false">IF(Q1949="","",IFERROR(INDEX(Settings!$J$11:$J$15,MATCH(Q1949,Settings!$H$11:$H$15,0)),"No"))</f>
        <v/>
      </c>
    </row>
    <row r="1950" customFormat="false" ht="15" hidden="false" customHeight="false" outlineLevel="0" collapsed="false">
      <c r="A1950" s="30"/>
      <c r="B1950" s="25"/>
      <c r="C1950" s="25"/>
      <c r="D1950" s="25"/>
      <c r="E1950" s="25"/>
      <c r="F1950" s="25"/>
      <c r="G1950" s="25"/>
      <c r="H1950" s="31"/>
      <c r="I1950" s="32"/>
      <c r="J1950" s="33"/>
      <c r="K1950" s="34" t="str">
        <f aca="false">IF(OR(H1950="",I1950=""),"",H1950*I1950*(1-N(J1950)))</f>
        <v/>
      </c>
      <c r="L1950" s="32"/>
      <c r="M1950" s="34" t="str">
        <f aca="false">IF(OR(H1950="",L1950=""),"",H1950*L1950)</f>
        <v/>
      </c>
      <c r="N1950" s="34" t="str">
        <f aca="false">IF(OR(K1950="",M1950=""),"",K1950-M1950)</f>
        <v/>
      </c>
      <c r="O1950" s="35" t="str">
        <f aca="false">IF(OR(N1950="",K1950=""),"",IF(K1950=0,"",N1950/K1950))</f>
        <v/>
      </c>
      <c r="P1950" s="25"/>
      <c r="Q1950" s="25"/>
      <c r="R1950" s="25"/>
      <c r="S1950" s="36" t="str">
        <f aca="false">IF(A1950="","",YEAR(A1950)+IF(AND(FYStart&gt;1,MONTH(A1950)&gt;=FYStart),1,0))</f>
        <v/>
      </c>
      <c r="T1950" s="36" t="str">
        <f aca="false">IF(A1950="","",MOD(MONTH(A1950)-FYStart,12)+1)</f>
        <v/>
      </c>
      <c r="U1950" s="37" t="str">
        <f aca="false">IF(A1950="","",TEXT(A1950,"mmm"))</f>
        <v/>
      </c>
      <c r="V1950" s="37" t="str">
        <f aca="false">IF(Q1950="","",IFERROR(INDEX(Settings!$I$11:$I$15,MATCH(Q1950,Settings!$H$11:$H$15,0)),"No"))</f>
        <v/>
      </c>
      <c r="W1950" s="37" t="str">
        <f aca="false">IF(Q1950="","",IFERROR(INDEX(Settings!$J$11:$J$15,MATCH(Q1950,Settings!$H$11:$H$15,0)),"No"))</f>
        <v/>
      </c>
    </row>
    <row r="1951" customFormat="false" ht="15" hidden="false" customHeight="false" outlineLevel="0" collapsed="false">
      <c r="A1951" s="30"/>
      <c r="B1951" s="25"/>
      <c r="C1951" s="25"/>
      <c r="D1951" s="25"/>
      <c r="E1951" s="25"/>
      <c r="F1951" s="25"/>
      <c r="G1951" s="25"/>
      <c r="H1951" s="31"/>
      <c r="I1951" s="32"/>
      <c r="J1951" s="33"/>
      <c r="K1951" s="34" t="str">
        <f aca="false">IF(OR(H1951="",I1951=""),"",H1951*I1951*(1-N(J1951)))</f>
        <v/>
      </c>
      <c r="L1951" s="32"/>
      <c r="M1951" s="34" t="str">
        <f aca="false">IF(OR(H1951="",L1951=""),"",H1951*L1951)</f>
        <v/>
      </c>
      <c r="N1951" s="34" t="str">
        <f aca="false">IF(OR(K1951="",M1951=""),"",K1951-M1951)</f>
        <v/>
      </c>
      <c r="O1951" s="35" t="str">
        <f aca="false">IF(OR(N1951="",K1951=""),"",IF(K1951=0,"",N1951/K1951))</f>
        <v/>
      </c>
      <c r="P1951" s="25"/>
      <c r="Q1951" s="25"/>
      <c r="R1951" s="25"/>
      <c r="S1951" s="36" t="str">
        <f aca="false">IF(A1951="","",YEAR(A1951)+IF(AND(FYStart&gt;1,MONTH(A1951)&gt;=FYStart),1,0))</f>
        <v/>
      </c>
      <c r="T1951" s="36" t="str">
        <f aca="false">IF(A1951="","",MOD(MONTH(A1951)-FYStart,12)+1)</f>
        <v/>
      </c>
      <c r="U1951" s="37" t="str">
        <f aca="false">IF(A1951="","",TEXT(A1951,"mmm"))</f>
        <v/>
      </c>
      <c r="V1951" s="37" t="str">
        <f aca="false">IF(Q1951="","",IFERROR(INDEX(Settings!$I$11:$I$15,MATCH(Q1951,Settings!$H$11:$H$15,0)),"No"))</f>
        <v/>
      </c>
      <c r="W1951" s="37" t="str">
        <f aca="false">IF(Q1951="","",IFERROR(INDEX(Settings!$J$11:$J$15,MATCH(Q1951,Settings!$H$11:$H$15,0)),"No"))</f>
        <v/>
      </c>
    </row>
    <row r="1952" customFormat="false" ht="15" hidden="false" customHeight="false" outlineLevel="0" collapsed="false">
      <c r="A1952" s="30"/>
      <c r="B1952" s="25"/>
      <c r="C1952" s="25"/>
      <c r="D1952" s="25"/>
      <c r="E1952" s="25"/>
      <c r="F1952" s="25"/>
      <c r="G1952" s="25"/>
      <c r="H1952" s="31"/>
      <c r="I1952" s="32"/>
      <c r="J1952" s="33"/>
      <c r="K1952" s="34" t="str">
        <f aca="false">IF(OR(H1952="",I1952=""),"",H1952*I1952*(1-N(J1952)))</f>
        <v/>
      </c>
      <c r="L1952" s="32"/>
      <c r="M1952" s="34" t="str">
        <f aca="false">IF(OR(H1952="",L1952=""),"",H1952*L1952)</f>
        <v/>
      </c>
      <c r="N1952" s="34" t="str">
        <f aca="false">IF(OR(K1952="",M1952=""),"",K1952-M1952)</f>
        <v/>
      </c>
      <c r="O1952" s="35" t="str">
        <f aca="false">IF(OR(N1952="",K1952=""),"",IF(K1952=0,"",N1952/K1952))</f>
        <v/>
      </c>
      <c r="P1952" s="25"/>
      <c r="Q1952" s="25"/>
      <c r="R1952" s="25"/>
      <c r="S1952" s="36" t="str">
        <f aca="false">IF(A1952="","",YEAR(A1952)+IF(AND(FYStart&gt;1,MONTH(A1952)&gt;=FYStart),1,0))</f>
        <v/>
      </c>
      <c r="T1952" s="36" t="str">
        <f aca="false">IF(A1952="","",MOD(MONTH(A1952)-FYStart,12)+1)</f>
        <v/>
      </c>
      <c r="U1952" s="37" t="str">
        <f aca="false">IF(A1952="","",TEXT(A1952,"mmm"))</f>
        <v/>
      </c>
      <c r="V1952" s="37" t="str">
        <f aca="false">IF(Q1952="","",IFERROR(INDEX(Settings!$I$11:$I$15,MATCH(Q1952,Settings!$H$11:$H$15,0)),"No"))</f>
        <v/>
      </c>
      <c r="W1952" s="37" t="str">
        <f aca="false">IF(Q1952="","",IFERROR(INDEX(Settings!$J$11:$J$15,MATCH(Q1952,Settings!$H$11:$H$15,0)),"No"))</f>
        <v/>
      </c>
    </row>
    <row r="1953" customFormat="false" ht="15" hidden="false" customHeight="false" outlineLevel="0" collapsed="false">
      <c r="A1953" s="30"/>
      <c r="B1953" s="25"/>
      <c r="C1953" s="25"/>
      <c r="D1953" s="25"/>
      <c r="E1953" s="25"/>
      <c r="F1953" s="25"/>
      <c r="G1953" s="25"/>
      <c r="H1953" s="31"/>
      <c r="I1953" s="32"/>
      <c r="J1953" s="33"/>
      <c r="K1953" s="34" t="str">
        <f aca="false">IF(OR(H1953="",I1953=""),"",H1953*I1953*(1-N(J1953)))</f>
        <v/>
      </c>
      <c r="L1953" s="32"/>
      <c r="M1953" s="34" t="str">
        <f aca="false">IF(OR(H1953="",L1953=""),"",H1953*L1953)</f>
        <v/>
      </c>
      <c r="N1953" s="34" t="str">
        <f aca="false">IF(OR(K1953="",M1953=""),"",K1953-M1953)</f>
        <v/>
      </c>
      <c r="O1953" s="35" t="str">
        <f aca="false">IF(OR(N1953="",K1953=""),"",IF(K1953=0,"",N1953/K1953))</f>
        <v/>
      </c>
      <c r="P1953" s="25"/>
      <c r="Q1953" s="25"/>
      <c r="R1953" s="25"/>
      <c r="S1953" s="36" t="str">
        <f aca="false">IF(A1953="","",YEAR(A1953)+IF(AND(FYStart&gt;1,MONTH(A1953)&gt;=FYStart),1,0))</f>
        <v/>
      </c>
      <c r="T1953" s="36" t="str">
        <f aca="false">IF(A1953="","",MOD(MONTH(A1953)-FYStart,12)+1)</f>
        <v/>
      </c>
      <c r="U1953" s="37" t="str">
        <f aca="false">IF(A1953="","",TEXT(A1953,"mmm"))</f>
        <v/>
      </c>
      <c r="V1953" s="37" t="str">
        <f aca="false">IF(Q1953="","",IFERROR(INDEX(Settings!$I$11:$I$15,MATCH(Q1953,Settings!$H$11:$H$15,0)),"No"))</f>
        <v/>
      </c>
      <c r="W1953" s="37" t="str">
        <f aca="false">IF(Q1953="","",IFERROR(INDEX(Settings!$J$11:$J$15,MATCH(Q1953,Settings!$H$11:$H$15,0)),"No"))</f>
        <v/>
      </c>
    </row>
    <row r="1954" customFormat="false" ht="15" hidden="false" customHeight="false" outlineLevel="0" collapsed="false">
      <c r="A1954" s="30"/>
      <c r="B1954" s="25"/>
      <c r="C1954" s="25"/>
      <c r="D1954" s="25"/>
      <c r="E1954" s="25"/>
      <c r="F1954" s="25"/>
      <c r="G1954" s="25"/>
      <c r="H1954" s="31"/>
      <c r="I1954" s="32"/>
      <c r="J1954" s="33"/>
      <c r="K1954" s="34" t="str">
        <f aca="false">IF(OR(H1954="",I1954=""),"",H1954*I1954*(1-N(J1954)))</f>
        <v/>
      </c>
      <c r="L1954" s="32"/>
      <c r="M1954" s="34" t="str">
        <f aca="false">IF(OR(H1954="",L1954=""),"",H1954*L1954)</f>
        <v/>
      </c>
      <c r="N1954" s="34" t="str">
        <f aca="false">IF(OR(K1954="",M1954=""),"",K1954-M1954)</f>
        <v/>
      </c>
      <c r="O1954" s="35" t="str">
        <f aca="false">IF(OR(N1954="",K1954=""),"",IF(K1954=0,"",N1954/K1954))</f>
        <v/>
      </c>
      <c r="P1954" s="25"/>
      <c r="Q1954" s="25"/>
      <c r="R1954" s="25"/>
      <c r="S1954" s="36" t="str">
        <f aca="false">IF(A1954="","",YEAR(A1954)+IF(AND(FYStart&gt;1,MONTH(A1954)&gt;=FYStart),1,0))</f>
        <v/>
      </c>
      <c r="T1954" s="36" t="str">
        <f aca="false">IF(A1954="","",MOD(MONTH(A1954)-FYStart,12)+1)</f>
        <v/>
      </c>
      <c r="U1954" s="37" t="str">
        <f aca="false">IF(A1954="","",TEXT(A1954,"mmm"))</f>
        <v/>
      </c>
      <c r="V1954" s="37" t="str">
        <f aca="false">IF(Q1954="","",IFERROR(INDEX(Settings!$I$11:$I$15,MATCH(Q1954,Settings!$H$11:$H$15,0)),"No"))</f>
        <v/>
      </c>
      <c r="W1954" s="37" t="str">
        <f aca="false">IF(Q1954="","",IFERROR(INDEX(Settings!$J$11:$J$15,MATCH(Q1954,Settings!$H$11:$H$15,0)),"No"))</f>
        <v/>
      </c>
    </row>
    <row r="1955" customFormat="false" ht="15" hidden="false" customHeight="false" outlineLevel="0" collapsed="false">
      <c r="A1955" s="30"/>
      <c r="B1955" s="25"/>
      <c r="C1955" s="25"/>
      <c r="D1955" s="25"/>
      <c r="E1955" s="25"/>
      <c r="F1955" s="25"/>
      <c r="G1955" s="25"/>
      <c r="H1955" s="31"/>
      <c r="I1955" s="32"/>
      <c r="J1955" s="33"/>
      <c r="K1955" s="34" t="str">
        <f aca="false">IF(OR(H1955="",I1955=""),"",H1955*I1955*(1-N(J1955)))</f>
        <v/>
      </c>
      <c r="L1955" s="32"/>
      <c r="M1955" s="34" t="str">
        <f aca="false">IF(OR(H1955="",L1955=""),"",H1955*L1955)</f>
        <v/>
      </c>
      <c r="N1955" s="34" t="str">
        <f aca="false">IF(OR(K1955="",M1955=""),"",K1955-M1955)</f>
        <v/>
      </c>
      <c r="O1955" s="35" t="str">
        <f aca="false">IF(OR(N1955="",K1955=""),"",IF(K1955=0,"",N1955/K1955))</f>
        <v/>
      </c>
      <c r="P1955" s="25"/>
      <c r="Q1955" s="25"/>
      <c r="R1955" s="25"/>
      <c r="S1955" s="36" t="str">
        <f aca="false">IF(A1955="","",YEAR(A1955)+IF(AND(FYStart&gt;1,MONTH(A1955)&gt;=FYStart),1,0))</f>
        <v/>
      </c>
      <c r="T1955" s="36" t="str">
        <f aca="false">IF(A1955="","",MOD(MONTH(A1955)-FYStart,12)+1)</f>
        <v/>
      </c>
      <c r="U1955" s="37" t="str">
        <f aca="false">IF(A1955="","",TEXT(A1955,"mmm"))</f>
        <v/>
      </c>
      <c r="V1955" s="37" t="str">
        <f aca="false">IF(Q1955="","",IFERROR(INDEX(Settings!$I$11:$I$15,MATCH(Q1955,Settings!$H$11:$H$15,0)),"No"))</f>
        <v/>
      </c>
      <c r="W1955" s="37" t="str">
        <f aca="false">IF(Q1955="","",IFERROR(INDEX(Settings!$J$11:$J$15,MATCH(Q1955,Settings!$H$11:$H$15,0)),"No"))</f>
        <v/>
      </c>
    </row>
    <row r="1956" customFormat="false" ht="15" hidden="false" customHeight="false" outlineLevel="0" collapsed="false">
      <c r="A1956" s="30"/>
      <c r="B1956" s="25"/>
      <c r="C1956" s="25"/>
      <c r="D1956" s="25"/>
      <c r="E1956" s="25"/>
      <c r="F1956" s="25"/>
      <c r="G1956" s="25"/>
      <c r="H1956" s="31"/>
      <c r="I1956" s="32"/>
      <c r="J1956" s="33"/>
      <c r="K1956" s="34" t="str">
        <f aca="false">IF(OR(H1956="",I1956=""),"",H1956*I1956*(1-N(J1956)))</f>
        <v/>
      </c>
      <c r="L1956" s="32"/>
      <c r="M1956" s="34" t="str">
        <f aca="false">IF(OR(H1956="",L1956=""),"",H1956*L1956)</f>
        <v/>
      </c>
      <c r="N1956" s="34" t="str">
        <f aca="false">IF(OR(K1956="",M1956=""),"",K1956-M1956)</f>
        <v/>
      </c>
      <c r="O1956" s="35" t="str">
        <f aca="false">IF(OR(N1956="",K1956=""),"",IF(K1956=0,"",N1956/K1956))</f>
        <v/>
      </c>
      <c r="P1956" s="25"/>
      <c r="Q1956" s="25"/>
      <c r="R1956" s="25"/>
      <c r="S1956" s="36" t="str">
        <f aca="false">IF(A1956="","",YEAR(A1956)+IF(AND(FYStart&gt;1,MONTH(A1956)&gt;=FYStart),1,0))</f>
        <v/>
      </c>
      <c r="T1956" s="36" t="str">
        <f aca="false">IF(A1956="","",MOD(MONTH(A1956)-FYStart,12)+1)</f>
        <v/>
      </c>
      <c r="U1956" s="37" t="str">
        <f aca="false">IF(A1956="","",TEXT(A1956,"mmm"))</f>
        <v/>
      </c>
      <c r="V1956" s="37" t="str">
        <f aca="false">IF(Q1956="","",IFERROR(INDEX(Settings!$I$11:$I$15,MATCH(Q1956,Settings!$H$11:$H$15,0)),"No"))</f>
        <v/>
      </c>
      <c r="W1956" s="37" t="str">
        <f aca="false">IF(Q1956="","",IFERROR(INDEX(Settings!$J$11:$J$15,MATCH(Q1956,Settings!$H$11:$H$15,0)),"No"))</f>
        <v/>
      </c>
    </row>
    <row r="1957" customFormat="false" ht="15" hidden="false" customHeight="false" outlineLevel="0" collapsed="false">
      <c r="A1957" s="30"/>
      <c r="B1957" s="25"/>
      <c r="C1957" s="25"/>
      <c r="D1957" s="25"/>
      <c r="E1957" s="25"/>
      <c r="F1957" s="25"/>
      <c r="G1957" s="25"/>
      <c r="H1957" s="31"/>
      <c r="I1957" s="32"/>
      <c r="J1957" s="33"/>
      <c r="K1957" s="34" t="str">
        <f aca="false">IF(OR(H1957="",I1957=""),"",H1957*I1957*(1-N(J1957)))</f>
        <v/>
      </c>
      <c r="L1957" s="32"/>
      <c r="M1957" s="34" t="str">
        <f aca="false">IF(OR(H1957="",L1957=""),"",H1957*L1957)</f>
        <v/>
      </c>
      <c r="N1957" s="34" t="str">
        <f aca="false">IF(OR(K1957="",M1957=""),"",K1957-M1957)</f>
        <v/>
      </c>
      <c r="O1957" s="35" t="str">
        <f aca="false">IF(OR(N1957="",K1957=""),"",IF(K1957=0,"",N1957/K1957))</f>
        <v/>
      </c>
      <c r="P1957" s="25"/>
      <c r="Q1957" s="25"/>
      <c r="R1957" s="25"/>
      <c r="S1957" s="36" t="str">
        <f aca="false">IF(A1957="","",YEAR(A1957)+IF(AND(FYStart&gt;1,MONTH(A1957)&gt;=FYStart),1,0))</f>
        <v/>
      </c>
      <c r="T1957" s="36" t="str">
        <f aca="false">IF(A1957="","",MOD(MONTH(A1957)-FYStart,12)+1)</f>
        <v/>
      </c>
      <c r="U1957" s="37" t="str">
        <f aca="false">IF(A1957="","",TEXT(A1957,"mmm"))</f>
        <v/>
      </c>
      <c r="V1957" s="37" t="str">
        <f aca="false">IF(Q1957="","",IFERROR(INDEX(Settings!$I$11:$I$15,MATCH(Q1957,Settings!$H$11:$H$15,0)),"No"))</f>
        <v/>
      </c>
      <c r="W1957" s="37" t="str">
        <f aca="false">IF(Q1957="","",IFERROR(INDEX(Settings!$J$11:$J$15,MATCH(Q1957,Settings!$H$11:$H$15,0)),"No"))</f>
        <v/>
      </c>
    </row>
    <row r="1958" customFormat="false" ht="15" hidden="false" customHeight="false" outlineLevel="0" collapsed="false">
      <c r="A1958" s="30"/>
      <c r="B1958" s="25"/>
      <c r="C1958" s="25"/>
      <c r="D1958" s="25"/>
      <c r="E1958" s="25"/>
      <c r="F1958" s="25"/>
      <c r="G1958" s="25"/>
      <c r="H1958" s="31"/>
      <c r="I1958" s="32"/>
      <c r="J1958" s="33"/>
      <c r="K1958" s="34" t="str">
        <f aca="false">IF(OR(H1958="",I1958=""),"",H1958*I1958*(1-N(J1958)))</f>
        <v/>
      </c>
      <c r="L1958" s="32"/>
      <c r="M1958" s="34" t="str">
        <f aca="false">IF(OR(H1958="",L1958=""),"",H1958*L1958)</f>
        <v/>
      </c>
      <c r="N1958" s="34" t="str">
        <f aca="false">IF(OR(K1958="",M1958=""),"",K1958-M1958)</f>
        <v/>
      </c>
      <c r="O1958" s="35" t="str">
        <f aca="false">IF(OR(N1958="",K1958=""),"",IF(K1958=0,"",N1958/K1958))</f>
        <v/>
      </c>
      <c r="P1958" s="25"/>
      <c r="Q1958" s="25"/>
      <c r="R1958" s="25"/>
      <c r="S1958" s="36" t="str">
        <f aca="false">IF(A1958="","",YEAR(A1958)+IF(AND(FYStart&gt;1,MONTH(A1958)&gt;=FYStart),1,0))</f>
        <v/>
      </c>
      <c r="T1958" s="36" t="str">
        <f aca="false">IF(A1958="","",MOD(MONTH(A1958)-FYStart,12)+1)</f>
        <v/>
      </c>
      <c r="U1958" s="37" t="str">
        <f aca="false">IF(A1958="","",TEXT(A1958,"mmm"))</f>
        <v/>
      </c>
      <c r="V1958" s="37" t="str">
        <f aca="false">IF(Q1958="","",IFERROR(INDEX(Settings!$I$11:$I$15,MATCH(Q1958,Settings!$H$11:$H$15,0)),"No"))</f>
        <v/>
      </c>
      <c r="W1958" s="37" t="str">
        <f aca="false">IF(Q1958="","",IFERROR(INDEX(Settings!$J$11:$J$15,MATCH(Q1958,Settings!$H$11:$H$15,0)),"No"))</f>
        <v/>
      </c>
    </row>
    <row r="1959" customFormat="false" ht="15" hidden="false" customHeight="false" outlineLevel="0" collapsed="false">
      <c r="A1959" s="30"/>
      <c r="B1959" s="25"/>
      <c r="C1959" s="25"/>
      <c r="D1959" s="25"/>
      <c r="E1959" s="25"/>
      <c r="F1959" s="25"/>
      <c r="G1959" s="25"/>
      <c r="H1959" s="31"/>
      <c r="I1959" s="32"/>
      <c r="J1959" s="33"/>
      <c r="K1959" s="34" t="str">
        <f aca="false">IF(OR(H1959="",I1959=""),"",H1959*I1959*(1-N(J1959)))</f>
        <v/>
      </c>
      <c r="L1959" s="32"/>
      <c r="M1959" s="34" t="str">
        <f aca="false">IF(OR(H1959="",L1959=""),"",H1959*L1959)</f>
        <v/>
      </c>
      <c r="N1959" s="34" t="str">
        <f aca="false">IF(OR(K1959="",M1959=""),"",K1959-M1959)</f>
        <v/>
      </c>
      <c r="O1959" s="35" t="str">
        <f aca="false">IF(OR(N1959="",K1959=""),"",IF(K1959=0,"",N1959/K1959))</f>
        <v/>
      </c>
      <c r="P1959" s="25"/>
      <c r="Q1959" s="25"/>
      <c r="R1959" s="25"/>
      <c r="S1959" s="36" t="str">
        <f aca="false">IF(A1959="","",YEAR(A1959)+IF(AND(FYStart&gt;1,MONTH(A1959)&gt;=FYStart),1,0))</f>
        <v/>
      </c>
      <c r="T1959" s="36" t="str">
        <f aca="false">IF(A1959="","",MOD(MONTH(A1959)-FYStart,12)+1)</f>
        <v/>
      </c>
      <c r="U1959" s="37" t="str">
        <f aca="false">IF(A1959="","",TEXT(A1959,"mmm"))</f>
        <v/>
      </c>
      <c r="V1959" s="37" t="str">
        <f aca="false">IF(Q1959="","",IFERROR(INDEX(Settings!$I$11:$I$15,MATCH(Q1959,Settings!$H$11:$H$15,0)),"No"))</f>
        <v/>
      </c>
      <c r="W1959" s="37" t="str">
        <f aca="false">IF(Q1959="","",IFERROR(INDEX(Settings!$J$11:$J$15,MATCH(Q1959,Settings!$H$11:$H$15,0)),"No"))</f>
        <v/>
      </c>
    </row>
    <row r="1960" customFormat="false" ht="15" hidden="false" customHeight="false" outlineLevel="0" collapsed="false">
      <c r="A1960" s="30"/>
      <c r="B1960" s="25"/>
      <c r="C1960" s="25"/>
      <c r="D1960" s="25"/>
      <c r="E1960" s="25"/>
      <c r="F1960" s="25"/>
      <c r="G1960" s="25"/>
      <c r="H1960" s="31"/>
      <c r="I1960" s="32"/>
      <c r="J1960" s="33"/>
      <c r="K1960" s="34" t="str">
        <f aca="false">IF(OR(H1960="",I1960=""),"",H1960*I1960*(1-N(J1960)))</f>
        <v/>
      </c>
      <c r="L1960" s="32"/>
      <c r="M1960" s="34" t="str">
        <f aca="false">IF(OR(H1960="",L1960=""),"",H1960*L1960)</f>
        <v/>
      </c>
      <c r="N1960" s="34" t="str">
        <f aca="false">IF(OR(K1960="",M1960=""),"",K1960-M1960)</f>
        <v/>
      </c>
      <c r="O1960" s="35" t="str">
        <f aca="false">IF(OR(N1960="",K1960=""),"",IF(K1960=0,"",N1960/K1960))</f>
        <v/>
      </c>
      <c r="P1960" s="25"/>
      <c r="Q1960" s="25"/>
      <c r="R1960" s="25"/>
      <c r="S1960" s="36" t="str">
        <f aca="false">IF(A1960="","",YEAR(A1960)+IF(AND(FYStart&gt;1,MONTH(A1960)&gt;=FYStart),1,0))</f>
        <v/>
      </c>
      <c r="T1960" s="36" t="str">
        <f aca="false">IF(A1960="","",MOD(MONTH(A1960)-FYStart,12)+1)</f>
        <v/>
      </c>
      <c r="U1960" s="37" t="str">
        <f aca="false">IF(A1960="","",TEXT(A1960,"mmm"))</f>
        <v/>
      </c>
      <c r="V1960" s="37" t="str">
        <f aca="false">IF(Q1960="","",IFERROR(INDEX(Settings!$I$11:$I$15,MATCH(Q1960,Settings!$H$11:$H$15,0)),"No"))</f>
        <v/>
      </c>
      <c r="W1960" s="37" t="str">
        <f aca="false">IF(Q1960="","",IFERROR(INDEX(Settings!$J$11:$J$15,MATCH(Q1960,Settings!$H$11:$H$15,0)),"No"))</f>
        <v/>
      </c>
    </row>
    <row r="1961" customFormat="false" ht="15" hidden="false" customHeight="false" outlineLevel="0" collapsed="false">
      <c r="A1961" s="30"/>
      <c r="B1961" s="25"/>
      <c r="C1961" s="25"/>
      <c r="D1961" s="25"/>
      <c r="E1961" s="25"/>
      <c r="F1961" s="25"/>
      <c r="G1961" s="25"/>
      <c r="H1961" s="31"/>
      <c r="I1961" s="32"/>
      <c r="J1961" s="33"/>
      <c r="K1961" s="34" t="str">
        <f aca="false">IF(OR(H1961="",I1961=""),"",H1961*I1961*(1-N(J1961)))</f>
        <v/>
      </c>
      <c r="L1961" s="32"/>
      <c r="M1961" s="34" t="str">
        <f aca="false">IF(OR(H1961="",L1961=""),"",H1961*L1961)</f>
        <v/>
      </c>
      <c r="N1961" s="34" t="str">
        <f aca="false">IF(OR(K1961="",M1961=""),"",K1961-M1961)</f>
        <v/>
      </c>
      <c r="O1961" s="35" t="str">
        <f aca="false">IF(OR(N1961="",K1961=""),"",IF(K1961=0,"",N1961/K1961))</f>
        <v/>
      </c>
      <c r="P1961" s="25"/>
      <c r="Q1961" s="25"/>
      <c r="R1961" s="25"/>
      <c r="S1961" s="36" t="str">
        <f aca="false">IF(A1961="","",YEAR(A1961)+IF(AND(FYStart&gt;1,MONTH(A1961)&gt;=FYStart),1,0))</f>
        <v/>
      </c>
      <c r="T1961" s="36" t="str">
        <f aca="false">IF(A1961="","",MOD(MONTH(A1961)-FYStart,12)+1)</f>
        <v/>
      </c>
      <c r="U1961" s="37" t="str">
        <f aca="false">IF(A1961="","",TEXT(A1961,"mmm"))</f>
        <v/>
      </c>
      <c r="V1961" s="37" t="str">
        <f aca="false">IF(Q1961="","",IFERROR(INDEX(Settings!$I$11:$I$15,MATCH(Q1961,Settings!$H$11:$H$15,0)),"No"))</f>
        <v/>
      </c>
      <c r="W1961" s="37" t="str">
        <f aca="false">IF(Q1961="","",IFERROR(INDEX(Settings!$J$11:$J$15,MATCH(Q1961,Settings!$H$11:$H$15,0)),"No"))</f>
        <v/>
      </c>
    </row>
    <row r="1962" customFormat="false" ht="15" hidden="false" customHeight="false" outlineLevel="0" collapsed="false">
      <c r="A1962" s="30"/>
      <c r="B1962" s="25"/>
      <c r="C1962" s="25"/>
      <c r="D1962" s="25"/>
      <c r="E1962" s="25"/>
      <c r="F1962" s="25"/>
      <c r="G1962" s="25"/>
      <c r="H1962" s="31"/>
      <c r="I1962" s="32"/>
      <c r="J1962" s="33"/>
      <c r="K1962" s="34" t="str">
        <f aca="false">IF(OR(H1962="",I1962=""),"",H1962*I1962*(1-N(J1962)))</f>
        <v/>
      </c>
      <c r="L1962" s="32"/>
      <c r="M1962" s="34" t="str">
        <f aca="false">IF(OR(H1962="",L1962=""),"",H1962*L1962)</f>
        <v/>
      </c>
      <c r="N1962" s="34" t="str">
        <f aca="false">IF(OR(K1962="",M1962=""),"",K1962-M1962)</f>
        <v/>
      </c>
      <c r="O1962" s="35" t="str">
        <f aca="false">IF(OR(N1962="",K1962=""),"",IF(K1962=0,"",N1962/K1962))</f>
        <v/>
      </c>
      <c r="P1962" s="25"/>
      <c r="Q1962" s="25"/>
      <c r="R1962" s="25"/>
      <c r="S1962" s="36" t="str">
        <f aca="false">IF(A1962="","",YEAR(A1962)+IF(AND(FYStart&gt;1,MONTH(A1962)&gt;=FYStart),1,0))</f>
        <v/>
      </c>
      <c r="T1962" s="36" t="str">
        <f aca="false">IF(A1962="","",MOD(MONTH(A1962)-FYStart,12)+1)</f>
        <v/>
      </c>
      <c r="U1962" s="37" t="str">
        <f aca="false">IF(A1962="","",TEXT(A1962,"mmm"))</f>
        <v/>
      </c>
      <c r="V1962" s="37" t="str">
        <f aca="false">IF(Q1962="","",IFERROR(INDEX(Settings!$I$11:$I$15,MATCH(Q1962,Settings!$H$11:$H$15,0)),"No"))</f>
        <v/>
      </c>
      <c r="W1962" s="37" t="str">
        <f aca="false">IF(Q1962="","",IFERROR(INDEX(Settings!$J$11:$J$15,MATCH(Q1962,Settings!$H$11:$H$15,0)),"No"))</f>
        <v/>
      </c>
    </row>
    <row r="1963" customFormat="false" ht="15" hidden="false" customHeight="false" outlineLevel="0" collapsed="false">
      <c r="A1963" s="30"/>
      <c r="B1963" s="25"/>
      <c r="C1963" s="25"/>
      <c r="D1963" s="25"/>
      <c r="E1963" s="25"/>
      <c r="F1963" s="25"/>
      <c r="G1963" s="25"/>
      <c r="H1963" s="31"/>
      <c r="I1963" s="32"/>
      <c r="J1963" s="33"/>
      <c r="K1963" s="34" t="str">
        <f aca="false">IF(OR(H1963="",I1963=""),"",H1963*I1963*(1-N(J1963)))</f>
        <v/>
      </c>
      <c r="L1963" s="32"/>
      <c r="M1963" s="34" t="str">
        <f aca="false">IF(OR(H1963="",L1963=""),"",H1963*L1963)</f>
        <v/>
      </c>
      <c r="N1963" s="34" t="str">
        <f aca="false">IF(OR(K1963="",M1963=""),"",K1963-M1963)</f>
        <v/>
      </c>
      <c r="O1963" s="35" t="str">
        <f aca="false">IF(OR(N1963="",K1963=""),"",IF(K1963=0,"",N1963/K1963))</f>
        <v/>
      </c>
      <c r="P1963" s="25"/>
      <c r="Q1963" s="25"/>
      <c r="R1963" s="25"/>
      <c r="S1963" s="36" t="str">
        <f aca="false">IF(A1963="","",YEAR(A1963)+IF(AND(FYStart&gt;1,MONTH(A1963)&gt;=FYStart),1,0))</f>
        <v/>
      </c>
      <c r="T1963" s="36" t="str">
        <f aca="false">IF(A1963="","",MOD(MONTH(A1963)-FYStart,12)+1)</f>
        <v/>
      </c>
      <c r="U1963" s="37" t="str">
        <f aca="false">IF(A1963="","",TEXT(A1963,"mmm"))</f>
        <v/>
      </c>
      <c r="V1963" s="37" t="str">
        <f aca="false">IF(Q1963="","",IFERROR(INDEX(Settings!$I$11:$I$15,MATCH(Q1963,Settings!$H$11:$H$15,0)),"No"))</f>
        <v/>
      </c>
      <c r="W1963" s="37" t="str">
        <f aca="false">IF(Q1963="","",IFERROR(INDEX(Settings!$J$11:$J$15,MATCH(Q1963,Settings!$H$11:$H$15,0)),"No"))</f>
        <v/>
      </c>
    </row>
    <row r="1964" customFormat="false" ht="15" hidden="false" customHeight="false" outlineLevel="0" collapsed="false">
      <c r="A1964" s="30"/>
      <c r="B1964" s="25"/>
      <c r="C1964" s="25"/>
      <c r="D1964" s="25"/>
      <c r="E1964" s="25"/>
      <c r="F1964" s="25"/>
      <c r="G1964" s="25"/>
      <c r="H1964" s="31"/>
      <c r="I1964" s="32"/>
      <c r="J1964" s="33"/>
      <c r="K1964" s="34" t="str">
        <f aca="false">IF(OR(H1964="",I1964=""),"",H1964*I1964*(1-N(J1964)))</f>
        <v/>
      </c>
      <c r="L1964" s="32"/>
      <c r="M1964" s="34" t="str">
        <f aca="false">IF(OR(H1964="",L1964=""),"",H1964*L1964)</f>
        <v/>
      </c>
      <c r="N1964" s="34" t="str">
        <f aca="false">IF(OR(K1964="",M1964=""),"",K1964-M1964)</f>
        <v/>
      </c>
      <c r="O1964" s="35" t="str">
        <f aca="false">IF(OR(N1964="",K1964=""),"",IF(K1964=0,"",N1964/K1964))</f>
        <v/>
      </c>
      <c r="P1964" s="25"/>
      <c r="Q1964" s="25"/>
      <c r="R1964" s="25"/>
      <c r="S1964" s="36" t="str">
        <f aca="false">IF(A1964="","",YEAR(A1964)+IF(AND(FYStart&gt;1,MONTH(A1964)&gt;=FYStart),1,0))</f>
        <v/>
      </c>
      <c r="T1964" s="36" t="str">
        <f aca="false">IF(A1964="","",MOD(MONTH(A1964)-FYStart,12)+1)</f>
        <v/>
      </c>
      <c r="U1964" s="37" t="str">
        <f aca="false">IF(A1964="","",TEXT(A1964,"mmm"))</f>
        <v/>
      </c>
      <c r="V1964" s="37" t="str">
        <f aca="false">IF(Q1964="","",IFERROR(INDEX(Settings!$I$11:$I$15,MATCH(Q1964,Settings!$H$11:$H$15,0)),"No"))</f>
        <v/>
      </c>
      <c r="W1964" s="37" t="str">
        <f aca="false">IF(Q1964="","",IFERROR(INDEX(Settings!$J$11:$J$15,MATCH(Q1964,Settings!$H$11:$H$15,0)),"No"))</f>
        <v/>
      </c>
    </row>
    <row r="1965" customFormat="false" ht="15" hidden="false" customHeight="false" outlineLevel="0" collapsed="false">
      <c r="A1965" s="30"/>
      <c r="B1965" s="25"/>
      <c r="C1965" s="25"/>
      <c r="D1965" s="25"/>
      <c r="E1965" s="25"/>
      <c r="F1965" s="25"/>
      <c r="G1965" s="25"/>
      <c r="H1965" s="31"/>
      <c r="I1965" s="32"/>
      <c r="J1965" s="33"/>
      <c r="K1965" s="34" t="str">
        <f aca="false">IF(OR(H1965="",I1965=""),"",H1965*I1965*(1-N(J1965)))</f>
        <v/>
      </c>
      <c r="L1965" s="32"/>
      <c r="M1965" s="34" t="str">
        <f aca="false">IF(OR(H1965="",L1965=""),"",H1965*L1965)</f>
        <v/>
      </c>
      <c r="N1965" s="34" t="str">
        <f aca="false">IF(OR(K1965="",M1965=""),"",K1965-M1965)</f>
        <v/>
      </c>
      <c r="O1965" s="35" t="str">
        <f aca="false">IF(OR(N1965="",K1965=""),"",IF(K1965=0,"",N1965/K1965))</f>
        <v/>
      </c>
      <c r="P1965" s="25"/>
      <c r="Q1965" s="25"/>
      <c r="R1965" s="25"/>
      <c r="S1965" s="36" t="str">
        <f aca="false">IF(A1965="","",YEAR(A1965)+IF(AND(FYStart&gt;1,MONTH(A1965)&gt;=FYStart),1,0))</f>
        <v/>
      </c>
      <c r="T1965" s="36" t="str">
        <f aca="false">IF(A1965="","",MOD(MONTH(A1965)-FYStart,12)+1)</f>
        <v/>
      </c>
      <c r="U1965" s="37" t="str">
        <f aca="false">IF(A1965="","",TEXT(A1965,"mmm"))</f>
        <v/>
      </c>
      <c r="V1965" s="37" t="str">
        <f aca="false">IF(Q1965="","",IFERROR(INDEX(Settings!$I$11:$I$15,MATCH(Q1965,Settings!$H$11:$H$15,0)),"No"))</f>
        <v/>
      </c>
      <c r="W1965" s="37" t="str">
        <f aca="false">IF(Q1965="","",IFERROR(INDEX(Settings!$J$11:$J$15,MATCH(Q1965,Settings!$H$11:$H$15,0)),"No"))</f>
        <v/>
      </c>
    </row>
    <row r="1966" customFormat="false" ht="15" hidden="false" customHeight="false" outlineLevel="0" collapsed="false">
      <c r="A1966" s="30"/>
      <c r="B1966" s="25"/>
      <c r="C1966" s="25"/>
      <c r="D1966" s="25"/>
      <c r="E1966" s="25"/>
      <c r="F1966" s="25"/>
      <c r="G1966" s="25"/>
      <c r="H1966" s="31"/>
      <c r="I1966" s="32"/>
      <c r="J1966" s="33"/>
      <c r="K1966" s="34" t="str">
        <f aca="false">IF(OR(H1966="",I1966=""),"",H1966*I1966*(1-N(J1966)))</f>
        <v/>
      </c>
      <c r="L1966" s="32"/>
      <c r="M1966" s="34" t="str">
        <f aca="false">IF(OR(H1966="",L1966=""),"",H1966*L1966)</f>
        <v/>
      </c>
      <c r="N1966" s="34" t="str">
        <f aca="false">IF(OR(K1966="",M1966=""),"",K1966-M1966)</f>
        <v/>
      </c>
      <c r="O1966" s="35" t="str">
        <f aca="false">IF(OR(N1966="",K1966=""),"",IF(K1966=0,"",N1966/K1966))</f>
        <v/>
      </c>
      <c r="P1966" s="25"/>
      <c r="Q1966" s="25"/>
      <c r="R1966" s="25"/>
      <c r="S1966" s="36" t="str">
        <f aca="false">IF(A1966="","",YEAR(A1966)+IF(AND(FYStart&gt;1,MONTH(A1966)&gt;=FYStart),1,0))</f>
        <v/>
      </c>
      <c r="T1966" s="36" t="str">
        <f aca="false">IF(A1966="","",MOD(MONTH(A1966)-FYStart,12)+1)</f>
        <v/>
      </c>
      <c r="U1966" s="37" t="str">
        <f aca="false">IF(A1966="","",TEXT(A1966,"mmm"))</f>
        <v/>
      </c>
      <c r="V1966" s="37" t="str">
        <f aca="false">IF(Q1966="","",IFERROR(INDEX(Settings!$I$11:$I$15,MATCH(Q1966,Settings!$H$11:$H$15,0)),"No"))</f>
        <v/>
      </c>
      <c r="W1966" s="37" t="str">
        <f aca="false">IF(Q1966="","",IFERROR(INDEX(Settings!$J$11:$J$15,MATCH(Q1966,Settings!$H$11:$H$15,0)),"No"))</f>
        <v/>
      </c>
    </row>
    <row r="1967" customFormat="false" ht="15" hidden="false" customHeight="false" outlineLevel="0" collapsed="false">
      <c r="A1967" s="30"/>
      <c r="B1967" s="25"/>
      <c r="C1967" s="25"/>
      <c r="D1967" s="25"/>
      <c r="E1967" s="25"/>
      <c r="F1967" s="25"/>
      <c r="G1967" s="25"/>
      <c r="H1967" s="31"/>
      <c r="I1967" s="32"/>
      <c r="J1967" s="33"/>
      <c r="K1967" s="34" t="str">
        <f aca="false">IF(OR(H1967="",I1967=""),"",H1967*I1967*(1-N(J1967)))</f>
        <v/>
      </c>
      <c r="L1967" s="32"/>
      <c r="M1967" s="34" t="str">
        <f aca="false">IF(OR(H1967="",L1967=""),"",H1967*L1967)</f>
        <v/>
      </c>
      <c r="N1967" s="34" t="str">
        <f aca="false">IF(OR(K1967="",M1967=""),"",K1967-M1967)</f>
        <v/>
      </c>
      <c r="O1967" s="35" t="str">
        <f aca="false">IF(OR(N1967="",K1967=""),"",IF(K1967=0,"",N1967/K1967))</f>
        <v/>
      </c>
      <c r="P1967" s="25"/>
      <c r="Q1967" s="25"/>
      <c r="R1967" s="25"/>
      <c r="S1967" s="36" t="str">
        <f aca="false">IF(A1967="","",YEAR(A1967)+IF(AND(FYStart&gt;1,MONTH(A1967)&gt;=FYStart),1,0))</f>
        <v/>
      </c>
      <c r="T1967" s="36" t="str">
        <f aca="false">IF(A1967="","",MOD(MONTH(A1967)-FYStart,12)+1)</f>
        <v/>
      </c>
      <c r="U1967" s="37" t="str">
        <f aca="false">IF(A1967="","",TEXT(A1967,"mmm"))</f>
        <v/>
      </c>
      <c r="V1967" s="37" t="str">
        <f aca="false">IF(Q1967="","",IFERROR(INDEX(Settings!$I$11:$I$15,MATCH(Q1967,Settings!$H$11:$H$15,0)),"No"))</f>
        <v/>
      </c>
      <c r="W1967" s="37" t="str">
        <f aca="false">IF(Q1967="","",IFERROR(INDEX(Settings!$J$11:$J$15,MATCH(Q1967,Settings!$H$11:$H$15,0)),"No"))</f>
        <v/>
      </c>
    </row>
    <row r="1968" customFormat="false" ht="15" hidden="false" customHeight="false" outlineLevel="0" collapsed="false">
      <c r="A1968" s="30"/>
      <c r="B1968" s="25"/>
      <c r="C1968" s="25"/>
      <c r="D1968" s="25"/>
      <c r="E1968" s="25"/>
      <c r="F1968" s="25"/>
      <c r="G1968" s="25"/>
      <c r="H1968" s="31"/>
      <c r="I1968" s="32"/>
      <c r="J1968" s="33"/>
      <c r="K1968" s="34" t="str">
        <f aca="false">IF(OR(H1968="",I1968=""),"",H1968*I1968*(1-N(J1968)))</f>
        <v/>
      </c>
      <c r="L1968" s="32"/>
      <c r="M1968" s="34" t="str">
        <f aca="false">IF(OR(H1968="",L1968=""),"",H1968*L1968)</f>
        <v/>
      </c>
      <c r="N1968" s="34" t="str">
        <f aca="false">IF(OR(K1968="",M1968=""),"",K1968-M1968)</f>
        <v/>
      </c>
      <c r="O1968" s="35" t="str">
        <f aca="false">IF(OR(N1968="",K1968=""),"",IF(K1968=0,"",N1968/K1968))</f>
        <v/>
      </c>
      <c r="P1968" s="25"/>
      <c r="Q1968" s="25"/>
      <c r="R1968" s="25"/>
      <c r="S1968" s="36" t="str">
        <f aca="false">IF(A1968="","",YEAR(A1968)+IF(AND(FYStart&gt;1,MONTH(A1968)&gt;=FYStart),1,0))</f>
        <v/>
      </c>
      <c r="T1968" s="36" t="str">
        <f aca="false">IF(A1968="","",MOD(MONTH(A1968)-FYStart,12)+1)</f>
        <v/>
      </c>
      <c r="U1968" s="37" t="str">
        <f aca="false">IF(A1968="","",TEXT(A1968,"mmm"))</f>
        <v/>
      </c>
      <c r="V1968" s="37" t="str">
        <f aca="false">IF(Q1968="","",IFERROR(INDEX(Settings!$I$11:$I$15,MATCH(Q1968,Settings!$H$11:$H$15,0)),"No"))</f>
        <v/>
      </c>
      <c r="W1968" s="37" t="str">
        <f aca="false">IF(Q1968="","",IFERROR(INDEX(Settings!$J$11:$J$15,MATCH(Q1968,Settings!$H$11:$H$15,0)),"No"))</f>
        <v/>
      </c>
    </row>
    <row r="1969" customFormat="false" ht="15" hidden="false" customHeight="false" outlineLevel="0" collapsed="false">
      <c r="A1969" s="30"/>
      <c r="B1969" s="25"/>
      <c r="C1969" s="25"/>
      <c r="D1969" s="25"/>
      <c r="E1969" s="25"/>
      <c r="F1969" s="25"/>
      <c r="G1969" s="25"/>
      <c r="H1969" s="31"/>
      <c r="I1969" s="32"/>
      <c r="J1969" s="33"/>
      <c r="K1969" s="34" t="str">
        <f aca="false">IF(OR(H1969="",I1969=""),"",H1969*I1969*(1-N(J1969)))</f>
        <v/>
      </c>
      <c r="L1969" s="32"/>
      <c r="M1969" s="34" t="str">
        <f aca="false">IF(OR(H1969="",L1969=""),"",H1969*L1969)</f>
        <v/>
      </c>
      <c r="N1969" s="34" t="str">
        <f aca="false">IF(OR(K1969="",M1969=""),"",K1969-M1969)</f>
        <v/>
      </c>
      <c r="O1969" s="35" t="str">
        <f aca="false">IF(OR(N1969="",K1969=""),"",IF(K1969=0,"",N1969/K1969))</f>
        <v/>
      </c>
      <c r="P1969" s="25"/>
      <c r="Q1969" s="25"/>
      <c r="R1969" s="25"/>
      <c r="S1969" s="36" t="str">
        <f aca="false">IF(A1969="","",YEAR(A1969)+IF(AND(FYStart&gt;1,MONTH(A1969)&gt;=FYStart),1,0))</f>
        <v/>
      </c>
      <c r="T1969" s="36" t="str">
        <f aca="false">IF(A1969="","",MOD(MONTH(A1969)-FYStart,12)+1)</f>
        <v/>
      </c>
      <c r="U1969" s="37" t="str">
        <f aca="false">IF(A1969="","",TEXT(A1969,"mmm"))</f>
        <v/>
      </c>
      <c r="V1969" s="37" t="str">
        <f aca="false">IF(Q1969="","",IFERROR(INDEX(Settings!$I$11:$I$15,MATCH(Q1969,Settings!$H$11:$H$15,0)),"No"))</f>
        <v/>
      </c>
      <c r="W1969" s="37" t="str">
        <f aca="false">IF(Q1969="","",IFERROR(INDEX(Settings!$J$11:$J$15,MATCH(Q1969,Settings!$H$11:$H$15,0)),"No"))</f>
        <v/>
      </c>
    </row>
    <row r="1970" customFormat="false" ht="15" hidden="false" customHeight="false" outlineLevel="0" collapsed="false">
      <c r="A1970" s="30"/>
      <c r="B1970" s="25"/>
      <c r="C1970" s="25"/>
      <c r="D1970" s="25"/>
      <c r="E1970" s="25"/>
      <c r="F1970" s="25"/>
      <c r="G1970" s="25"/>
      <c r="H1970" s="31"/>
      <c r="I1970" s="32"/>
      <c r="J1970" s="33"/>
      <c r="K1970" s="34" t="str">
        <f aca="false">IF(OR(H1970="",I1970=""),"",H1970*I1970*(1-N(J1970)))</f>
        <v/>
      </c>
      <c r="L1970" s="32"/>
      <c r="M1970" s="34" t="str">
        <f aca="false">IF(OR(H1970="",L1970=""),"",H1970*L1970)</f>
        <v/>
      </c>
      <c r="N1970" s="34" t="str">
        <f aca="false">IF(OR(K1970="",M1970=""),"",K1970-M1970)</f>
        <v/>
      </c>
      <c r="O1970" s="35" t="str">
        <f aca="false">IF(OR(N1970="",K1970=""),"",IF(K1970=0,"",N1970/K1970))</f>
        <v/>
      </c>
      <c r="P1970" s="25"/>
      <c r="Q1970" s="25"/>
      <c r="R1970" s="25"/>
      <c r="S1970" s="36" t="str">
        <f aca="false">IF(A1970="","",YEAR(A1970)+IF(AND(FYStart&gt;1,MONTH(A1970)&gt;=FYStart),1,0))</f>
        <v/>
      </c>
      <c r="T1970" s="36" t="str">
        <f aca="false">IF(A1970="","",MOD(MONTH(A1970)-FYStart,12)+1)</f>
        <v/>
      </c>
      <c r="U1970" s="37" t="str">
        <f aca="false">IF(A1970="","",TEXT(A1970,"mmm"))</f>
        <v/>
      </c>
      <c r="V1970" s="37" t="str">
        <f aca="false">IF(Q1970="","",IFERROR(INDEX(Settings!$I$11:$I$15,MATCH(Q1970,Settings!$H$11:$H$15,0)),"No"))</f>
        <v/>
      </c>
      <c r="W1970" s="37" t="str">
        <f aca="false">IF(Q1970="","",IFERROR(INDEX(Settings!$J$11:$J$15,MATCH(Q1970,Settings!$H$11:$H$15,0)),"No"))</f>
        <v/>
      </c>
    </row>
    <row r="1971" customFormat="false" ht="15" hidden="false" customHeight="false" outlineLevel="0" collapsed="false">
      <c r="A1971" s="30"/>
      <c r="B1971" s="25"/>
      <c r="C1971" s="25"/>
      <c r="D1971" s="25"/>
      <c r="E1971" s="25"/>
      <c r="F1971" s="25"/>
      <c r="G1971" s="25"/>
      <c r="H1971" s="31"/>
      <c r="I1971" s="32"/>
      <c r="J1971" s="33"/>
      <c r="K1971" s="34" t="str">
        <f aca="false">IF(OR(H1971="",I1971=""),"",H1971*I1971*(1-N(J1971)))</f>
        <v/>
      </c>
      <c r="L1971" s="32"/>
      <c r="M1971" s="34" t="str">
        <f aca="false">IF(OR(H1971="",L1971=""),"",H1971*L1971)</f>
        <v/>
      </c>
      <c r="N1971" s="34" t="str">
        <f aca="false">IF(OR(K1971="",M1971=""),"",K1971-M1971)</f>
        <v/>
      </c>
      <c r="O1971" s="35" t="str">
        <f aca="false">IF(OR(N1971="",K1971=""),"",IF(K1971=0,"",N1971/K1971))</f>
        <v/>
      </c>
      <c r="P1971" s="25"/>
      <c r="Q1971" s="25"/>
      <c r="R1971" s="25"/>
      <c r="S1971" s="36" t="str">
        <f aca="false">IF(A1971="","",YEAR(A1971)+IF(AND(FYStart&gt;1,MONTH(A1971)&gt;=FYStart),1,0))</f>
        <v/>
      </c>
      <c r="T1971" s="36" t="str">
        <f aca="false">IF(A1971="","",MOD(MONTH(A1971)-FYStart,12)+1)</f>
        <v/>
      </c>
      <c r="U1971" s="37" t="str">
        <f aca="false">IF(A1971="","",TEXT(A1971,"mmm"))</f>
        <v/>
      </c>
      <c r="V1971" s="37" t="str">
        <f aca="false">IF(Q1971="","",IFERROR(INDEX(Settings!$I$11:$I$15,MATCH(Q1971,Settings!$H$11:$H$15,0)),"No"))</f>
        <v/>
      </c>
      <c r="W1971" s="37" t="str">
        <f aca="false">IF(Q1971="","",IFERROR(INDEX(Settings!$J$11:$J$15,MATCH(Q1971,Settings!$H$11:$H$15,0)),"No"))</f>
        <v/>
      </c>
    </row>
    <row r="1972" customFormat="false" ht="15" hidden="false" customHeight="false" outlineLevel="0" collapsed="false">
      <c r="A1972" s="30"/>
      <c r="B1972" s="25"/>
      <c r="C1972" s="25"/>
      <c r="D1972" s="25"/>
      <c r="E1972" s="25"/>
      <c r="F1972" s="25"/>
      <c r="G1972" s="25"/>
      <c r="H1972" s="31"/>
      <c r="I1972" s="32"/>
      <c r="J1972" s="33"/>
      <c r="K1972" s="34" t="str">
        <f aca="false">IF(OR(H1972="",I1972=""),"",H1972*I1972*(1-N(J1972)))</f>
        <v/>
      </c>
      <c r="L1972" s="32"/>
      <c r="M1972" s="34" t="str">
        <f aca="false">IF(OR(H1972="",L1972=""),"",H1972*L1972)</f>
        <v/>
      </c>
      <c r="N1972" s="34" t="str">
        <f aca="false">IF(OR(K1972="",M1972=""),"",K1972-M1972)</f>
        <v/>
      </c>
      <c r="O1972" s="35" t="str">
        <f aca="false">IF(OR(N1972="",K1972=""),"",IF(K1972=0,"",N1972/K1972))</f>
        <v/>
      </c>
      <c r="P1972" s="25"/>
      <c r="Q1972" s="25"/>
      <c r="R1972" s="25"/>
      <c r="S1972" s="36" t="str">
        <f aca="false">IF(A1972="","",YEAR(A1972)+IF(AND(FYStart&gt;1,MONTH(A1972)&gt;=FYStart),1,0))</f>
        <v/>
      </c>
      <c r="T1972" s="36" t="str">
        <f aca="false">IF(A1972="","",MOD(MONTH(A1972)-FYStart,12)+1)</f>
        <v/>
      </c>
      <c r="U1972" s="37" t="str">
        <f aca="false">IF(A1972="","",TEXT(A1972,"mmm"))</f>
        <v/>
      </c>
      <c r="V1972" s="37" t="str">
        <f aca="false">IF(Q1972="","",IFERROR(INDEX(Settings!$I$11:$I$15,MATCH(Q1972,Settings!$H$11:$H$15,0)),"No"))</f>
        <v/>
      </c>
      <c r="W1972" s="37" t="str">
        <f aca="false">IF(Q1972="","",IFERROR(INDEX(Settings!$J$11:$J$15,MATCH(Q1972,Settings!$H$11:$H$15,0)),"No"))</f>
        <v/>
      </c>
    </row>
    <row r="1973" customFormat="false" ht="15" hidden="false" customHeight="false" outlineLevel="0" collapsed="false">
      <c r="A1973" s="30"/>
      <c r="B1973" s="25"/>
      <c r="C1973" s="25"/>
      <c r="D1973" s="25"/>
      <c r="E1973" s="25"/>
      <c r="F1973" s="25"/>
      <c r="G1973" s="25"/>
      <c r="H1973" s="31"/>
      <c r="I1973" s="32"/>
      <c r="J1973" s="33"/>
      <c r="K1973" s="34" t="str">
        <f aca="false">IF(OR(H1973="",I1973=""),"",H1973*I1973*(1-N(J1973)))</f>
        <v/>
      </c>
      <c r="L1973" s="32"/>
      <c r="M1973" s="34" t="str">
        <f aca="false">IF(OR(H1973="",L1973=""),"",H1973*L1973)</f>
        <v/>
      </c>
      <c r="N1973" s="34" t="str">
        <f aca="false">IF(OR(K1973="",M1973=""),"",K1973-M1973)</f>
        <v/>
      </c>
      <c r="O1973" s="35" t="str">
        <f aca="false">IF(OR(N1973="",K1973=""),"",IF(K1973=0,"",N1973/K1973))</f>
        <v/>
      </c>
      <c r="P1973" s="25"/>
      <c r="Q1973" s="25"/>
      <c r="R1973" s="25"/>
      <c r="S1973" s="36" t="str">
        <f aca="false">IF(A1973="","",YEAR(A1973)+IF(AND(FYStart&gt;1,MONTH(A1973)&gt;=FYStart),1,0))</f>
        <v/>
      </c>
      <c r="T1973" s="36" t="str">
        <f aca="false">IF(A1973="","",MOD(MONTH(A1973)-FYStart,12)+1)</f>
        <v/>
      </c>
      <c r="U1973" s="37" t="str">
        <f aca="false">IF(A1973="","",TEXT(A1973,"mmm"))</f>
        <v/>
      </c>
      <c r="V1973" s="37" t="str">
        <f aca="false">IF(Q1973="","",IFERROR(INDEX(Settings!$I$11:$I$15,MATCH(Q1973,Settings!$H$11:$H$15,0)),"No"))</f>
        <v/>
      </c>
      <c r="W1973" s="37" t="str">
        <f aca="false">IF(Q1973="","",IFERROR(INDEX(Settings!$J$11:$J$15,MATCH(Q1973,Settings!$H$11:$H$15,0)),"No"))</f>
        <v/>
      </c>
    </row>
    <row r="1974" customFormat="false" ht="15" hidden="false" customHeight="false" outlineLevel="0" collapsed="false">
      <c r="A1974" s="30"/>
      <c r="B1974" s="25"/>
      <c r="C1974" s="25"/>
      <c r="D1974" s="25"/>
      <c r="E1974" s="25"/>
      <c r="F1974" s="25"/>
      <c r="G1974" s="25"/>
      <c r="H1974" s="31"/>
      <c r="I1974" s="32"/>
      <c r="J1974" s="33"/>
      <c r="K1974" s="34" t="str">
        <f aca="false">IF(OR(H1974="",I1974=""),"",H1974*I1974*(1-N(J1974)))</f>
        <v/>
      </c>
      <c r="L1974" s="32"/>
      <c r="M1974" s="34" t="str">
        <f aca="false">IF(OR(H1974="",L1974=""),"",H1974*L1974)</f>
        <v/>
      </c>
      <c r="N1974" s="34" t="str">
        <f aca="false">IF(OR(K1974="",M1974=""),"",K1974-M1974)</f>
        <v/>
      </c>
      <c r="O1974" s="35" t="str">
        <f aca="false">IF(OR(N1974="",K1974=""),"",IF(K1974=0,"",N1974/K1974))</f>
        <v/>
      </c>
      <c r="P1974" s="25"/>
      <c r="Q1974" s="25"/>
      <c r="R1974" s="25"/>
      <c r="S1974" s="36" t="str">
        <f aca="false">IF(A1974="","",YEAR(A1974)+IF(AND(FYStart&gt;1,MONTH(A1974)&gt;=FYStart),1,0))</f>
        <v/>
      </c>
      <c r="T1974" s="36" t="str">
        <f aca="false">IF(A1974="","",MOD(MONTH(A1974)-FYStart,12)+1)</f>
        <v/>
      </c>
      <c r="U1974" s="37" t="str">
        <f aca="false">IF(A1974="","",TEXT(A1974,"mmm"))</f>
        <v/>
      </c>
      <c r="V1974" s="37" t="str">
        <f aca="false">IF(Q1974="","",IFERROR(INDEX(Settings!$I$11:$I$15,MATCH(Q1974,Settings!$H$11:$H$15,0)),"No"))</f>
        <v/>
      </c>
      <c r="W1974" s="37" t="str">
        <f aca="false">IF(Q1974="","",IFERROR(INDEX(Settings!$J$11:$J$15,MATCH(Q1974,Settings!$H$11:$H$15,0)),"No"))</f>
        <v/>
      </c>
    </row>
    <row r="1975" customFormat="false" ht="15" hidden="false" customHeight="false" outlineLevel="0" collapsed="false">
      <c r="A1975" s="30"/>
      <c r="B1975" s="25"/>
      <c r="C1975" s="25"/>
      <c r="D1975" s="25"/>
      <c r="E1975" s="25"/>
      <c r="F1975" s="25"/>
      <c r="G1975" s="25"/>
      <c r="H1975" s="31"/>
      <c r="I1975" s="32"/>
      <c r="J1975" s="33"/>
      <c r="K1975" s="34" t="str">
        <f aca="false">IF(OR(H1975="",I1975=""),"",H1975*I1975*(1-N(J1975)))</f>
        <v/>
      </c>
      <c r="L1975" s="32"/>
      <c r="M1975" s="34" t="str">
        <f aca="false">IF(OR(H1975="",L1975=""),"",H1975*L1975)</f>
        <v/>
      </c>
      <c r="N1975" s="34" t="str">
        <f aca="false">IF(OR(K1975="",M1975=""),"",K1975-M1975)</f>
        <v/>
      </c>
      <c r="O1975" s="35" t="str">
        <f aca="false">IF(OR(N1975="",K1975=""),"",IF(K1975=0,"",N1975/K1975))</f>
        <v/>
      </c>
      <c r="P1975" s="25"/>
      <c r="Q1975" s="25"/>
      <c r="R1975" s="25"/>
      <c r="S1975" s="36" t="str">
        <f aca="false">IF(A1975="","",YEAR(A1975)+IF(AND(FYStart&gt;1,MONTH(A1975)&gt;=FYStart),1,0))</f>
        <v/>
      </c>
      <c r="T1975" s="36" t="str">
        <f aca="false">IF(A1975="","",MOD(MONTH(A1975)-FYStart,12)+1)</f>
        <v/>
      </c>
      <c r="U1975" s="37" t="str">
        <f aca="false">IF(A1975="","",TEXT(A1975,"mmm"))</f>
        <v/>
      </c>
      <c r="V1975" s="37" t="str">
        <f aca="false">IF(Q1975="","",IFERROR(INDEX(Settings!$I$11:$I$15,MATCH(Q1975,Settings!$H$11:$H$15,0)),"No"))</f>
        <v/>
      </c>
      <c r="W1975" s="37" t="str">
        <f aca="false">IF(Q1975="","",IFERROR(INDEX(Settings!$J$11:$J$15,MATCH(Q1975,Settings!$H$11:$H$15,0)),"No"))</f>
        <v/>
      </c>
    </row>
    <row r="1976" customFormat="false" ht="15" hidden="false" customHeight="false" outlineLevel="0" collapsed="false">
      <c r="A1976" s="30"/>
      <c r="B1976" s="25"/>
      <c r="C1976" s="25"/>
      <c r="D1976" s="25"/>
      <c r="E1976" s="25"/>
      <c r="F1976" s="25"/>
      <c r="G1976" s="25"/>
      <c r="H1976" s="31"/>
      <c r="I1976" s="32"/>
      <c r="J1976" s="33"/>
      <c r="K1976" s="34" t="str">
        <f aca="false">IF(OR(H1976="",I1976=""),"",H1976*I1976*(1-N(J1976)))</f>
        <v/>
      </c>
      <c r="L1976" s="32"/>
      <c r="M1976" s="34" t="str">
        <f aca="false">IF(OR(H1976="",L1976=""),"",H1976*L1976)</f>
        <v/>
      </c>
      <c r="N1976" s="34" t="str">
        <f aca="false">IF(OR(K1976="",M1976=""),"",K1976-M1976)</f>
        <v/>
      </c>
      <c r="O1976" s="35" t="str">
        <f aca="false">IF(OR(N1976="",K1976=""),"",IF(K1976=0,"",N1976/K1976))</f>
        <v/>
      </c>
      <c r="P1976" s="25"/>
      <c r="Q1976" s="25"/>
      <c r="R1976" s="25"/>
      <c r="S1976" s="36" t="str">
        <f aca="false">IF(A1976="","",YEAR(A1976)+IF(AND(FYStart&gt;1,MONTH(A1976)&gt;=FYStart),1,0))</f>
        <v/>
      </c>
      <c r="T1976" s="36" t="str">
        <f aca="false">IF(A1976="","",MOD(MONTH(A1976)-FYStart,12)+1)</f>
        <v/>
      </c>
      <c r="U1976" s="37" t="str">
        <f aca="false">IF(A1976="","",TEXT(A1976,"mmm"))</f>
        <v/>
      </c>
      <c r="V1976" s="37" t="str">
        <f aca="false">IF(Q1976="","",IFERROR(INDEX(Settings!$I$11:$I$15,MATCH(Q1976,Settings!$H$11:$H$15,0)),"No"))</f>
        <v/>
      </c>
      <c r="W1976" s="37" t="str">
        <f aca="false">IF(Q1976="","",IFERROR(INDEX(Settings!$J$11:$J$15,MATCH(Q1976,Settings!$H$11:$H$15,0)),"No"))</f>
        <v/>
      </c>
    </row>
    <row r="1977" customFormat="false" ht="15" hidden="false" customHeight="false" outlineLevel="0" collapsed="false">
      <c r="A1977" s="30"/>
      <c r="B1977" s="25"/>
      <c r="C1977" s="25"/>
      <c r="D1977" s="25"/>
      <c r="E1977" s="25"/>
      <c r="F1977" s="25"/>
      <c r="G1977" s="25"/>
      <c r="H1977" s="31"/>
      <c r="I1977" s="32"/>
      <c r="J1977" s="33"/>
      <c r="K1977" s="34" t="str">
        <f aca="false">IF(OR(H1977="",I1977=""),"",H1977*I1977*(1-N(J1977)))</f>
        <v/>
      </c>
      <c r="L1977" s="32"/>
      <c r="M1977" s="34" t="str">
        <f aca="false">IF(OR(H1977="",L1977=""),"",H1977*L1977)</f>
        <v/>
      </c>
      <c r="N1977" s="34" t="str">
        <f aca="false">IF(OR(K1977="",M1977=""),"",K1977-M1977)</f>
        <v/>
      </c>
      <c r="O1977" s="35" t="str">
        <f aca="false">IF(OR(N1977="",K1977=""),"",IF(K1977=0,"",N1977/K1977))</f>
        <v/>
      </c>
      <c r="P1977" s="25"/>
      <c r="Q1977" s="25"/>
      <c r="R1977" s="25"/>
      <c r="S1977" s="36" t="str">
        <f aca="false">IF(A1977="","",YEAR(A1977)+IF(AND(FYStart&gt;1,MONTH(A1977)&gt;=FYStart),1,0))</f>
        <v/>
      </c>
      <c r="T1977" s="36" t="str">
        <f aca="false">IF(A1977="","",MOD(MONTH(A1977)-FYStart,12)+1)</f>
        <v/>
      </c>
      <c r="U1977" s="37" t="str">
        <f aca="false">IF(A1977="","",TEXT(A1977,"mmm"))</f>
        <v/>
      </c>
      <c r="V1977" s="37" t="str">
        <f aca="false">IF(Q1977="","",IFERROR(INDEX(Settings!$I$11:$I$15,MATCH(Q1977,Settings!$H$11:$H$15,0)),"No"))</f>
        <v/>
      </c>
      <c r="W1977" s="37" t="str">
        <f aca="false">IF(Q1977="","",IFERROR(INDEX(Settings!$J$11:$J$15,MATCH(Q1977,Settings!$H$11:$H$15,0)),"No"))</f>
        <v/>
      </c>
    </row>
    <row r="1978" customFormat="false" ht="15" hidden="false" customHeight="false" outlineLevel="0" collapsed="false">
      <c r="A1978" s="30"/>
      <c r="B1978" s="25"/>
      <c r="C1978" s="25"/>
      <c r="D1978" s="25"/>
      <c r="E1978" s="25"/>
      <c r="F1978" s="25"/>
      <c r="G1978" s="25"/>
      <c r="H1978" s="31"/>
      <c r="I1978" s="32"/>
      <c r="J1978" s="33"/>
      <c r="K1978" s="34" t="str">
        <f aca="false">IF(OR(H1978="",I1978=""),"",H1978*I1978*(1-N(J1978)))</f>
        <v/>
      </c>
      <c r="L1978" s="32"/>
      <c r="M1978" s="34" t="str">
        <f aca="false">IF(OR(H1978="",L1978=""),"",H1978*L1978)</f>
        <v/>
      </c>
      <c r="N1978" s="34" t="str">
        <f aca="false">IF(OR(K1978="",M1978=""),"",K1978-M1978)</f>
        <v/>
      </c>
      <c r="O1978" s="35" t="str">
        <f aca="false">IF(OR(N1978="",K1978=""),"",IF(K1978=0,"",N1978/K1978))</f>
        <v/>
      </c>
      <c r="P1978" s="25"/>
      <c r="Q1978" s="25"/>
      <c r="R1978" s="25"/>
      <c r="S1978" s="36" t="str">
        <f aca="false">IF(A1978="","",YEAR(A1978)+IF(AND(FYStart&gt;1,MONTH(A1978)&gt;=FYStart),1,0))</f>
        <v/>
      </c>
      <c r="T1978" s="36" t="str">
        <f aca="false">IF(A1978="","",MOD(MONTH(A1978)-FYStart,12)+1)</f>
        <v/>
      </c>
      <c r="U1978" s="37" t="str">
        <f aca="false">IF(A1978="","",TEXT(A1978,"mmm"))</f>
        <v/>
      </c>
      <c r="V1978" s="37" t="str">
        <f aca="false">IF(Q1978="","",IFERROR(INDEX(Settings!$I$11:$I$15,MATCH(Q1978,Settings!$H$11:$H$15,0)),"No"))</f>
        <v/>
      </c>
      <c r="W1978" s="37" t="str">
        <f aca="false">IF(Q1978="","",IFERROR(INDEX(Settings!$J$11:$J$15,MATCH(Q1978,Settings!$H$11:$H$15,0)),"No"))</f>
        <v/>
      </c>
    </row>
    <row r="1979" customFormat="false" ht="15" hidden="false" customHeight="false" outlineLevel="0" collapsed="false">
      <c r="A1979" s="30"/>
      <c r="B1979" s="25"/>
      <c r="C1979" s="25"/>
      <c r="D1979" s="25"/>
      <c r="E1979" s="25"/>
      <c r="F1979" s="25"/>
      <c r="G1979" s="25"/>
      <c r="H1979" s="31"/>
      <c r="I1979" s="32"/>
      <c r="J1979" s="33"/>
      <c r="K1979" s="34" t="str">
        <f aca="false">IF(OR(H1979="",I1979=""),"",H1979*I1979*(1-N(J1979)))</f>
        <v/>
      </c>
      <c r="L1979" s="32"/>
      <c r="M1979" s="34" t="str">
        <f aca="false">IF(OR(H1979="",L1979=""),"",H1979*L1979)</f>
        <v/>
      </c>
      <c r="N1979" s="34" t="str">
        <f aca="false">IF(OR(K1979="",M1979=""),"",K1979-M1979)</f>
        <v/>
      </c>
      <c r="O1979" s="35" t="str">
        <f aca="false">IF(OR(N1979="",K1979=""),"",IF(K1979=0,"",N1979/K1979))</f>
        <v/>
      </c>
      <c r="P1979" s="25"/>
      <c r="Q1979" s="25"/>
      <c r="R1979" s="25"/>
      <c r="S1979" s="36" t="str">
        <f aca="false">IF(A1979="","",YEAR(A1979)+IF(AND(FYStart&gt;1,MONTH(A1979)&gt;=FYStart),1,0))</f>
        <v/>
      </c>
      <c r="T1979" s="36" t="str">
        <f aca="false">IF(A1979="","",MOD(MONTH(A1979)-FYStart,12)+1)</f>
        <v/>
      </c>
      <c r="U1979" s="37" t="str">
        <f aca="false">IF(A1979="","",TEXT(A1979,"mmm"))</f>
        <v/>
      </c>
      <c r="V1979" s="37" t="str">
        <f aca="false">IF(Q1979="","",IFERROR(INDEX(Settings!$I$11:$I$15,MATCH(Q1979,Settings!$H$11:$H$15,0)),"No"))</f>
        <v/>
      </c>
      <c r="W1979" s="37" t="str">
        <f aca="false">IF(Q1979="","",IFERROR(INDEX(Settings!$J$11:$J$15,MATCH(Q1979,Settings!$H$11:$H$15,0)),"No"))</f>
        <v/>
      </c>
    </row>
    <row r="1980" customFormat="false" ht="15" hidden="false" customHeight="false" outlineLevel="0" collapsed="false">
      <c r="A1980" s="30"/>
      <c r="B1980" s="25"/>
      <c r="C1980" s="25"/>
      <c r="D1980" s="25"/>
      <c r="E1980" s="25"/>
      <c r="F1980" s="25"/>
      <c r="G1980" s="25"/>
      <c r="H1980" s="31"/>
      <c r="I1980" s="32"/>
      <c r="J1980" s="33"/>
      <c r="K1980" s="34" t="str">
        <f aca="false">IF(OR(H1980="",I1980=""),"",H1980*I1980*(1-N(J1980)))</f>
        <v/>
      </c>
      <c r="L1980" s="32"/>
      <c r="M1980" s="34" t="str">
        <f aca="false">IF(OR(H1980="",L1980=""),"",H1980*L1980)</f>
        <v/>
      </c>
      <c r="N1980" s="34" t="str">
        <f aca="false">IF(OR(K1980="",M1980=""),"",K1980-M1980)</f>
        <v/>
      </c>
      <c r="O1980" s="35" t="str">
        <f aca="false">IF(OR(N1980="",K1980=""),"",IF(K1980=0,"",N1980/K1980))</f>
        <v/>
      </c>
      <c r="P1980" s="25"/>
      <c r="Q1980" s="25"/>
      <c r="R1980" s="25"/>
      <c r="S1980" s="36" t="str">
        <f aca="false">IF(A1980="","",YEAR(A1980)+IF(AND(FYStart&gt;1,MONTH(A1980)&gt;=FYStart),1,0))</f>
        <v/>
      </c>
      <c r="T1980" s="36" t="str">
        <f aca="false">IF(A1980="","",MOD(MONTH(A1980)-FYStart,12)+1)</f>
        <v/>
      </c>
      <c r="U1980" s="37" t="str">
        <f aca="false">IF(A1980="","",TEXT(A1980,"mmm"))</f>
        <v/>
      </c>
      <c r="V1980" s="37" t="str">
        <f aca="false">IF(Q1980="","",IFERROR(INDEX(Settings!$I$11:$I$15,MATCH(Q1980,Settings!$H$11:$H$15,0)),"No"))</f>
        <v/>
      </c>
      <c r="W1980" s="37" t="str">
        <f aca="false">IF(Q1980="","",IFERROR(INDEX(Settings!$J$11:$J$15,MATCH(Q1980,Settings!$H$11:$H$15,0)),"No"))</f>
        <v/>
      </c>
    </row>
    <row r="1981" customFormat="false" ht="15" hidden="false" customHeight="false" outlineLevel="0" collapsed="false">
      <c r="A1981" s="30"/>
      <c r="B1981" s="25"/>
      <c r="C1981" s="25"/>
      <c r="D1981" s="25"/>
      <c r="E1981" s="25"/>
      <c r="F1981" s="25"/>
      <c r="G1981" s="25"/>
      <c r="H1981" s="31"/>
      <c r="I1981" s="32"/>
      <c r="J1981" s="33"/>
      <c r="K1981" s="34" t="str">
        <f aca="false">IF(OR(H1981="",I1981=""),"",H1981*I1981*(1-N(J1981)))</f>
        <v/>
      </c>
      <c r="L1981" s="32"/>
      <c r="M1981" s="34" t="str">
        <f aca="false">IF(OR(H1981="",L1981=""),"",H1981*L1981)</f>
        <v/>
      </c>
      <c r="N1981" s="34" t="str">
        <f aca="false">IF(OR(K1981="",M1981=""),"",K1981-M1981)</f>
        <v/>
      </c>
      <c r="O1981" s="35" t="str">
        <f aca="false">IF(OR(N1981="",K1981=""),"",IF(K1981=0,"",N1981/K1981))</f>
        <v/>
      </c>
      <c r="P1981" s="25"/>
      <c r="Q1981" s="25"/>
      <c r="R1981" s="25"/>
      <c r="S1981" s="36" t="str">
        <f aca="false">IF(A1981="","",YEAR(A1981)+IF(AND(FYStart&gt;1,MONTH(A1981)&gt;=FYStart),1,0))</f>
        <v/>
      </c>
      <c r="T1981" s="36" t="str">
        <f aca="false">IF(A1981="","",MOD(MONTH(A1981)-FYStart,12)+1)</f>
        <v/>
      </c>
      <c r="U1981" s="37" t="str">
        <f aca="false">IF(A1981="","",TEXT(A1981,"mmm"))</f>
        <v/>
      </c>
      <c r="V1981" s="37" t="str">
        <f aca="false">IF(Q1981="","",IFERROR(INDEX(Settings!$I$11:$I$15,MATCH(Q1981,Settings!$H$11:$H$15,0)),"No"))</f>
        <v/>
      </c>
      <c r="W1981" s="37" t="str">
        <f aca="false">IF(Q1981="","",IFERROR(INDEX(Settings!$J$11:$J$15,MATCH(Q1981,Settings!$H$11:$H$15,0)),"No"))</f>
        <v/>
      </c>
    </row>
    <row r="1982" customFormat="false" ht="15" hidden="false" customHeight="false" outlineLevel="0" collapsed="false">
      <c r="A1982" s="30"/>
      <c r="B1982" s="25"/>
      <c r="C1982" s="25"/>
      <c r="D1982" s="25"/>
      <c r="E1982" s="25"/>
      <c r="F1982" s="25"/>
      <c r="G1982" s="25"/>
      <c r="H1982" s="31"/>
      <c r="I1982" s="32"/>
      <c r="J1982" s="33"/>
      <c r="K1982" s="34" t="str">
        <f aca="false">IF(OR(H1982="",I1982=""),"",H1982*I1982*(1-N(J1982)))</f>
        <v/>
      </c>
      <c r="L1982" s="32"/>
      <c r="M1982" s="34" t="str">
        <f aca="false">IF(OR(H1982="",L1982=""),"",H1982*L1982)</f>
        <v/>
      </c>
      <c r="N1982" s="34" t="str">
        <f aca="false">IF(OR(K1982="",M1982=""),"",K1982-M1982)</f>
        <v/>
      </c>
      <c r="O1982" s="35" t="str">
        <f aca="false">IF(OR(N1982="",K1982=""),"",IF(K1982=0,"",N1982/K1982))</f>
        <v/>
      </c>
      <c r="P1982" s="25"/>
      <c r="Q1982" s="25"/>
      <c r="R1982" s="25"/>
      <c r="S1982" s="36" t="str">
        <f aca="false">IF(A1982="","",YEAR(A1982)+IF(AND(FYStart&gt;1,MONTH(A1982)&gt;=FYStart),1,0))</f>
        <v/>
      </c>
      <c r="T1982" s="36" t="str">
        <f aca="false">IF(A1982="","",MOD(MONTH(A1982)-FYStart,12)+1)</f>
        <v/>
      </c>
      <c r="U1982" s="37" t="str">
        <f aca="false">IF(A1982="","",TEXT(A1982,"mmm"))</f>
        <v/>
      </c>
      <c r="V1982" s="37" t="str">
        <f aca="false">IF(Q1982="","",IFERROR(INDEX(Settings!$I$11:$I$15,MATCH(Q1982,Settings!$H$11:$H$15,0)),"No"))</f>
        <v/>
      </c>
      <c r="W1982" s="37" t="str">
        <f aca="false">IF(Q1982="","",IFERROR(INDEX(Settings!$J$11:$J$15,MATCH(Q1982,Settings!$H$11:$H$15,0)),"No"))</f>
        <v/>
      </c>
    </row>
    <row r="1983" customFormat="false" ht="15" hidden="false" customHeight="false" outlineLevel="0" collapsed="false">
      <c r="A1983" s="30"/>
      <c r="B1983" s="25"/>
      <c r="C1983" s="25"/>
      <c r="D1983" s="25"/>
      <c r="E1983" s="25"/>
      <c r="F1983" s="25"/>
      <c r="G1983" s="25"/>
      <c r="H1983" s="31"/>
      <c r="I1983" s="32"/>
      <c r="J1983" s="33"/>
      <c r="K1983" s="34" t="str">
        <f aca="false">IF(OR(H1983="",I1983=""),"",H1983*I1983*(1-N(J1983)))</f>
        <v/>
      </c>
      <c r="L1983" s="32"/>
      <c r="M1983" s="34" t="str">
        <f aca="false">IF(OR(H1983="",L1983=""),"",H1983*L1983)</f>
        <v/>
      </c>
      <c r="N1983" s="34" t="str">
        <f aca="false">IF(OR(K1983="",M1983=""),"",K1983-M1983)</f>
        <v/>
      </c>
      <c r="O1983" s="35" t="str">
        <f aca="false">IF(OR(N1983="",K1983=""),"",IF(K1983=0,"",N1983/K1983))</f>
        <v/>
      </c>
      <c r="P1983" s="25"/>
      <c r="Q1983" s="25"/>
      <c r="R1983" s="25"/>
      <c r="S1983" s="36" t="str">
        <f aca="false">IF(A1983="","",YEAR(A1983)+IF(AND(FYStart&gt;1,MONTH(A1983)&gt;=FYStart),1,0))</f>
        <v/>
      </c>
      <c r="T1983" s="36" t="str">
        <f aca="false">IF(A1983="","",MOD(MONTH(A1983)-FYStart,12)+1)</f>
        <v/>
      </c>
      <c r="U1983" s="37" t="str">
        <f aca="false">IF(A1983="","",TEXT(A1983,"mmm"))</f>
        <v/>
      </c>
      <c r="V1983" s="37" t="str">
        <f aca="false">IF(Q1983="","",IFERROR(INDEX(Settings!$I$11:$I$15,MATCH(Q1983,Settings!$H$11:$H$15,0)),"No"))</f>
        <v/>
      </c>
      <c r="W1983" s="37" t="str">
        <f aca="false">IF(Q1983="","",IFERROR(INDEX(Settings!$J$11:$J$15,MATCH(Q1983,Settings!$H$11:$H$15,0)),"No"))</f>
        <v/>
      </c>
    </row>
    <row r="1984" customFormat="false" ht="15" hidden="false" customHeight="false" outlineLevel="0" collapsed="false">
      <c r="A1984" s="30"/>
      <c r="B1984" s="25"/>
      <c r="C1984" s="25"/>
      <c r="D1984" s="25"/>
      <c r="E1984" s="25"/>
      <c r="F1984" s="25"/>
      <c r="G1984" s="25"/>
      <c r="H1984" s="31"/>
      <c r="I1984" s="32"/>
      <c r="J1984" s="33"/>
      <c r="K1984" s="34" t="str">
        <f aca="false">IF(OR(H1984="",I1984=""),"",H1984*I1984*(1-N(J1984)))</f>
        <v/>
      </c>
      <c r="L1984" s="32"/>
      <c r="M1984" s="34" t="str">
        <f aca="false">IF(OR(H1984="",L1984=""),"",H1984*L1984)</f>
        <v/>
      </c>
      <c r="N1984" s="34" t="str">
        <f aca="false">IF(OR(K1984="",M1984=""),"",K1984-M1984)</f>
        <v/>
      </c>
      <c r="O1984" s="35" t="str">
        <f aca="false">IF(OR(N1984="",K1984=""),"",IF(K1984=0,"",N1984/K1984))</f>
        <v/>
      </c>
      <c r="P1984" s="25"/>
      <c r="Q1984" s="25"/>
      <c r="R1984" s="25"/>
      <c r="S1984" s="36" t="str">
        <f aca="false">IF(A1984="","",YEAR(A1984)+IF(AND(FYStart&gt;1,MONTH(A1984)&gt;=FYStart),1,0))</f>
        <v/>
      </c>
      <c r="T1984" s="36" t="str">
        <f aca="false">IF(A1984="","",MOD(MONTH(A1984)-FYStart,12)+1)</f>
        <v/>
      </c>
      <c r="U1984" s="37" t="str">
        <f aca="false">IF(A1984="","",TEXT(A1984,"mmm"))</f>
        <v/>
      </c>
      <c r="V1984" s="37" t="str">
        <f aca="false">IF(Q1984="","",IFERROR(INDEX(Settings!$I$11:$I$15,MATCH(Q1984,Settings!$H$11:$H$15,0)),"No"))</f>
        <v/>
      </c>
      <c r="W1984" s="37" t="str">
        <f aca="false">IF(Q1984="","",IFERROR(INDEX(Settings!$J$11:$J$15,MATCH(Q1984,Settings!$H$11:$H$15,0)),"No"))</f>
        <v/>
      </c>
    </row>
    <row r="1985" customFormat="false" ht="15" hidden="false" customHeight="false" outlineLevel="0" collapsed="false">
      <c r="A1985" s="30"/>
      <c r="B1985" s="25"/>
      <c r="C1985" s="25"/>
      <c r="D1985" s="25"/>
      <c r="E1985" s="25"/>
      <c r="F1985" s="25"/>
      <c r="G1985" s="25"/>
      <c r="H1985" s="31"/>
      <c r="I1985" s="32"/>
      <c r="J1985" s="33"/>
      <c r="K1985" s="34" t="str">
        <f aca="false">IF(OR(H1985="",I1985=""),"",H1985*I1985*(1-N(J1985)))</f>
        <v/>
      </c>
      <c r="L1985" s="32"/>
      <c r="M1985" s="34" t="str">
        <f aca="false">IF(OR(H1985="",L1985=""),"",H1985*L1985)</f>
        <v/>
      </c>
      <c r="N1985" s="34" t="str">
        <f aca="false">IF(OR(K1985="",M1985=""),"",K1985-M1985)</f>
        <v/>
      </c>
      <c r="O1985" s="35" t="str">
        <f aca="false">IF(OR(N1985="",K1985=""),"",IF(K1985=0,"",N1985/K1985))</f>
        <v/>
      </c>
      <c r="P1985" s="25"/>
      <c r="Q1985" s="25"/>
      <c r="R1985" s="25"/>
      <c r="S1985" s="36" t="str">
        <f aca="false">IF(A1985="","",YEAR(A1985)+IF(AND(FYStart&gt;1,MONTH(A1985)&gt;=FYStart),1,0))</f>
        <v/>
      </c>
      <c r="T1985" s="36" t="str">
        <f aca="false">IF(A1985="","",MOD(MONTH(A1985)-FYStart,12)+1)</f>
        <v/>
      </c>
      <c r="U1985" s="37" t="str">
        <f aca="false">IF(A1985="","",TEXT(A1985,"mmm"))</f>
        <v/>
      </c>
      <c r="V1985" s="37" t="str">
        <f aca="false">IF(Q1985="","",IFERROR(INDEX(Settings!$I$11:$I$15,MATCH(Q1985,Settings!$H$11:$H$15,0)),"No"))</f>
        <v/>
      </c>
      <c r="W1985" s="37" t="str">
        <f aca="false">IF(Q1985="","",IFERROR(INDEX(Settings!$J$11:$J$15,MATCH(Q1985,Settings!$H$11:$H$15,0)),"No"))</f>
        <v/>
      </c>
    </row>
    <row r="1986" customFormat="false" ht="15" hidden="false" customHeight="false" outlineLevel="0" collapsed="false">
      <c r="A1986" s="30"/>
      <c r="B1986" s="25"/>
      <c r="C1986" s="25"/>
      <c r="D1986" s="25"/>
      <c r="E1986" s="25"/>
      <c r="F1986" s="25"/>
      <c r="G1986" s="25"/>
      <c r="H1986" s="31"/>
      <c r="I1986" s="32"/>
      <c r="J1986" s="33"/>
      <c r="K1986" s="34" t="str">
        <f aca="false">IF(OR(H1986="",I1986=""),"",H1986*I1986*(1-N(J1986)))</f>
        <v/>
      </c>
      <c r="L1986" s="32"/>
      <c r="M1986" s="34" t="str">
        <f aca="false">IF(OR(H1986="",L1986=""),"",H1986*L1986)</f>
        <v/>
      </c>
      <c r="N1986" s="34" t="str">
        <f aca="false">IF(OR(K1986="",M1986=""),"",K1986-M1986)</f>
        <v/>
      </c>
      <c r="O1986" s="35" t="str">
        <f aca="false">IF(OR(N1986="",K1986=""),"",IF(K1986=0,"",N1986/K1986))</f>
        <v/>
      </c>
      <c r="P1986" s="25"/>
      <c r="Q1986" s="25"/>
      <c r="R1986" s="25"/>
      <c r="S1986" s="36" t="str">
        <f aca="false">IF(A1986="","",YEAR(A1986)+IF(AND(FYStart&gt;1,MONTH(A1986)&gt;=FYStart),1,0))</f>
        <v/>
      </c>
      <c r="T1986" s="36" t="str">
        <f aca="false">IF(A1986="","",MOD(MONTH(A1986)-FYStart,12)+1)</f>
        <v/>
      </c>
      <c r="U1986" s="37" t="str">
        <f aca="false">IF(A1986="","",TEXT(A1986,"mmm"))</f>
        <v/>
      </c>
      <c r="V1986" s="37" t="str">
        <f aca="false">IF(Q1986="","",IFERROR(INDEX(Settings!$I$11:$I$15,MATCH(Q1986,Settings!$H$11:$H$15,0)),"No"))</f>
        <v/>
      </c>
      <c r="W1986" s="37" t="str">
        <f aca="false">IF(Q1986="","",IFERROR(INDEX(Settings!$J$11:$J$15,MATCH(Q1986,Settings!$H$11:$H$15,0)),"No"))</f>
        <v/>
      </c>
    </row>
    <row r="1987" customFormat="false" ht="15" hidden="false" customHeight="false" outlineLevel="0" collapsed="false">
      <c r="A1987" s="30"/>
      <c r="B1987" s="25"/>
      <c r="C1987" s="25"/>
      <c r="D1987" s="25"/>
      <c r="E1987" s="25"/>
      <c r="F1987" s="25"/>
      <c r="G1987" s="25"/>
      <c r="H1987" s="31"/>
      <c r="I1987" s="32"/>
      <c r="J1987" s="33"/>
      <c r="K1987" s="34" t="str">
        <f aca="false">IF(OR(H1987="",I1987=""),"",H1987*I1987*(1-N(J1987)))</f>
        <v/>
      </c>
      <c r="L1987" s="32"/>
      <c r="M1987" s="34" t="str">
        <f aca="false">IF(OR(H1987="",L1987=""),"",H1987*L1987)</f>
        <v/>
      </c>
      <c r="N1987" s="34" t="str">
        <f aca="false">IF(OR(K1987="",M1987=""),"",K1987-M1987)</f>
        <v/>
      </c>
      <c r="O1987" s="35" t="str">
        <f aca="false">IF(OR(N1987="",K1987=""),"",IF(K1987=0,"",N1987/K1987))</f>
        <v/>
      </c>
      <c r="P1987" s="25"/>
      <c r="Q1987" s="25"/>
      <c r="R1987" s="25"/>
      <c r="S1987" s="36" t="str">
        <f aca="false">IF(A1987="","",YEAR(A1987)+IF(AND(FYStart&gt;1,MONTH(A1987)&gt;=FYStart),1,0))</f>
        <v/>
      </c>
      <c r="T1987" s="36" t="str">
        <f aca="false">IF(A1987="","",MOD(MONTH(A1987)-FYStart,12)+1)</f>
        <v/>
      </c>
      <c r="U1987" s="37" t="str">
        <f aca="false">IF(A1987="","",TEXT(A1987,"mmm"))</f>
        <v/>
      </c>
      <c r="V1987" s="37" t="str">
        <f aca="false">IF(Q1987="","",IFERROR(INDEX(Settings!$I$11:$I$15,MATCH(Q1987,Settings!$H$11:$H$15,0)),"No"))</f>
        <v/>
      </c>
      <c r="W1987" s="37" t="str">
        <f aca="false">IF(Q1987="","",IFERROR(INDEX(Settings!$J$11:$J$15,MATCH(Q1987,Settings!$H$11:$H$15,0)),"No"))</f>
        <v/>
      </c>
    </row>
    <row r="1988" customFormat="false" ht="15" hidden="false" customHeight="false" outlineLevel="0" collapsed="false">
      <c r="A1988" s="30"/>
      <c r="B1988" s="25"/>
      <c r="C1988" s="25"/>
      <c r="D1988" s="25"/>
      <c r="E1988" s="25"/>
      <c r="F1988" s="25"/>
      <c r="G1988" s="25"/>
      <c r="H1988" s="31"/>
      <c r="I1988" s="32"/>
      <c r="J1988" s="33"/>
      <c r="K1988" s="34" t="str">
        <f aca="false">IF(OR(H1988="",I1988=""),"",H1988*I1988*(1-N(J1988)))</f>
        <v/>
      </c>
      <c r="L1988" s="32"/>
      <c r="M1988" s="34" t="str">
        <f aca="false">IF(OR(H1988="",L1988=""),"",H1988*L1988)</f>
        <v/>
      </c>
      <c r="N1988" s="34" t="str">
        <f aca="false">IF(OR(K1988="",M1988=""),"",K1988-M1988)</f>
        <v/>
      </c>
      <c r="O1988" s="35" t="str">
        <f aca="false">IF(OR(N1988="",K1988=""),"",IF(K1988=0,"",N1988/K1988))</f>
        <v/>
      </c>
      <c r="P1988" s="25"/>
      <c r="Q1988" s="25"/>
      <c r="R1988" s="25"/>
      <c r="S1988" s="36" t="str">
        <f aca="false">IF(A1988="","",YEAR(A1988)+IF(AND(FYStart&gt;1,MONTH(A1988)&gt;=FYStart),1,0))</f>
        <v/>
      </c>
      <c r="T1988" s="36" t="str">
        <f aca="false">IF(A1988="","",MOD(MONTH(A1988)-FYStart,12)+1)</f>
        <v/>
      </c>
      <c r="U1988" s="37" t="str">
        <f aca="false">IF(A1988="","",TEXT(A1988,"mmm"))</f>
        <v/>
      </c>
      <c r="V1988" s="37" t="str">
        <f aca="false">IF(Q1988="","",IFERROR(INDEX(Settings!$I$11:$I$15,MATCH(Q1988,Settings!$H$11:$H$15,0)),"No"))</f>
        <v/>
      </c>
      <c r="W1988" s="37" t="str">
        <f aca="false">IF(Q1988="","",IFERROR(INDEX(Settings!$J$11:$J$15,MATCH(Q1988,Settings!$H$11:$H$15,0)),"No"))</f>
        <v/>
      </c>
    </row>
    <row r="1989" customFormat="false" ht="15" hidden="false" customHeight="false" outlineLevel="0" collapsed="false">
      <c r="A1989" s="30"/>
      <c r="B1989" s="25"/>
      <c r="C1989" s="25"/>
      <c r="D1989" s="25"/>
      <c r="E1989" s="25"/>
      <c r="F1989" s="25"/>
      <c r="G1989" s="25"/>
      <c r="H1989" s="31"/>
      <c r="I1989" s="32"/>
      <c r="J1989" s="33"/>
      <c r="K1989" s="34" t="str">
        <f aca="false">IF(OR(H1989="",I1989=""),"",H1989*I1989*(1-N(J1989)))</f>
        <v/>
      </c>
      <c r="L1989" s="32"/>
      <c r="M1989" s="34" t="str">
        <f aca="false">IF(OR(H1989="",L1989=""),"",H1989*L1989)</f>
        <v/>
      </c>
      <c r="N1989" s="34" t="str">
        <f aca="false">IF(OR(K1989="",M1989=""),"",K1989-M1989)</f>
        <v/>
      </c>
      <c r="O1989" s="35" t="str">
        <f aca="false">IF(OR(N1989="",K1989=""),"",IF(K1989=0,"",N1989/K1989))</f>
        <v/>
      </c>
      <c r="P1989" s="25"/>
      <c r="Q1989" s="25"/>
      <c r="R1989" s="25"/>
      <c r="S1989" s="36" t="str">
        <f aca="false">IF(A1989="","",YEAR(A1989)+IF(AND(FYStart&gt;1,MONTH(A1989)&gt;=FYStart),1,0))</f>
        <v/>
      </c>
      <c r="T1989" s="36" t="str">
        <f aca="false">IF(A1989="","",MOD(MONTH(A1989)-FYStart,12)+1)</f>
        <v/>
      </c>
      <c r="U1989" s="37" t="str">
        <f aca="false">IF(A1989="","",TEXT(A1989,"mmm"))</f>
        <v/>
      </c>
      <c r="V1989" s="37" t="str">
        <f aca="false">IF(Q1989="","",IFERROR(INDEX(Settings!$I$11:$I$15,MATCH(Q1989,Settings!$H$11:$H$15,0)),"No"))</f>
        <v/>
      </c>
      <c r="W1989" s="37" t="str">
        <f aca="false">IF(Q1989="","",IFERROR(INDEX(Settings!$J$11:$J$15,MATCH(Q1989,Settings!$H$11:$H$15,0)),"No"))</f>
        <v/>
      </c>
    </row>
    <row r="1990" customFormat="false" ht="15" hidden="false" customHeight="false" outlineLevel="0" collapsed="false">
      <c r="A1990" s="30"/>
      <c r="B1990" s="25"/>
      <c r="C1990" s="25"/>
      <c r="D1990" s="25"/>
      <c r="E1990" s="25"/>
      <c r="F1990" s="25"/>
      <c r="G1990" s="25"/>
      <c r="H1990" s="31"/>
      <c r="I1990" s="32"/>
      <c r="J1990" s="33"/>
      <c r="K1990" s="34" t="str">
        <f aca="false">IF(OR(H1990="",I1990=""),"",H1990*I1990*(1-N(J1990)))</f>
        <v/>
      </c>
      <c r="L1990" s="32"/>
      <c r="M1990" s="34" t="str">
        <f aca="false">IF(OR(H1990="",L1990=""),"",H1990*L1990)</f>
        <v/>
      </c>
      <c r="N1990" s="34" t="str">
        <f aca="false">IF(OR(K1990="",M1990=""),"",K1990-M1990)</f>
        <v/>
      </c>
      <c r="O1990" s="35" t="str">
        <f aca="false">IF(OR(N1990="",K1990=""),"",IF(K1990=0,"",N1990/K1990))</f>
        <v/>
      </c>
      <c r="P1990" s="25"/>
      <c r="Q1990" s="25"/>
      <c r="R1990" s="25"/>
      <c r="S1990" s="36" t="str">
        <f aca="false">IF(A1990="","",YEAR(A1990)+IF(AND(FYStart&gt;1,MONTH(A1990)&gt;=FYStart),1,0))</f>
        <v/>
      </c>
      <c r="T1990" s="36" t="str">
        <f aca="false">IF(A1990="","",MOD(MONTH(A1990)-FYStart,12)+1)</f>
        <v/>
      </c>
      <c r="U1990" s="37" t="str">
        <f aca="false">IF(A1990="","",TEXT(A1990,"mmm"))</f>
        <v/>
      </c>
      <c r="V1990" s="37" t="str">
        <f aca="false">IF(Q1990="","",IFERROR(INDEX(Settings!$I$11:$I$15,MATCH(Q1990,Settings!$H$11:$H$15,0)),"No"))</f>
        <v/>
      </c>
      <c r="W1990" s="37" t="str">
        <f aca="false">IF(Q1990="","",IFERROR(INDEX(Settings!$J$11:$J$15,MATCH(Q1990,Settings!$H$11:$H$15,0)),"No"))</f>
        <v/>
      </c>
    </row>
    <row r="1991" customFormat="false" ht="15" hidden="false" customHeight="false" outlineLevel="0" collapsed="false">
      <c r="A1991" s="30"/>
      <c r="B1991" s="25"/>
      <c r="C1991" s="25"/>
      <c r="D1991" s="25"/>
      <c r="E1991" s="25"/>
      <c r="F1991" s="25"/>
      <c r="G1991" s="25"/>
      <c r="H1991" s="31"/>
      <c r="I1991" s="32"/>
      <c r="J1991" s="33"/>
      <c r="K1991" s="34" t="str">
        <f aca="false">IF(OR(H1991="",I1991=""),"",H1991*I1991*(1-N(J1991)))</f>
        <v/>
      </c>
      <c r="L1991" s="32"/>
      <c r="M1991" s="34" t="str">
        <f aca="false">IF(OR(H1991="",L1991=""),"",H1991*L1991)</f>
        <v/>
      </c>
      <c r="N1991" s="34" t="str">
        <f aca="false">IF(OR(K1991="",M1991=""),"",K1991-M1991)</f>
        <v/>
      </c>
      <c r="O1991" s="35" t="str">
        <f aca="false">IF(OR(N1991="",K1991=""),"",IF(K1991=0,"",N1991/K1991))</f>
        <v/>
      </c>
      <c r="P1991" s="25"/>
      <c r="Q1991" s="25"/>
      <c r="R1991" s="25"/>
      <c r="S1991" s="36" t="str">
        <f aca="false">IF(A1991="","",YEAR(A1991)+IF(AND(FYStart&gt;1,MONTH(A1991)&gt;=FYStart),1,0))</f>
        <v/>
      </c>
      <c r="T1991" s="36" t="str">
        <f aca="false">IF(A1991="","",MOD(MONTH(A1991)-FYStart,12)+1)</f>
        <v/>
      </c>
      <c r="U1991" s="37" t="str">
        <f aca="false">IF(A1991="","",TEXT(A1991,"mmm"))</f>
        <v/>
      </c>
      <c r="V1991" s="37" t="str">
        <f aca="false">IF(Q1991="","",IFERROR(INDEX(Settings!$I$11:$I$15,MATCH(Q1991,Settings!$H$11:$H$15,0)),"No"))</f>
        <v/>
      </c>
      <c r="W1991" s="37" t="str">
        <f aca="false">IF(Q1991="","",IFERROR(INDEX(Settings!$J$11:$J$15,MATCH(Q1991,Settings!$H$11:$H$15,0)),"No"))</f>
        <v/>
      </c>
    </row>
    <row r="1992" customFormat="false" ht="15" hidden="false" customHeight="false" outlineLevel="0" collapsed="false">
      <c r="A1992" s="30"/>
      <c r="B1992" s="25"/>
      <c r="C1992" s="25"/>
      <c r="D1992" s="25"/>
      <c r="E1992" s="25"/>
      <c r="F1992" s="25"/>
      <c r="G1992" s="25"/>
      <c r="H1992" s="31"/>
      <c r="I1992" s="32"/>
      <c r="J1992" s="33"/>
      <c r="K1992" s="34" t="str">
        <f aca="false">IF(OR(H1992="",I1992=""),"",H1992*I1992*(1-N(J1992)))</f>
        <v/>
      </c>
      <c r="L1992" s="32"/>
      <c r="M1992" s="34" t="str">
        <f aca="false">IF(OR(H1992="",L1992=""),"",H1992*L1992)</f>
        <v/>
      </c>
      <c r="N1992" s="34" t="str">
        <f aca="false">IF(OR(K1992="",M1992=""),"",K1992-M1992)</f>
        <v/>
      </c>
      <c r="O1992" s="35" t="str">
        <f aca="false">IF(OR(N1992="",K1992=""),"",IF(K1992=0,"",N1992/K1992))</f>
        <v/>
      </c>
      <c r="P1992" s="25"/>
      <c r="Q1992" s="25"/>
      <c r="R1992" s="25"/>
      <c r="S1992" s="36" t="str">
        <f aca="false">IF(A1992="","",YEAR(A1992)+IF(AND(FYStart&gt;1,MONTH(A1992)&gt;=FYStart),1,0))</f>
        <v/>
      </c>
      <c r="T1992" s="36" t="str">
        <f aca="false">IF(A1992="","",MOD(MONTH(A1992)-FYStart,12)+1)</f>
        <v/>
      </c>
      <c r="U1992" s="37" t="str">
        <f aca="false">IF(A1992="","",TEXT(A1992,"mmm"))</f>
        <v/>
      </c>
      <c r="V1992" s="37" t="str">
        <f aca="false">IF(Q1992="","",IFERROR(INDEX(Settings!$I$11:$I$15,MATCH(Q1992,Settings!$H$11:$H$15,0)),"No"))</f>
        <v/>
      </c>
      <c r="W1992" s="37" t="str">
        <f aca="false">IF(Q1992="","",IFERROR(INDEX(Settings!$J$11:$J$15,MATCH(Q1992,Settings!$H$11:$H$15,0)),"No"))</f>
        <v/>
      </c>
    </row>
    <row r="1993" customFormat="false" ht="15" hidden="false" customHeight="false" outlineLevel="0" collapsed="false">
      <c r="A1993" s="30"/>
      <c r="B1993" s="25"/>
      <c r="C1993" s="25"/>
      <c r="D1993" s="25"/>
      <c r="E1993" s="25"/>
      <c r="F1993" s="25"/>
      <c r="G1993" s="25"/>
      <c r="H1993" s="31"/>
      <c r="I1993" s="32"/>
      <c r="J1993" s="33"/>
      <c r="K1993" s="34" t="str">
        <f aca="false">IF(OR(H1993="",I1993=""),"",H1993*I1993*(1-N(J1993)))</f>
        <v/>
      </c>
      <c r="L1993" s="32"/>
      <c r="M1993" s="34" t="str">
        <f aca="false">IF(OR(H1993="",L1993=""),"",H1993*L1993)</f>
        <v/>
      </c>
      <c r="N1993" s="34" t="str">
        <f aca="false">IF(OR(K1993="",M1993=""),"",K1993-M1993)</f>
        <v/>
      </c>
      <c r="O1993" s="35" t="str">
        <f aca="false">IF(OR(N1993="",K1993=""),"",IF(K1993=0,"",N1993/K1993))</f>
        <v/>
      </c>
      <c r="P1993" s="25"/>
      <c r="Q1993" s="25"/>
      <c r="R1993" s="25"/>
      <c r="S1993" s="36" t="str">
        <f aca="false">IF(A1993="","",YEAR(A1993)+IF(AND(FYStart&gt;1,MONTH(A1993)&gt;=FYStart),1,0))</f>
        <v/>
      </c>
      <c r="T1993" s="36" t="str">
        <f aca="false">IF(A1993="","",MOD(MONTH(A1993)-FYStart,12)+1)</f>
        <v/>
      </c>
      <c r="U1993" s="37" t="str">
        <f aca="false">IF(A1993="","",TEXT(A1993,"mmm"))</f>
        <v/>
      </c>
      <c r="V1993" s="37" t="str">
        <f aca="false">IF(Q1993="","",IFERROR(INDEX(Settings!$I$11:$I$15,MATCH(Q1993,Settings!$H$11:$H$15,0)),"No"))</f>
        <v/>
      </c>
      <c r="W1993" s="37" t="str">
        <f aca="false">IF(Q1993="","",IFERROR(INDEX(Settings!$J$11:$J$15,MATCH(Q1993,Settings!$H$11:$H$15,0)),"No"))</f>
        <v/>
      </c>
    </row>
    <row r="1994" customFormat="false" ht="15" hidden="false" customHeight="false" outlineLevel="0" collapsed="false">
      <c r="A1994" s="30"/>
      <c r="B1994" s="25"/>
      <c r="C1994" s="25"/>
      <c r="D1994" s="25"/>
      <c r="E1994" s="25"/>
      <c r="F1994" s="25"/>
      <c r="G1994" s="25"/>
      <c r="H1994" s="31"/>
      <c r="I1994" s="32"/>
      <c r="J1994" s="33"/>
      <c r="K1994" s="34" t="str">
        <f aca="false">IF(OR(H1994="",I1994=""),"",H1994*I1994*(1-N(J1994)))</f>
        <v/>
      </c>
      <c r="L1994" s="32"/>
      <c r="M1994" s="34" t="str">
        <f aca="false">IF(OR(H1994="",L1994=""),"",H1994*L1994)</f>
        <v/>
      </c>
      <c r="N1994" s="34" t="str">
        <f aca="false">IF(OR(K1994="",M1994=""),"",K1994-M1994)</f>
        <v/>
      </c>
      <c r="O1994" s="35" t="str">
        <f aca="false">IF(OR(N1994="",K1994=""),"",IF(K1994=0,"",N1994/K1994))</f>
        <v/>
      </c>
      <c r="P1994" s="25"/>
      <c r="Q1994" s="25"/>
      <c r="R1994" s="25"/>
      <c r="S1994" s="36" t="str">
        <f aca="false">IF(A1994="","",YEAR(A1994)+IF(AND(FYStart&gt;1,MONTH(A1994)&gt;=FYStart),1,0))</f>
        <v/>
      </c>
      <c r="T1994" s="36" t="str">
        <f aca="false">IF(A1994="","",MOD(MONTH(A1994)-FYStart,12)+1)</f>
        <v/>
      </c>
      <c r="U1994" s="37" t="str">
        <f aca="false">IF(A1994="","",TEXT(A1994,"mmm"))</f>
        <v/>
      </c>
      <c r="V1994" s="37" t="str">
        <f aca="false">IF(Q1994="","",IFERROR(INDEX(Settings!$I$11:$I$15,MATCH(Q1994,Settings!$H$11:$H$15,0)),"No"))</f>
        <v/>
      </c>
      <c r="W1994" s="37" t="str">
        <f aca="false">IF(Q1994="","",IFERROR(INDEX(Settings!$J$11:$J$15,MATCH(Q1994,Settings!$H$11:$H$15,0)),"No"))</f>
        <v/>
      </c>
    </row>
    <row r="1995" customFormat="false" ht="15" hidden="false" customHeight="false" outlineLevel="0" collapsed="false">
      <c r="A1995" s="30"/>
      <c r="B1995" s="25"/>
      <c r="C1995" s="25"/>
      <c r="D1995" s="25"/>
      <c r="E1995" s="25"/>
      <c r="F1995" s="25"/>
      <c r="G1995" s="25"/>
      <c r="H1995" s="31"/>
      <c r="I1995" s="32"/>
      <c r="J1995" s="33"/>
      <c r="K1995" s="34" t="str">
        <f aca="false">IF(OR(H1995="",I1995=""),"",H1995*I1995*(1-N(J1995)))</f>
        <v/>
      </c>
      <c r="L1995" s="32"/>
      <c r="M1995" s="34" t="str">
        <f aca="false">IF(OR(H1995="",L1995=""),"",H1995*L1995)</f>
        <v/>
      </c>
      <c r="N1995" s="34" t="str">
        <f aca="false">IF(OR(K1995="",M1995=""),"",K1995-M1995)</f>
        <v/>
      </c>
      <c r="O1995" s="35" t="str">
        <f aca="false">IF(OR(N1995="",K1995=""),"",IF(K1995=0,"",N1995/K1995))</f>
        <v/>
      </c>
      <c r="P1995" s="25"/>
      <c r="Q1995" s="25"/>
      <c r="R1995" s="25"/>
      <c r="S1995" s="36" t="str">
        <f aca="false">IF(A1995="","",YEAR(A1995)+IF(AND(FYStart&gt;1,MONTH(A1995)&gt;=FYStart),1,0))</f>
        <v/>
      </c>
      <c r="T1995" s="36" t="str">
        <f aca="false">IF(A1995="","",MOD(MONTH(A1995)-FYStart,12)+1)</f>
        <v/>
      </c>
      <c r="U1995" s="37" t="str">
        <f aca="false">IF(A1995="","",TEXT(A1995,"mmm"))</f>
        <v/>
      </c>
      <c r="V1995" s="37" t="str">
        <f aca="false">IF(Q1995="","",IFERROR(INDEX(Settings!$I$11:$I$15,MATCH(Q1995,Settings!$H$11:$H$15,0)),"No"))</f>
        <v/>
      </c>
      <c r="W1995" s="37" t="str">
        <f aca="false">IF(Q1995="","",IFERROR(INDEX(Settings!$J$11:$J$15,MATCH(Q1995,Settings!$H$11:$H$15,0)),"No"))</f>
        <v/>
      </c>
    </row>
    <row r="1996" customFormat="false" ht="15" hidden="false" customHeight="false" outlineLevel="0" collapsed="false">
      <c r="A1996" s="30"/>
      <c r="B1996" s="25"/>
      <c r="C1996" s="25"/>
      <c r="D1996" s="25"/>
      <c r="E1996" s="25"/>
      <c r="F1996" s="25"/>
      <c r="G1996" s="25"/>
      <c r="H1996" s="31"/>
      <c r="I1996" s="32"/>
      <c r="J1996" s="33"/>
      <c r="K1996" s="34" t="str">
        <f aca="false">IF(OR(H1996="",I1996=""),"",H1996*I1996*(1-N(J1996)))</f>
        <v/>
      </c>
      <c r="L1996" s="32"/>
      <c r="M1996" s="34" t="str">
        <f aca="false">IF(OR(H1996="",L1996=""),"",H1996*L1996)</f>
        <v/>
      </c>
      <c r="N1996" s="34" t="str">
        <f aca="false">IF(OR(K1996="",M1996=""),"",K1996-M1996)</f>
        <v/>
      </c>
      <c r="O1996" s="35" t="str">
        <f aca="false">IF(OR(N1996="",K1996=""),"",IF(K1996=0,"",N1996/K1996))</f>
        <v/>
      </c>
      <c r="P1996" s="25"/>
      <c r="Q1996" s="25"/>
      <c r="R1996" s="25"/>
      <c r="S1996" s="36" t="str">
        <f aca="false">IF(A1996="","",YEAR(A1996)+IF(AND(FYStart&gt;1,MONTH(A1996)&gt;=FYStart),1,0))</f>
        <v/>
      </c>
      <c r="T1996" s="36" t="str">
        <f aca="false">IF(A1996="","",MOD(MONTH(A1996)-FYStart,12)+1)</f>
        <v/>
      </c>
      <c r="U1996" s="37" t="str">
        <f aca="false">IF(A1996="","",TEXT(A1996,"mmm"))</f>
        <v/>
      </c>
      <c r="V1996" s="37" t="str">
        <f aca="false">IF(Q1996="","",IFERROR(INDEX(Settings!$I$11:$I$15,MATCH(Q1996,Settings!$H$11:$H$15,0)),"No"))</f>
        <v/>
      </c>
      <c r="W1996" s="37" t="str">
        <f aca="false">IF(Q1996="","",IFERROR(INDEX(Settings!$J$11:$J$15,MATCH(Q1996,Settings!$H$11:$H$15,0)),"No"))</f>
        <v/>
      </c>
    </row>
    <row r="1997" customFormat="false" ht="15" hidden="false" customHeight="false" outlineLevel="0" collapsed="false">
      <c r="A1997" s="30"/>
      <c r="B1997" s="25"/>
      <c r="C1997" s="25"/>
      <c r="D1997" s="25"/>
      <c r="E1997" s="25"/>
      <c r="F1997" s="25"/>
      <c r="G1997" s="25"/>
      <c r="H1997" s="31"/>
      <c r="I1997" s="32"/>
      <c r="J1997" s="33"/>
      <c r="K1997" s="34" t="str">
        <f aca="false">IF(OR(H1997="",I1997=""),"",H1997*I1997*(1-N(J1997)))</f>
        <v/>
      </c>
      <c r="L1997" s="32"/>
      <c r="M1997" s="34" t="str">
        <f aca="false">IF(OR(H1997="",L1997=""),"",H1997*L1997)</f>
        <v/>
      </c>
      <c r="N1997" s="34" t="str">
        <f aca="false">IF(OR(K1997="",M1997=""),"",K1997-M1997)</f>
        <v/>
      </c>
      <c r="O1997" s="35" t="str">
        <f aca="false">IF(OR(N1997="",K1997=""),"",IF(K1997=0,"",N1997/K1997))</f>
        <v/>
      </c>
      <c r="P1997" s="25"/>
      <c r="Q1997" s="25"/>
      <c r="R1997" s="25"/>
      <c r="S1997" s="36" t="str">
        <f aca="false">IF(A1997="","",YEAR(A1997)+IF(AND(FYStart&gt;1,MONTH(A1997)&gt;=FYStart),1,0))</f>
        <v/>
      </c>
      <c r="T1997" s="36" t="str">
        <f aca="false">IF(A1997="","",MOD(MONTH(A1997)-FYStart,12)+1)</f>
        <v/>
      </c>
      <c r="U1997" s="37" t="str">
        <f aca="false">IF(A1997="","",TEXT(A1997,"mmm"))</f>
        <v/>
      </c>
      <c r="V1997" s="37" t="str">
        <f aca="false">IF(Q1997="","",IFERROR(INDEX(Settings!$I$11:$I$15,MATCH(Q1997,Settings!$H$11:$H$15,0)),"No"))</f>
        <v/>
      </c>
      <c r="W1997" s="37" t="str">
        <f aca="false">IF(Q1997="","",IFERROR(INDEX(Settings!$J$11:$J$15,MATCH(Q1997,Settings!$H$11:$H$15,0)),"No"))</f>
        <v/>
      </c>
    </row>
    <row r="1998" customFormat="false" ht="15" hidden="false" customHeight="false" outlineLevel="0" collapsed="false">
      <c r="A1998" s="30"/>
      <c r="B1998" s="25"/>
      <c r="C1998" s="25"/>
      <c r="D1998" s="25"/>
      <c r="E1998" s="25"/>
      <c r="F1998" s="25"/>
      <c r="G1998" s="25"/>
      <c r="H1998" s="31"/>
      <c r="I1998" s="32"/>
      <c r="J1998" s="33"/>
      <c r="K1998" s="34" t="str">
        <f aca="false">IF(OR(H1998="",I1998=""),"",H1998*I1998*(1-N(J1998)))</f>
        <v/>
      </c>
      <c r="L1998" s="32"/>
      <c r="M1998" s="34" t="str">
        <f aca="false">IF(OR(H1998="",L1998=""),"",H1998*L1998)</f>
        <v/>
      </c>
      <c r="N1998" s="34" t="str">
        <f aca="false">IF(OR(K1998="",M1998=""),"",K1998-M1998)</f>
        <v/>
      </c>
      <c r="O1998" s="35" t="str">
        <f aca="false">IF(OR(N1998="",K1998=""),"",IF(K1998=0,"",N1998/K1998))</f>
        <v/>
      </c>
      <c r="P1998" s="25"/>
      <c r="Q1998" s="25"/>
      <c r="R1998" s="25"/>
      <c r="S1998" s="36" t="str">
        <f aca="false">IF(A1998="","",YEAR(A1998)+IF(AND(FYStart&gt;1,MONTH(A1998)&gt;=FYStart),1,0))</f>
        <v/>
      </c>
      <c r="T1998" s="36" t="str">
        <f aca="false">IF(A1998="","",MOD(MONTH(A1998)-FYStart,12)+1)</f>
        <v/>
      </c>
      <c r="U1998" s="37" t="str">
        <f aca="false">IF(A1998="","",TEXT(A1998,"mmm"))</f>
        <v/>
      </c>
      <c r="V1998" s="37" t="str">
        <f aca="false">IF(Q1998="","",IFERROR(INDEX(Settings!$I$11:$I$15,MATCH(Q1998,Settings!$H$11:$H$15,0)),"No"))</f>
        <v/>
      </c>
      <c r="W1998" s="37" t="str">
        <f aca="false">IF(Q1998="","",IFERROR(INDEX(Settings!$J$11:$J$15,MATCH(Q1998,Settings!$H$11:$H$15,0)),"No"))</f>
        <v/>
      </c>
    </row>
    <row r="1999" customFormat="false" ht="15" hidden="false" customHeight="false" outlineLevel="0" collapsed="false">
      <c r="A1999" s="30"/>
      <c r="B1999" s="25"/>
      <c r="C1999" s="25"/>
      <c r="D1999" s="25"/>
      <c r="E1999" s="25"/>
      <c r="F1999" s="25"/>
      <c r="G1999" s="25"/>
      <c r="H1999" s="31"/>
      <c r="I1999" s="32"/>
      <c r="J1999" s="33"/>
      <c r="K1999" s="34" t="str">
        <f aca="false">IF(OR(H1999="",I1999=""),"",H1999*I1999*(1-N(J1999)))</f>
        <v/>
      </c>
      <c r="L1999" s="32"/>
      <c r="M1999" s="34" t="str">
        <f aca="false">IF(OR(H1999="",L1999=""),"",H1999*L1999)</f>
        <v/>
      </c>
      <c r="N1999" s="34" t="str">
        <f aca="false">IF(OR(K1999="",M1999=""),"",K1999-M1999)</f>
        <v/>
      </c>
      <c r="O1999" s="35" t="str">
        <f aca="false">IF(OR(N1999="",K1999=""),"",IF(K1999=0,"",N1999/K1999))</f>
        <v/>
      </c>
      <c r="P1999" s="25"/>
      <c r="Q1999" s="25"/>
      <c r="R1999" s="25"/>
      <c r="S1999" s="36" t="str">
        <f aca="false">IF(A1999="","",YEAR(A1999)+IF(AND(FYStart&gt;1,MONTH(A1999)&gt;=FYStart),1,0))</f>
        <v/>
      </c>
      <c r="T1999" s="36" t="str">
        <f aca="false">IF(A1999="","",MOD(MONTH(A1999)-FYStart,12)+1)</f>
        <v/>
      </c>
      <c r="U1999" s="37" t="str">
        <f aca="false">IF(A1999="","",TEXT(A1999,"mmm"))</f>
        <v/>
      </c>
      <c r="V1999" s="37" t="str">
        <f aca="false">IF(Q1999="","",IFERROR(INDEX(Settings!$I$11:$I$15,MATCH(Q1999,Settings!$H$11:$H$15,0)),"No"))</f>
        <v/>
      </c>
      <c r="W1999" s="37" t="str">
        <f aca="false">IF(Q1999="","",IFERROR(INDEX(Settings!$J$11:$J$15,MATCH(Q1999,Settings!$H$11:$H$15,0)),"No"))</f>
        <v/>
      </c>
    </row>
    <row r="2000" customFormat="false" ht="15" hidden="false" customHeight="false" outlineLevel="0" collapsed="false">
      <c r="A2000" s="30"/>
      <c r="B2000" s="25"/>
      <c r="C2000" s="25"/>
      <c r="D2000" s="25"/>
      <c r="E2000" s="25"/>
      <c r="F2000" s="25"/>
      <c r="G2000" s="25"/>
      <c r="H2000" s="31"/>
      <c r="I2000" s="32"/>
      <c r="J2000" s="33"/>
      <c r="K2000" s="34" t="str">
        <f aca="false">IF(OR(H2000="",I2000=""),"",H2000*I2000*(1-N(J2000)))</f>
        <v/>
      </c>
      <c r="L2000" s="32"/>
      <c r="M2000" s="34" t="str">
        <f aca="false">IF(OR(H2000="",L2000=""),"",H2000*L2000)</f>
        <v/>
      </c>
      <c r="N2000" s="34" t="str">
        <f aca="false">IF(OR(K2000="",M2000=""),"",K2000-M2000)</f>
        <v/>
      </c>
      <c r="O2000" s="35" t="str">
        <f aca="false">IF(OR(N2000="",K2000=""),"",IF(K2000=0,"",N2000/K2000))</f>
        <v/>
      </c>
      <c r="P2000" s="25"/>
      <c r="Q2000" s="25"/>
      <c r="R2000" s="25"/>
      <c r="S2000" s="36" t="str">
        <f aca="false">IF(A2000="","",YEAR(A2000)+IF(AND(FYStart&gt;1,MONTH(A2000)&gt;=FYStart),1,0))</f>
        <v/>
      </c>
      <c r="T2000" s="36" t="str">
        <f aca="false">IF(A2000="","",MOD(MONTH(A2000)-FYStart,12)+1)</f>
        <v/>
      </c>
      <c r="U2000" s="37" t="str">
        <f aca="false">IF(A2000="","",TEXT(A2000,"mmm"))</f>
        <v/>
      </c>
      <c r="V2000" s="37" t="str">
        <f aca="false">IF(Q2000="","",IFERROR(INDEX(Settings!$I$11:$I$15,MATCH(Q2000,Settings!$H$11:$H$15,0)),"No"))</f>
        <v/>
      </c>
      <c r="W2000" s="37" t="str">
        <f aca="false">IF(Q2000="","",IFERROR(INDEX(Settings!$J$11:$J$15,MATCH(Q2000,Settings!$H$11:$H$15,0)),"No"))</f>
        <v/>
      </c>
    </row>
    <row r="2001" customFormat="false" ht="15" hidden="false" customHeight="false" outlineLevel="0" collapsed="false">
      <c r="A2001" s="30"/>
      <c r="B2001" s="25"/>
      <c r="C2001" s="25"/>
      <c r="D2001" s="25"/>
      <c r="E2001" s="25"/>
      <c r="F2001" s="25"/>
      <c r="G2001" s="25"/>
      <c r="H2001" s="31"/>
      <c r="I2001" s="32"/>
      <c r="J2001" s="33"/>
      <c r="K2001" s="34" t="str">
        <f aca="false">IF(OR(H2001="",I2001=""),"",H2001*I2001*(1-N(J2001)))</f>
        <v/>
      </c>
      <c r="L2001" s="32"/>
      <c r="M2001" s="34" t="str">
        <f aca="false">IF(OR(H2001="",L2001=""),"",H2001*L2001)</f>
        <v/>
      </c>
      <c r="N2001" s="34" t="str">
        <f aca="false">IF(OR(K2001="",M2001=""),"",K2001-M2001)</f>
        <v/>
      </c>
      <c r="O2001" s="35" t="str">
        <f aca="false">IF(OR(N2001="",K2001=""),"",IF(K2001=0,"",N2001/K2001))</f>
        <v/>
      </c>
      <c r="P2001" s="25"/>
      <c r="Q2001" s="25"/>
      <c r="R2001" s="25"/>
      <c r="S2001" s="36" t="str">
        <f aca="false">IF(A2001="","",YEAR(A2001)+IF(AND(FYStart&gt;1,MONTH(A2001)&gt;=FYStart),1,0))</f>
        <v/>
      </c>
      <c r="T2001" s="36" t="str">
        <f aca="false">IF(A2001="","",MOD(MONTH(A2001)-FYStart,12)+1)</f>
        <v/>
      </c>
      <c r="U2001" s="37" t="str">
        <f aca="false">IF(A2001="","",TEXT(A2001,"mmm"))</f>
        <v/>
      </c>
      <c r="V2001" s="37" t="str">
        <f aca="false">IF(Q2001="","",IFERROR(INDEX(Settings!$I$11:$I$15,MATCH(Q2001,Settings!$H$11:$H$15,0)),"No"))</f>
        <v/>
      </c>
      <c r="W2001" s="37" t="str">
        <f aca="false">IF(Q2001="","",IFERROR(INDEX(Settings!$J$11:$J$15,MATCH(Q2001,Settings!$H$11:$H$15,0)),"No"))</f>
        <v/>
      </c>
    </row>
    <row r="2002" customFormat="false" ht="15" hidden="false" customHeight="false" outlineLevel="0" collapsed="false">
      <c r="A2002" s="30"/>
      <c r="B2002" s="25"/>
      <c r="C2002" s="25"/>
      <c r="D2002" s="25"/>
      <c r="E2002" s="25"/>
      <c r="F2002" s="25"/>
      <c r="G2002" s="25"/>
      <c r="H2002" s="31"/>
      <c r="I2002" s="32"/>
      <c r="J2002" s="33"/>
      <c r="K2002" s="34" t="str">
        <f aca="false">IF(OR(H2002="",I2002=""),"",H2002*I2002*(1-N(J2002)))</f>
        <v/>
      </c>
      <c r="L2002" s="32"/>
      <c r="M2002" s="34" t="str">
        <f aca="false">IF(OR(H2002="",L2002=""),"",H2002*L2002)</f>
        <v/>
      </c>
      <c r="N2002" s="34" t="str">
        <f aca="false">IF(OR(K2002="",M2002=""),"",K2002-M2002)</f>
        <v/>
      </c>
      <c r="O2002" s="35" t="str">
        <f aca="false">IF(OR(N2002="",K2002=""),"",IF(K2002=0,"",N2002/K2002))</f>
        <v/>
      </c>
      <c r="P2002" s="25"/>
      <c r="Q2002" s="25"/>
      <c r="R2002" s="25"/>
      <c r="S2002" s="36" t="str">
        <f aca="false">IF(A2002="","",YEAR(A2002)+IF(AND(FYStart&gt;1,MONTH(A2002)&gt;=FYStart),1,0))</f>
        <v/>
      </c>
      <c r="T2002" s="36" t="str">
        <f aca="false">IF(A2002="","",MOD(MONTH(A2002)-FYStart,12)+1)</f>
        <v/>
      </c>
      <c r="U2002" s="37" t="str">
        <f aca="false">IF(A2002="","",TEXT(A2002,"mmm"))</f>
        <v/>
      </c>
      <c r="V2002" s="37" t="str">
        <f aca="false">IF(Q2002="","",IFERROR(INDEX(Settings!$I$11:$I$15,MATCH(Q2002,Settings!$H$11:$H$15,0)),"No"))</f>
        <v/>
      </c>
      <c r="W2002" s="37" t="str">
        <f aca="false">IF(Q2002="","",IFERROR(INDEX(Settings!$J$11:$J$15,MATCH(Q2002,Settings!$H$11:$H$15,0)),"No"))</f>
        <v/>
      </c>
    </row>
    <row r="2003" customFormat="false" ht="15" hidden="false" customHeight="false" outlineLevel="0" collapsed="false">
      <c r="A2003" s="30"/>
      <c r="B2003" s="25"/>
      <c r="C2003" s="25"/>
      <c r="D2003" s="25"/>
      <c r="E2003" s="25"/>
      <c r="F2003" s="25"/>
      <c r="G2003" s="25"/>
      <c r="H2003" s="31"/>
      <c r="I2003" s="32"/>
      <c r="J2003" s="33"/>
      <c r="K2003" s="34" t="str">
        <f aca="false">IF(OR(H2003="",I2003=""),"",H2003*I2003*(1-N(J2003)))</f>
        <v/>
      </c>
      <c r="L2003" s="32"/>
      <c r="M2003" s="34" t="str">
        <f aca="false">IF(OR(H2003="",L2003=""),"",H2003*L2003)</f>
        <v/>
      </c>
      <c r="N2003" s="34" t="str">
        <f aca="false">IF(OR(K2003="",M2003=""),"",K2003-M2003)</f>
        <v/>
      </c>
      <c r="O2003" s="35" t="str">
        <f aca="false">IF(OR(N2003="",K2003=""),"",IF(K2003=0,"",N2003/K2003))</f>
        <v/>
      </c>
      <c r="P2003" s="25"/>
      <c r="Q2003" s="25"/>
      <c r="R2003" s="25"/>
      <c r="S2003" s="36" t="str">
        <f aca="false">IF(A2003="","",YEAR(A2003)+IF(AND(FYStart&gt;1,MONTH(A2003)&gt;=FYStart),1,0))</f>
        <v/>
      </c>
      <c r="T2003" s="36" t="str">
        <f aca="false">IF(A2003="","",MOD(MONTH(A2003)-FYStart,12)+1)</f>
        <v/>
      </c>
      <c r="U2003" s="37" t="str">
        <f aca="false">IF(A2003="","",TEXT(A2003,"mmm"))</f>
        <v/>
      </c>
      <c r="V2003" s="37" t="str">
        <f aca="false">IF(Q2003="","",IFERROR(INDEX(Settings!$I$11:$I$15,MATCH(Q2003,Settings!$H$11:$H$15,0)),"No"))</f>
        <v/>
      </c>
      <c r="W2003" s="37" t="str">
        <f aca="false">IF(Q2003="","",IFERROR(INDEX(Settings!$J$11:$J$15,MATCH(Q2003,Settings!$H$11:$H$15,0)),"No"))</f>
        <v/>
      </c>
    </row>
    <row r="2004" customFormat="false" ht="15" hidden="false" customHeight="false" outlineLevel="0" collapsed="false">
      <c r="A2004" s="30"/>
      <c r="B2004" s="25"/>
      <c r="C2004" s="25"/>
      <c r="D2004" s="25"/>
      <c r="E2004" s="25"/>
      <c r="F2004" s="25"/>
      <c r="G2004" s="25"/>
      <c r="H2004" s="31"/>
      <c r="I2004" s="32"/>
      <c r="J2004" s="33"/>
      <c r="K2004" s="34" t="str">
        <f aca="false">IF(OR(H2004="",I2004=""),"",H2004*I2004*(1-N(J2004)))</f>
        <v/>
      </c>
      <c r="L2004" s="32"/>
      <c r="M2004" s="34" t="str">
        <f aca="false">IF(OR(H2004="",L2004=""),"",H2004*L2004)</f>
        <v/>
      </c>
      <c r="N2004" s="34" t="str">
        <f aca="false">IF(OR(K2004="",M2004=""),"",K2004-M2004)</f>
        <v/>
      </c>
      <c r="O2004" s="35" t="str">
        <f aca="false">IF(OR(N2004="",K2004=""),"",IF(K2004=0,"",N2004/K2004))</f>
        <v/>
      </c>
      <c r="P2004" s="25"/>
      <c r="Q2004" s="25"/>
      <c r="R2004" s="25"/>
      <c r="S2004" s="36" t="str">
        <f aca="false">IF(A2004="","",YEAR(A2004)+IF(AND(FYStart&gt;1,MONTH(A2004)&gt;=FYStart),1,0))</f>
        <v/>
      </c>
      <c r="T2004" s="36" t="str">
        <f aca="false">IF(A2004="","",MOD(MONTH(A2004)-FYStart,12)+1)</f>
        <v/>
      </c>
      <c r="U2004" s="37" t="str">
        <f aca="false">IF(A2004="","",TEXT(A2004,"mmm"))</f>
        <v/>
      </c>
      <c r="V2004" s="37" t="str">
        <f aca="false">IF(Q2004="","",IFERROR(INDEX(Settings!$I$11:$I$15,MATCH(Q2004,Settings!$H$11:$H$15,0)),"No"))</f>
        <v/>
      </c>
      <c r="W2004" s="37" t="str">
        <f aca="false">IF(Q2004="","",IFERROR(INDEX(Settings!$J$11:$J$15,MATCH(Q2004,Settings!$H$11:$H$15,0)),"No"))</f>
        <v/>
      </c>
    </row>
  </sheetData>
  <autoFilter ref="A4:W2004"/>
  <conditionalFormatting sqref="Q5:Q2004">
    <cfRule type="cellIs" priority="2" operator="equal" aboveAverage="0" equalAverage="0" bottom="0" percent="0" rank="0" text="" dxfId="12">
      <formula>"Quotation"</formula>
    </cfRule>
    <cfRule type="cellIs" priority="3" operator="equal" aboveAverage="0" equalAverage="0" bottom="0" percent="0" rank="0" text="" dxfId="13">
      <formula>"Order Confirmed"</formula>
    </cfRule>
    <cfRule type="cellIs" priority="4" operator="equal" aboveAverage="0" equalAverage="0" bottom="0" percent="0" rank="0" text="" dxfId="14">
      <formula>"Invoiced"</formula>
    </cfRule>
    <cfRule type="cellIs" priority="5" operator="equal" aboveAverage="0" equalAverage="0" bottom="0" percent="0" rank="0" text="" dxfId="15">
      <formula>"Paid"</formula>
    </cfRule>
    <cfRule type="cellIs" priority="6" operator="equal" aboveAverage="0" equalAverage="0" bottom="0" percent="0" rank="0" text="" dxfId="16">
      <formula>"Lost"</formula>
    </cfRule>
  </conditionalFormatting>
  <conditionalFormatting sqref="O5:O2004">
    <cfRule type="expression" priority="7" aboveAverage="0" equalAverage="0" bottom="0" percent="0" rank="0" text="" dxfId="17">
      <formula>AND(ISNUMBER(O5),O5&lt;0)</formula>
    </cfRule>
  </conditionalFormatting>
  <dataValidations count="7">
    <dataValidation allowBlank="true" error="Choose Infrastructure or Building" errorStyle="stop" operator="between" showDropDown="false" showErrorMessage="true" showInputMessage="false" sqref="E5:E2004" type="list">
      <formula1>VerticalList</formula1>
      <formula2>0</formula2>
    </dataValidation>
    <dataValidation allowBlank="true" error="Choose a category from Settings" errorStyle="stop" operator="between" showDropDown="false" showErrorMessage="true" showInputMessage="false" sqref="F5:F2004" type="list">
      <formula1>CategoryList</formula1>
      <formula2>0</formula2>
    </dataValidation>
    <dataValidation allowBlank="true" error="Choose a sales rep from Settings" errorStyle="stop" operator="between" showDropDown="false" showErrorMessage="true" showInputMessage="false" sqref="P5:P2004" type="list">
      <formula1>RepList</formula1>
      <formula2>0</formula2>
    </dataValidation>
    <dataValidation allowBlank="true" error="Choose a status from Settings" errorStyle="stop" operator="between" showDropDown="false" showErrorMessage="true" showInputMessage="false" sqref="Q5:Q2004" type="list">
      <formula1>StatusList</formula1>
      <formula2>0</formula2>
    </dataValidation>
    <dataValidation allowBlank="true" error="Enter a valid date" errorStyle="stop" operator="between" showDropDown="false" showErrorMessage="true" showInputMessage="false" sqref="A5:A2004" type="date">
      <formula1>DATE(2020,1,1)</formula1>
      <formula2>DATE(2040,12,31)</formula2>
    </dataValidation>
    <dataValidation allowBlank="true" error="Enter a discount between 0% and 100%" errorStyle="stop" operator="between" showDropDown="false" showErrorMessage="true" showInputMessage="false" sqref="J5:J2004" type="decimal">
      <formula1>0</formula1>
      <formula2>1</formula2>
    </dataValidation>
    <dataValidation allowBlank="true" error="Must be 0 or more" errorStyle="stop" operator="greaterThanOrEqual" showDropDown="false" showErrorMessage="true" showInputMessage="false" sqref="H5:H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8"/>
    <col collapsed="false" customWidth="true" hidden="false" outlineLevel="0" max="6" min="5" style="0" width="20"/>
    <col collapsed="false" customWidth="true" hidden="false" outlineLevel="0" max="7" min="7" style="0" width="18"/>
  </cols>
  <sheetData>
    <row r="2" customFormat="false" ht="19.7" hidden="false" customHeight="false" outlineLevel="0" collapsed="false">
      <c r="B2" s="1" t="s">
        <v>131</v>
      </c>
    </row>
    <row r="3" customFormat="false" ht="15" hidden="false" customHeight="false" outlineLevel="0" collapsed="false">
      <c r="B3" s="2" t="s">
        <v>132</v>
      </c>
    </row>
    <row r="5" customFormat="false" ht="15" hidden="false" customHeight="false" outlineLevel="0" collapsed="false">
      <c r="B5" s="11" t="s">
        <v>122</v>
      </c>
      <c r="C5" s="11" t="s">
        <v>133</v>
      </c>
      <c r="D5" s="11" t="s">
        <v>42</v>
      </c>
      <c r="E5" s="12" t="s">
        <v>134</v>
      </c>
      <c r="F5" s="13" t="s">
        <v>47</v>
      </c>
      <c r="G5" s="11" t="s">
        <v>49</v>
      </c>
      <c r="I5" s="2" t="s">
        <v>135</v>
      </c>
    </row>
    <row r="6" customFormat="false" ht="15" hidden="false" customHeight="false" outlineLevel="0" collapsed="false">
      <c r="B6" s="38" t="n">
        <v>2026</v>
      </c>
      <c r="C6" s="38" t="n">
        <v>1</v>
      </c>
      <c r="D6" s="38" t="str">
        <f aca="false">TEXT(DATE(2000,FYStart+C6-1,1),"mmm")</f>
        <v>Jan</v>
      </c>
      <c r="E6" s="32"/>
      <c r="F6" s="32"/>
      <c r="G6" s="34" t="n">
        <f aca="false">N(E6)+N(F6)</f>
        <v>0</v>
      </c>
    </row>
    <row r="7" customFormat="false" ht="15" hidden="false" customHeight="false" outlineLevel="0" collapsed="false">
      <c r="B7" s="38" t="n">
        <v>2026</v>
      </c>
      <c r="C7" s="38" t="n">
        <v>2</v>
      </c>
      <c r="D7" s="38" t="str">
        <f aca="false">TEXT(DATE(2000,FYStart+C7-1,1),"mmm")</f>
        <v>Feb</v>
      </c>
      <c r="E7" s="32"/>
      <c r="F7" s="32"/>
      <c r="G7" s="34" t="n">
        <f aca="false">N(E7)+N(F7)</f>
        <v>0</v>
      </c>
    </row>
    <row r="8" customFormat="false" ht="15" hidden="false" customHeight="false" outlineLevel="0" collapsed="false">
      <c r="B8" s="38" t="n">
        <v>2026</v>
      </c>
      <c r="C8" s="38" t="n">
        <v>3</v>
      </c>
      <c r="D8" s="38" t="str">
        <f aca="false">TEXT(DATE(2000,FYStart+C8-1,1),"mmm")</f>
        <v>Mar</v>
      </c>
      <c r="E8" s="32"/>
      <c r="F8" s="32"/>
      <c r="G8" s="34" t="n">
        <f aca="false">N(E8)+N(F8)</f>
        <v>0</v>
      </c>
    </row>
    <row r="9" customFormat="false" ht="15" hidden="false" customHeight="false" outlineLevel="0" collapsed="false">
      <c r="B9" s="38" t="n">
        <v>2026</v>
      </c>
      <c r="C9" s="38" t="n">
        <v>4</v>
      </c>
      <c r="D9" s="38" t="str">
        <f aca="false">TEXT(DATE(2000,FYStart+C9-1,1),"mmm")</f>
        <v>Apr</v>
      </c>
      <c r="E9" s="32"/>
      <c r="F9" s="32"/>
      <c r="G9" s="34" t="n">
        <f aca="false">N(E9)+N(F9)</f>
        <v>0</v>
      </c>
    </row>
    <row r="10" customFormat="false" ht="15" hidden="false" customHeight="false" outlineLevel="0" collapsed="false">
      <c r="B10" s="38" t="n">
        <v>2026</v>
      </c>
      <c r="C10" s="38" t="n">
        <v>5</v>
      </c>
      <c r="D10" s="38" t="str">
        <f aca="false">TEXT(DATE(2000,FYStart+C10-1,1),"mmm")</f>
        <v>May</v>
      </c>
      <c r="E10" s="32"/>
      <c r="F10" s="32"/>
      <c r="G10" s="34" t="n">
        <f aca="false">N(E10)+N(F10)</f>
        <v>0</v>
      </c>
    </row>
    <row r="11" customFormat="false" ht="15" hidden="false" customHeight="false" outlineLevel="0" collapsed="false">
      <c r="B11" s="38" t="n">
        <v>2026</v>
      </c>
      <c r="C11" s="38" t="n">
        <v>6</v>
      </c>
      <c r="D11" s="38" t="str">
        <f aca="false">TEXT(DATE(2000,FYStart+C11-1,1),"mmm")</f>
        <v>Jun</v>
      </c>
      <c r="E11" s="32"/>
      <c r="F11" s="32"/>
      <c r="G11" s="34" t="n">
        <f aca="false">N(E11)+N(F11)</f>
        <v>0</v>
      </c>
    </row>
    <row r="12" customFormat="false" ht="15" hidden="false" customHeight="false" outlineLevel="0" collapsed="false">
      <c r="B12" s="38" t="n">
        <v>2026</v>
      </c>
      <c r="C12" s="38" t="n">
        <v>7</v>
      </c>
      <c r="D12" s="38" t="str">
        <f aca="false">TEXT(DATE(2000,FYStart+C12-1,1),"mmm")</f>
        <v>Jul</v>
      </c>
      <c r="E12" s="32"/>
      <c r="F12" s="32"/>
      <c r="G12" s="34" t="n">
        <f aca="false">N(E12)+N(F12)</f>
        <v>0</v>
      </c>
    </row>
    <row r="13" customFormat="false" ht="15" hidden="false" customHeight="false" outlineLevel="0" collapsed="false">
      <c r="B13" s="38" t="n">
        <v>2026</v>
      </c>
      <c r="C13" s="38" t="n">
        <v>8</v>
      </c>
      <c r="D13" s="38" t="str">
        <f aca="false">TEXT(DATE(2000,FYStart+C13-1,1),"mmm")</f>
        <v>Aug</v>
      </c>
      <c r="E13" s="32"/>
      <c r="F13" s="32"/>
      <c r="G13" s="34" t="n">
        <f aca="false">N(E13)+N(F13)</f>
        <v>0</v>
      </c>
    </row>
    <row r="14" customFormat="false" ht="15" hidden="false" customHeight="false" outlineLevel="0" collapsed="false">
      <c r="B14" s="38" t="n">
        <v>2026</v>
      </c>
      <c r="C14" s="38" t="n">
        <v>9</v>
      </c>
      <c r="D14" s="38" t="str">
        <f aca="false">TEXT(DATE(2000,FYStart+C14-1,1),"mmm")</f>
        <v>Sep</v>
      </c>
      <c r="E14" s="32"/>
      <c r="F14" s="32"/>
      <c r="G14" s="34" t="n">
        <f aca="false">N(E14)+N(F14)</f>
        <v>0</v>
      </c>
    </row>
    <row r="15" customFormat="false" ht="15" hidden="false" customHeight="false" outlineLevel="0" collapsed="false">
      <c r="B15" s="38" t="n">
        <v>2026</v>
      </c>
      <c r="C15" s="38" t="n">
        <v>10</v>
      </c>
      <c r="D15" s="38" t="str">
        <f aca="false">TEXT(DATE(2000,FYStart+C15-1,1),"mmm")</f>
        <v>Oct</v>
      </c>
      <c r="E15" s="32"/>
      <c r="F15" s="32"/>
      <c r="G15" s="34" t="n">
        <f aca="false">N(E15)+N(F15)</f>
        <v>0</v>
      </c>
    </row>
    <row r="16" customFormat="false" ht="15" hidden="false" customHeight="false" outlineLevel="0" collapsed="false">
      <c r="B16" s="38" t="n">
        <v>2026</v>
      </c>
      <c r="C16" s="38" t="n">
        <v>11</v>
      </c>
      <c r="D16" s="38" t="str">
        <f aca="false">TEXT(DATE(2000,FYStart+C16-1,1),"mmm")</f>
        <v>Nov</v>
      </c>
      <c r="E16" s="32"/>
      <c r="F16" s="32"/>
      <c r="G16" s="34" t="n">
        <f aca="false">N(E16)+N(F16)</f>
        <v>0</v>
      </c>
    </row>
    <row r="17" customFormat="false" ht="15" hidden="false" customHeight="false" outlineLevel="0" collapsed="false">
      <c r="B17" s="38" t="n">
        <v>2026</v>
      </c>
      <c r="C17" s="38" t="n">
        <v>12</v>
      </c>
      <c r="D17" s="38" t="str">
        <f aca="false">TEXT(DATE(2000,FYStart+C17-1,1),"mmm")</f>
        <v>Dec</v>
      </c>
      <c r="E17" s="32"/>
      <c r="F17" s="32"/>
      <c r="G17" s="34" t="n">
        <f aca="false">N(E17)+N(F17)</f>
        <v>0</v>
      </c>
    </row>
    <row r="18" customFormat="false" ht="15" hidden="false" customHeight="false" outlineLevel="0" collapsed="false">
      <c r="B18" s="21" t="n">
        <v>2026</v>
      </c>
      <c r="C18" s="21" t="s">
        <v>53</v>
      </c>
      <c r="D18" s="21"/>
      <c r="E18" s="21" t="n">
        <f aca="false">SUM(E6:E17)</f>
        <v>0</v>
      </c>
      <c r="F18" s="21" t="n">
        <f aca="false">SUM(F6:F17)</f>
        <v>0</v>
      </c>
      <c r="G18" s="21" t="n">
        <f aca="false">SUM(G6:G17)</f>
        <v>0</v>
      </c>
    </row>
    <row r="20" customFormat="false" ht="15" hidden="false" customHeight="false" outlineLevel="0" collapsed="false">
      <c r="B20" s="38" t="n">
        <v>2027</v>
      </c>
      <c r="C20" s="38" t="n">
        <v>1</v>
      </c>
      <c r="D20" s="38" t="str">
        <f aca="false">TEXT(DATE(2000,FYStart+C20-1,1),"mmm")</f>
        <v>Jan</v>
      </c>
      <c r="E20" s="32"/>
      <c r="F20" s="32"/>
      <c r="G20" s="34" t="n">
        <f aca="false">N(E20)+N(F20)</f>
        <v>0</v>
      </c>
    </row>
    <row r="21" customFormat="false" ht="15" hidden="false" customHeight="false" outlineLevel="0" collapsed="false">
      <c r="B21" s="38" t="n">
        <v>2027</v>
      </c>
      <c r="C21" s="38" t="n">
        <v>2</v>
      </c>
      <c r="D21" s="38" t="str">
        <f aca="false">TEXT(DATE(2000,FYStart+C21-1,1),"mmm")</f>
        <v>Feb</v>
      </c>
      <c r="E21" s="32"/>
      <c r="F21" s="32"/>
      <c r="G21" s="34" t="n">
        <f aca="false">N(E21)+N(F21)</f>
        <v>0</v>
      </c>
    </row>
    <row r="22" customFormat="false" ht="15" hidden="false" customHeight="false" outlineLevel="0" collapsed="false">
      <c r="B22" s="38" t="n">
        <v>2027</v>
      </c>
      <c r="C22" s="38" t="n">
        <v>3</v>
      </c>
      <c r="D22" s="38" t="str">
        <f aca="false">TEXT(DATE(2000,FYStart+C22-1,1),"mmm")</f>
        <v>Mar</v>
      </c>
      <c r="E22" s="32"/>
      <c r="F22" s="32"/>
      <c r="G22" s="34" t="n">
        <f aca="false">N(E22)+N(F22)</f>
        <v>0</v>
      </c>
    </row>
    <row r="23" customFormat="false" ht="15" hidden="false" customHeight="false" outlineLevel="0" collapsed="false">
      <c r="B23" s="38" t="n">
        <v>2027</v>
      </c>
      <c r="C23" s="38" t="n">
        <v>4</v>
      </c>
      <c r="D23" s="38" t="str">
        <f aca="false">TEXT(DATE(2000,FYStart+C23-1,1),"mmm")</f>
        <v>Apr</v>
      </c>
      <c r="E23" s="32"/>
      <c r="F23" s="32"/>
      <c r="G23" s="34" t="n">
        <f aca="false">N(E23)+N(F23)</f>
        <v>0</v>
      </c>
    </row>
    <row r="24" customFormat="false" ht="15" hidden="false" customHeight="false" outlineLevel="0" collapsed="false">
      <c r="B24" s="38" t="n">
        <v>2027</v>
      </c>
      <c r="C24" s="38" t="n">
        <v>5</v>
      </c>
      <c r="D24" s="38" t="str">
        <f aca="false">TEXT(DATE(2000,FYStart+C24-1,1),"mmm")</f>
        <v>May</v>
      </c>
      <c r="E24" s="32"/>
      <c r="F24" s="32"/>
      <c r="G24" s="34" t="n">
        <f aca="false">N(E24)+N(F24)</f>
        <v>0</v>
      </c>
    </row>
    <row r="25" customFormat="false" ht="15" hidden="false" customHeight="false" outlineLevel="0" collapsed="false">
      <c r="B25" s="38" t="n">
        <v>2027</v>
      </c>
      <c r="C25" s="38" t="n">
        <v>6</v>
      </c>
      <c r="D25" s="38" t="str">
        <f aca="false">TEXT(DATE(2000,FYStart+C25-1,1),"mmm")</f>
        <v>Jun</v>
      </c>
      <c r="E25" s="32"/>
      <c r="F25" s="32"/>
      <c r="G25" s="34" t="n">
        <f aca="false">N(E25)+N(F25)</f>
        <v>0</v>
      </c>
    </row>
    <row r="26" customFormat="false" ht="15" hidden="false" customHeight="false" outlineLevel="0" collapsed="false">
      <c r="B26" s="38" t="n">
        <v>2027</v>
      </c>
      <c r="C26" s="38" t="n">
        <v>7</v>
      </c>
      <c r="D26" s="38" t="str">
        <f aca="false">TEXT(DATE(2000,FYStart+C26-1,1),"mmm")</f>
        <v>Jul</v>
      </c>
      <c r="E26" s="32"/>
      <c r="F26" s="32"/>
      <c r="G26" s="34" t="n">
        <f aca="false">N(E26)+N(F26)</f>
        <v>0</v>
      </c>
    </row>
    <row r="27" customFormat="false" ht="15" hidden="false" customHeight="false" outlineLevel="0" collapsed="false">
      <c r="B27" s="38" t="n">
        <v>2027</v>
      </c>
      <c r="C27" s="38" t="n">
        <v>8</v>
      </c>
      <c r="D27" s="38" t="str">
        <f aca="false">TEXT(DATE(2000,FYStart+C27-1,1),"mmm")</f>
        <v>Aug</v>
      </c>
      <c r="E27" s="32"/>
      <c r="F27" s="32"/>
      <c r="G27" s="34" t="n">
        <f aca="false">N(E27)+N(F27)</f>
        <v>0</v>
      </c>
    </row>
    <row r="28" customFormat="false" ht="15" hidden="false" customHeight="false" outlineLevel="0" collapsed="false">
      <c r="B28" s="38" t="n">
        <v>2027</v>
      </c>
      <c r="C28" s="38" t="n">
        <v>9</v>
      </c>
      <c r="D28" s="38" t="str">
        <f aca="false">TEXT(DATE(2000,FYStart+C28-1,1),"mmm")</f>
        <v>Sep</v>
      </c>
      <c r="E28" s="32"/>
      <c r="F28" s="32"/>
      <c r="G28" s="34" t="n">
        <f aca="false">N(E28)+N(F28)</f>
        <v>0</v>
      </c>
    </row>
    <row r="29" customFormat="false" ht="15" hidden="false" customHeight="false" outlineLevel="0" collapsed="false">
      <c r="B29" s="38" t="n">
        <v>2027</v>
      </c>
      <c r="C29" s="38" t="n">
        <v>10</v>
      </c>
      <c r="D29" s="38" t="str">
        <f aca="false">TEXT(DATE(2000,FYStart+C29-1,1),"mmm")</f>
        <v>Oct</v>
      </c>
      <c r="E29" s="32"/>
      <c r="F29" s="32"/>
      <c r="G29" s="34" t="n">
        <f aca="false">N(E29)+N(F29)</f>
        <v>0</v>
      </c>
    </row>
    <row r="30" customFormat="false" ht="15" hidden="false" customHeight="false" outlineLevel="0" collapsed="false">
      <c r="B30" s="38" t="n">
        <v>2027</v>
      </c>
      <c r="C30" s="38" t="n">
        <v>11</v>
      </c>
      <c r="D30" s="38" t="str">
        <f aca="false">TEXT(DATE(2000,FYStart+C30-1,1),"mmm")</f>
        <v>Nov</v>
      </c>
      <c r="E30" s="32"/>
      <c r="F30" s="32"/>
      <c r="G30" s="34" t="n">
        <f aca="false">N(E30)+N(F30)</f>
        <v>0</v>
      </c>
    </row>
    <row r="31" customFormat="false" ht="15" hidden="false" customHeight="false" outlineLevel="0" collapsed="false">
      <c r="B31" s="38" t="n">
        <v>2027</v>
      </c>
      <c r="C31" s="38" t="n">
        <v>12</v>
      </c>
      <c r="D31" s="38" t="str">
        <f aca="false">TEXT(DATE(2000,FYStart+C31-1,1),"mmm")</f>
        <v>Dec</v>
      </c>
      <c r="E31" s="32"/>
      <c r="F31" s="32"/>
      <c r="G31" s="34" t="n">
        <f aca="false">N(E31)+N(F31)</f>
        <v>0</v>
      </c>
    </row>
    <row r="32" customFormat="false" ht="15" hidden="false" customHeight="false" outlineLevel="0" collapsed="false">
      <c r="B32" s="21" t="n">
        <v>2027</v>
      </c>
      <c r="C32" s="21" t="s">
        <v>53</v>
      </c>
      <c r="D32" s="21"/>
      <c r="E32" s="21" t="n">
        <f aca="false">SUM(E20:E31)</f>
        <v>0</v>
      </c>
      <c r="F32" s="21" t="n">
        <f aca="false">SUM(F20:F31)</f>
        <v>0</v>
      </c>
      <c r="G32" s="21" t="n">
        <f aca="false">SUM(G20:G31)</f>
        <v>0</v>
      </c>
    </row>
    <row r="34" customFormat="false" ht="15" hidden="false" customHeight="false" outlineLevel="0" collapsed="false">
      <c r="B34" s="38" t="n">
        <v>2028</v>
      </c>
      <c r="C34" s="38" t="n">
        <v>1</v>
      </c>
      <c r="D34" s="38" t="str">
        <f aca="false">TEXT(DATE(2000,FYStart+C34-1,1),"mmm")</f>
        <v>Jan</v>
      </c>
      <c r="E34" s="32"/>
      <c r="F34" s="32"/>
      <c r="G34" s="34" t="n">
        <f aca="false">N(E34)+N(F34)</f>
        <v>0</v>
      </c>
    </row>
    <row r="35" customFormat="false" ht="15" hidden="false" customHeight="false" outlineLevel="0" collapsed="false">
      <c r="B35" s="38" t="n">
        <v>2028</v>
      </c>
      <c r="C35" s="38" t="n">
        <v>2</v>
      </c>
      <c r="D35" s="38" t="str">
        <f aca="false">TEXT(DATE(2000,FYStart+C35-1,1),"mmm")</f>
        <v>Feb</v>
      </c>
      <c r="E35" s="32"/>
      <c r="F35" s="32"/>
      <c r="G35" s="34" t="n">
        <f aca="false">N(E35)+N(F35)</f>
        <v>0</v>
      </c>
    </row>
    <row r="36" customFormat="false" ht="15" hidden="false" customHeight="false" outlineLevel="0" collapsed="false">
      <c r="B36" s="38" t="n">
        <v>2028</v>
      </c>
      <c r="C36" s="38" t="n">
        <v>3</v>
      </c>
      <c r="D36" s="38" t="str">
        <f aca="false">TEXT(DATE(2000,FYStart+C36-1,1),"mmm")</f>
        <v>Mar</v>
      </c>
      <c r="E36" s="32"/>
      <c r="F36" s="32"/>
      <c r="G36" s="34" t="n">
        <f aca="false">N(E36)+N(F36)</f>
        <v>0</v>
      </c>
    </row>
    <row r="37" customFormat="false" ht="15" hidden="false" customHeight="false" outlineLevel="0" collapsed="false">
      <c r="B37" s="38" t="n">
        <v>2028</v>
      </c>
      <c r="C37" s="38" t="n">
        <v>4</v>
      </c>
      <c r="D37" s="38" t="str">
        <f aca="false">TEXT(DATE(2000,FYStart+C37-1,1),"mmm")</f>
        <v>Apr</v>
      </c>
      <c r="E37" s="32"/>
      <c r="F37" s="32"/>
      <c r="G37" s="34" t="n">
        <f aca="false">N(E37)+N(F37)</f>
        <v>0</v>
      </c>
    </row>
    <row r="38" customFormat="false" ht="15" hidden="false" customHeight="false" outlineLevel="0" collapsed="false">
      <c r="B38" s="38" t="n">
        <v>2028</v>
      </c>
      <c r="C38" s="38" t="n">
        <v>5</v>
      </c>
      <c r="D38" s="38" t="str">
        <f aca="false">TEXT(DATE(2000,FYStart+C38-1,1),"mmm")</f>
        <v>May</v>
      </c>
      <c r="E38" s="32"/>
      <c r="F38" s="32"/>
      <c r="G38" s="34" t="n">
        <f aca="false">N(E38)+N(F38)</f>
        <v>0</v>
      </c>
    </row>
    <row r="39" customFormat="false" ht="15" hidden="false" customHeight="false" outlineLevel="0" collapsed="false">
      <c r="B39" s="38" t="n">
        <v>2028</v>
      </c>
      <c r="C39" s="38" t="n">
        <v>6</v>
      </c>
      <c r="D39" s="38" t="str">
        <f aca="false">TEXT(DATE(2000,FYStart+C39-1,1),"mmm")</f>
        <v>Jun</v>
      </c>
      <c r="E39" s="32"/>
      <c r="F39" s="32"/>
      <c r="G39" s="34" t="n">
        <f aca="false">N(E39)+N(F39)</f>
        <v>0</v>
      </c>
    </row>
    <row r="40" customFormat="false" ht="15" hidden="false" customHeight="false" outlineLevel="0" collapsed="false">
      <c r="B40" s="38" t="n">
        <v>2028</v>
      </c>
      <c r="C40" s="38" t="n">
        <v>7</v>
      </c>
      <c r="D40" s="38" t="str">
        <f aca="false">TEXT(DATE(2000,FYStart+C40-1,1),"mmm")</f>
        <v>Jul</v>
      </c>
      <c r="E40" s="32"/>
      <c r="F40" s="32"/>
      <c r="G40" s="34" t="n">
        <f aca="false">N(E40)+N(F40)</f>
        <v>0</v>
      </c>
    </row>
    <row r="41" customFormat="false" ht="15" hidden="false" customHeight="false" outlineLevel="0" collapsed="false">
      <c r="B41" s="38" t="n">
        <v>2028</v>
      </c>
      <c r="C41" s="38" t="n">
        <v>8</v>
      </c>
      <c r="D41" s="38" t="str">
        <f aca="false">TEXT(DATE(2000,FYStart+C41-1,1),"mmm")</f>
        <v>Aug</v>
      </c>
      <c r="E41" s="32"/>
      <c r="F41" s="32"/>
      <c r="G41" s="34" t="n">
        <f aca="false">N(E41)+N(F41)</f>
        <v>0</v>
      </c>
    </row>
    <row r="42" customFormat="false" ht="15" hidden="false" customHeight="false" outlineLevel="0" collapsed="false">
      <c r="B42" s="38" t="n">
        <v>2028</v>
      </c>
      <c r="C42" s="38" t="n">
        <v>9</v>
      </c>
      <c r="D42" s="38" t="str">
        <f aca="false">TEXT(DATE(2000,FYStart+C42-1,1),"mmm")</f>
        <v>Sep</v>
      </c>
      <c r="E42" s="32"/>
      <c r="F42" s="32"/>
      <c r="G42" s="34" t="n">
        <f aca="false">N(E42)+N(F42)</f>
        <v>0</v>
      </c>
    </row>
    <row r="43" customFormat="false" ht="15" hidden="false" customHeight="false" outlineLevel="0" collapsed="false">
      <c r="B43" s="38" t="n">
        <v>2028</v>
      </c>
      <c r="C43" s="38" t="n">
        <v>10</v>
      </c>
      <c r="D43" s="38" t="str">
        <f aca="false">TEXT(DATE(2000,FYStart+C43-1,1),"mmm")</f>
        <v>Oct</v>
      </c>
      <c r="E43" s="32"/>
      <c r="F43" s="32"/>
      <c r="G43" s="34" t="n">
        <f aca="false">N(E43)+N(F43)</f>
        <v>0</v>
      </c>
    </row>
    <row r="44" customFormat="false" ht="15" hidden="false" customHeight="false" outlineLevel="0" collapsed="false">
      <c r="B44" s="38" t="n">
        <v>2028</v>
      </c>
      <c r="C44" s="38" t="n">
        <v>11</v>
      </c>
      <c r="D44" s="38" t="str">
        <f aca="false">TEXT(DATE(2000,FYStart+C44-1,1),"mmm")</f>
        <v>Nov</v>
      </c>
      <c r="E44" s="32"/>
      <c r="F44" s="32"/>
      <c r="G44" s="34" t="n">
        <f aca="false">N(E44)+N(F44)</f>
        <v>0</v>
      </c>
    </row>
    <row r="45" customFormat="false" ht="15" hidden="false" customHeight="false" outlineLevel="0" collapsed="false">
      <c r="B45" s="38" t="n">
        <v>2028</v>
      </c>
      <c r="C45" s="38" t="n">
        <v>12</v>
      </c>
      <c r="D45" s="38" t="str">
        <f aca="false">TEXT(DATE(2000,FYStart+C45-1,1),"mmm")</f>
        <v>Dec</v>
      </c>
      <c r="E45" s="32"/>
      <c r="F45" s="32"/>
      <c r="G45" s="34" t="n">
        <f aca="false">N(E45)+N(F45)</f>
        <v>0</v>
      </c>
    </row>
    <row r="46" customFormat="false" ht="15" hidden="false" customHeight="false" outlineLevel="0" collapsed="false">
      <c r="B46" s="21" t="n">
        <v>2028</v>
      </c>
      <c r="C46" s="21" t="s">
        <v>53</v>
      </c>
      <c r="D46" s="21"/>
      <c r="E46" s="21" t="n">
        <f aca="false">SUM(E34:E45)</f>
        <v>0</v>
      </c>
      <c r="F46" s="21" t="n">
        <f aca="false">SUM(F34:F45)</f>
        <v>0</v>
      </c>
      <c r="G46" s="21" t="n">
        <f aca="false">SUM(G34:G45)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2026-09-24T07:04:59Z</dcterms:created>
  <dc:creator>openpyxl</dc:creator>
  <dc:description/>
  <dc:language>en-US</dc:language>
  <cp:lastModifiedBy/>
  <dcterms:modified xsi:type="dcterms:W3CDTF">2026-09-24T07:05:02Z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